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Science\[DIVE]\Project\CRMRetention\Submission\"/>
    </mc:Choice>
  </mc:AlternateContent>
  <xr:revisionPtr revIDLastSave="0" documentId="13_ncr:1_{1BD3C0D7-15E8-4EC1-B39E-B953808ACE94}" xr6:coauthVersionLast="47" xr6:coauthVersionMax="47" xr10:uidLastSave="{00000000-0000-0000-0000-000000000000}"/>
  <bookViews>
    <workbookView xWindow="14410" yWindow="6570" windowWidth="23990" windowHeight="14270" xr2:uid="{00000000-000D-0000-FFFF-FFFF00000000}"/>
  </bookViews>
  <sheets>
    <sheet name="Sheet1" sheetId="1" r:id="rId1"/>
    <sheet name="Sheet2" sheetId="2" r:id="rId2"/>
    <sheet name="실험결과1" sheetId="3" r:id="rId3"/>
    <sheet name="실험결과2" sheetId="5" r:id="rId4"/>
    <sheet name="실험결과3" sheetId="6" r:id="rId5"/>
    <sheet name="실험결과4" sheetId="7" r:id="rId6"/>
    <sheet name="실험결과5-1" sheetId="8" r:id="rId7"/>
    <sheet name="실험결과5-2" sheetId="9" r:id="rId8"/>
  </sheets>
  <definedNames>
    <definedName name="_xlnm._FilterDatabase" localSheetId="1" hidden="1">Sheet2!$A$1:$F$41</definedName>
    <definedName name="_xlnm._FilterDatabase" localSheetId="2" hidden="1">실험결과1!$A$2:$I$2</definedName>
    <definedName name="_xlnm._FilterDatabase" localSheetId="6" hidden="1">'실험결과5-1'!$A$1:$G$5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3" l="1"/>
  <c r="F12" i="3"/>
  <c r="D12" i="3"/>
  <c r="B12" i="3"/>
  <c r="C11" i="3"/>
  <c r="D11" i="3"/>
  <c r="E11" i="3"/>
  <c r="F11" i="3"/>
  <c r="G11" i="3"/>
  <c r="H11" i="3"/>
  <c r="I11" i="3"/>
  <c r="B11" i="3"/>
</calcChain>
</file>

<file path=xl/sharedStrings.xml><?xml version="1.0" encoding="utf-8"?>
<sst xmlns="http://schemas.openxmlformats.org/spreadsheetml/2006/main" count="141" uniqueCount="29">
  <si>
    <t>RF</t>
  </si>
  <si>
    <t>XGB</t>
  </si>
  <si>
    <t>MLP</t>
  </si>
  <si>
    <t>CNN</t>
  </si>
  <si>
    <t>RNN</t>
  </si>
  <si>
    <t>LSTM</t>
  </si>
  <si>
    <t>CNN-LSTM</t>
  </si>
  <si>
    <t>RNN-LSTM</t>
  </si>
  <si>
    <t>Baseline</t>
    <phoneticPr fontId="2" type="noConversion"/>
  </si>
  <si>
    <t>알고리즘</t>
    <phoneticPr fontId="2" type="noConversion"/>
  </si>
  <si>
    <t>Accuracy</t>
    <phoneticPr fontId="2" type="noConversion"/>
  </si>
  <si>
    <t>Recall</t>
    <phoneticPr fontId="2" type="noConversion"/>
  </si>
  <si>
    <t>F1-score</t>
    <phoneticPr fontId="2" type="noConversion"/>
  </si>
  <si>
    <t>AUC</t>
    <phoneticPr fontId="2" type="noConversion"/>
  </si>
  <si>
    <t>베이스라인(Baseline)</t>
  </si>
  <si>
    <t>장기 가치(RFM/BTYD)</t>
  </si>
  <si>
    <t>시점 역동성(Temporal)</t>
  </si>
  <si>
    <t>행동 최신성·피로도(Recency/Fatigue)</t>
  </si>
  <si>
    <t>콘텐츠 신선도·경로(Novelty/Path)</t>
  </si>
  <si>
    <t>변수조합</t>
    <phoneticPr fontId="2" type="noConversion"/>
  </si>
  <si>
    <t>Temporal</t>
    <phoneticPr fontId="2" type="noConversion"/>
  </si>
  <si>
    <t>Algorithm</t>
    <phoneticPr fontId="2" type="noConversion"/>
  </si>
  <si>
    <t>Name</t>
    <phoneticPr fontId="2" type="noConversion"/>
  </si>
  <si>
    <t>Average</t>
    <phoneticPr fontId="2" type="noConversion"/>
  </si>
  <si>
    <t>Gain</t>
    <phoneticPr fontId="2" type="noConversion"/>
  </si>
  <si>
    <t>Precision</t>
    <phoneticPr fontId="2" type="noConversion"/>
  </si>
  <si>
    <t>Radar Chart</t>
    <phoneticPr fontId="2" type="noConversion"/>
  </si>
  <si>
    <t>최적알고리즘</t>
    <phoneticPr fontId="2" type="noConversion"/>
  </si>
  <si>
    <t>RF 기반 SHAP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</si>
</sst>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176" fontId="0" fillId="3" borderId="1" xfId="0" applyNumberFormat="1" applyFill="1" applyBorder="1"/>
    <xf numFmtId="176" fontId="3" fillId="3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H13" sqref="H13"/>
    </sheetView>
  </sheetViews>
  <sheetFormatPr defaultRowHeight="17" x14ac:dyDescent="0.45"/>
  <sheetData>
    <row r="1" spans="1:6" x14ac:dyDescent="0.45"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45">
      <c r="A2" t="s">
        <v>8</v>
      </c>
      <c r="B2" t="s">
        <v>0</v>
      </c>
      <c r="C2">
        <v>0.94930000000000003</v>
      </c>
      <c r="D2">
        <v>0.60129999999999995</v>
      </c>
      <c r="E2">
        <v>0.7077</v>
      </c>
      <c r="F2">
        <v>0.96650000000000003</v>
      </c>
    </row>
    <row r="3" spans="1:6" x14ac:dyDescent="0.45">
      <c r="B3" t="s">
        <v>1</v>
      </c>
      <c r="C3">
        <v>0.94969999999999999</v>
      </c>
      <c r="D3">
        <v>0.59540000000000004</v>
      </c>
      <c r="E3">
        <v>0.70699999999999996</v>
      </c>
      <c r="F3">
        <v>0.96499999999999997</v>
      </c>
    </row>
    <row r="4" spans="1:6" x14ac:dyDescent="0.45">
      <c r="B4" t="s">
        <v>2</v>
      </c>
      <c r="C4">
        <v>0.94489999999999996</v>
      </c>
      <c r="D4">
        <v>0.52880000000000005</v>
      </c>
      <c r="E4">
        <v>0.66200000000000003</v>
      </c>
      <c r="F4">
        <v>0.96060000000000001</v>
      </c>
    </row>
    <row r="5" spans="1:6" x14ac:dyDescent="0.45">
      <c r="B5" t="s">
        <v>3</v>
      </c>
      <c r="C5">
        <v>0.93730000000000002</v>
      </c>
      <c r="D5">
        <v>0.45290000000000002</v>
      </c>
      <c r="E5">
        <v>0.59560000000000002</v>
      </c>
      <c r="F5">
        <v>0.94169999999999998</v>
      </c>
    </row>
    <row r="6" spans="1:6" x14ac:dyDescent="0.45">
      <c r="B6" t="s">
        <v>4</v>
      </c>
      <c r="C6">
        <v>0.94869999999999999</v>
      </c>
      <c r="D6">
        <v>0.57389999999999997</v>
      </c>
      <c r="E6">
        <v>0.69520000000000004</v>
      </c>
      <c r="F6">
        <v>0.96460000000000001</v>
      </c>
    </row>
    <row r="7" spans="1:6" x14ac:dyDescent="0.45">
      <c r="B7" t="s">
        <v>5</v>
      </c>
      <c r="C7">
        <v>0.94789999999999996</v>
      </c>
      <c r="D7">
        <v>0.59079999999999999</v>
      </c>
      <c r="E7">
        <v>0.69810000000000005</v>
      </c>
      <c r="F7">
        <v>0.96409999999999996</v>
      </c>
    </row>
    <row r="8" spans="1:6" x14ac:dyDescent="0.45">
      <c r="B8" t="s">
        <v>6</v>
      </c>
      <c r="C8">
        <v>0.94940000000000002</v>
      </c>
      <c r="D8">
        <v>0.60199999999999998</v>
      </c>
      <c r="E8">
        <v>0.70820000000000005</v>
      </c>
      <c r="F8">
        <v>0.96519999999999995</v>
      </c>
    </row>
    <row r="9" spans="1:6" x14ac:dyDescent="0.45">
      <c r="B9" t="s">
        <v>7</v>
      </c>
      <c r="C9">
        <v>0.94910000000000005</v>
      </c>
      <c r="D9">
        <v>0.61309999999999998</v>
      </c>
      <c r="E9">
        <v>0.71060000000000001</v>
      </c>
      <c r="F9">
        <v>0.96479999999999999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25A2-11C2-4DB0-8751-12397EF0CA35}">
  <dimension ref="A1:F41"/>
  <sheetViews>
    <sheetView workbookViewId="0">
      <selection activeCell="B26" sqref="B26"/>
    </sheetView>
  </sheetViews>
  <sheetFormatPr defaultRowHeight="17" x14ac:dyDescent="0.45"/>
  <cols>
    <col min="1" max="1" width="10.58203125" bestFit="1" customWidth="1"/>
    <col min="2" max="2" width="33.25" bestFit="1" customWidth="1"/>
    <col min="3" max="6" width="7.1640625" bestFit="1" customWidth="1"/>
  </cols>
  <sheetData>
    <row r="1" spans="1:6" x14ac:dyDescent="0.45">
      <c r="A1" t="s">
        <v>9</v>
      </c>
      <c r="B1" t="s">
        <v>19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45">
      <c r="A2" t="s">
        <v>0</v>
      </c>
      <c r="B2" t="s">
        <v>14</v>
      </c>
      <c r="C2">
        <v>0.94930000000000003</v>
      </c>
      <c r="D2">
        <v>0.60129999999999995</v>
      </c>
      <c r="E2">
        <v>0.7077</v>
      </c>
      <c r="F2">
        <v>0.96650000000000003</v>
      </c>
    </row>
    <row r="3" spans="1:6" x14ac:dyDescent="0.45">
      <c r="A3" t="s">
        <v>0</v>
      </c>
      <c r="B3" t="s">
        <v>15</v>
      </c>
      <c r="C3">
        <v>0.95960000000000001</v>
      </c>
      <c r="D3">
        <v>0.68430000000000002</v>
      </c>
      <c r="E3">
        <v>0.77559999999999996</v>
      </c>
      <c r="F3">
        <v>0.97519999999999996</v>
      </c>
    </row>
    <row r="4" spans="1:6" x14ac:dyDescent="0.45">
      <c r="A4" t="s">
        <v>0</v>
      </c>
      <c r="B4" t="s">
        <v>16</v>
      </c>
      <c r="C4">
        <v>0.96240000000000003</v>
      </c>
      <c r="D4">
        <v>0.72219999999999995</v>
      </c>
      <c r="E4">
        <v>0.79669999999999996</v>
      </c>
      <c r="F4">
        <v>0.98340000000000005</v>
      </c>
    </row>
    <row r="5" spans="1:6" x14ac:dyDescent="0.45">
      <c r="A5" t="s">
        <v>0</v>
      </c>
      <c r="B5" t="s">
        <v>17</v>
      </c>
      <c r="C5">
        <v>0.97489999999999999</v>
      </c>
      <c r="D5">
        <v>0.8105</v>
      </c>
      <c r="E5">
        <v>0.86829999999999996</v>
      </c>
      <c r="F5">
        <v>0.99099999999999999</v>
      </c>
    </row>
    <row r="6" spans="1:6" x14ac:dyDescent="0.45">
      <c r="A6" t="s">
        <v>0</v>
      </c>
      <c r="B6" t="s">
        <v>18</v>
      </c>
      <c r="C6">
        <v>0.95420000000000005</v>
      </c>
      <c r="D6">
        <v>0.65159999999999996</v>
      </c>
      <c r="E6">
        <v>0.74380000000000002</v>
      </c>
      <c r="F6">
        <v>0.97430000000000005</v>
      </c>
    </row>
    <row r="7" spans="1:6" x14ac:dyDescent="0.45">
      <c r="A7" t="s">
        <v>1</v>
      </c>
      <c r="B7" t="s">
        <v>14</v>
      </c>
      <c r="C7">
        <v>0.94969999999999999</v>
      </c>
      <c r="D7">
        <v>0.59540000000000004</v>
      </c>
      <c r="E7">
        <v>0.70699999999999996</v>
      </c>
      <c r="F7">
        <v>0.96499999999999997</v>
      </c>
    </row>
    <row r="8" spans="1:6" x14ac:dyDescent="0.45">
      <c r="A8" t="s">
        <v>1</v>
      </c>
      <c r="B8" t="s">
        <v>15</v>
      </c>
      <c r="C8">
        <v>0.96040000000000003</v>
      </c>
      <c r="D8">
        <v>0.6784</v>
      </c>
      <c r="E8">
        <v>0.77749999999999997</v>
      </c>
      <c r="F8">
        <v>0.97589999999999999</v>
      </c>
    </row>
    <row r="9" spans="1:6" x14ac:dyDescent="0.45">
      <c r="A9" t="s">
        <v>1</v>
      </c>
      <c r="B9" t="s">
        <v>16</v>
      </c>
      <c r="C9">
        <v>0.96150000000000002</v>
      </c>
      <c r="D9">
        <v>0.69479999999999997</v>
      </c>
      <c r="E9">
        <v>0.78649999999999998</v>
      </c>
      <c r="F9">
        <v>0.98119999999999996</v>
      </c>
    </row>
    <row r="10" spans="1:6" x14ac:dyDescent="0.45">
      <c r="A10" t="s">
        <v>1</v>
      </c>
      <c r="B10" t="s">
        <v>17</v>
      </c>
      <c r="C10">
        <v>0.97489999999999999</v>
      </c>
      <c r="D10">
        <v>0.80589999999999995</v>
      </c>
      <c r="E10">
        <v>0.86770000000000003</v>
      </c>
      <c r="F10">
        <v>0.99180000000000001</v>
      </c>
    </row>
    <row r="11" spans="1:6" x14ac:dyDescent="0.45">
      <c r="A11" t="s">
        <v>1</v>
      </c>
      <c r="B11" t="s">
        <v>18</v>
      </c>
      <c r="C11">
        <v>0.95269999999999999</v>
      </c>
      <c r="D11">
        <v>0.64770000000000005</v>
      </c>
      <c r="E11">
        <v>0.73629999999999995</v>
      </c>
      <c r="F11">
        <v>0.9738</v>
      </c>
    </row>
    <row r="12" spans="1:6" x14ac:dyDescent="0.45">
      <c r="A12" t="s">
        <v>2</v>
      </c>
      <c r="B12" t="s">
        <v>14</v>
      </c>
      <c r="C12">
        <v>0.94489999999999996</v>
      </c>
      <c r="D12">
        <v>0.52880000000000005</v>
      </c>
      <c r="E12">
        <v>0.66200000000000003</v>
      </c>
      <c r="F12">
        <v>0.96060000000000001</v>
      </c>
    </row>
    <row r="13" spans="1:6" x14ac:dyDescent="0.45">
      <c r="A13" t="s">
        <v>2</v>
      </c>
      <c r="B13" t="s">
        <v>15</v>
      </c>
      <c r="C13">
        <v>0.94550000000000001</v>
      </c>
      <c r="D13">
        <v>0.52290000000000003</v>
      </c>
      <c r="E13">
        <v>0.66169999999999995</v>
      </c>
      <c r="F13">
        <v>0.96020000000000005</v>
      </c>
    </row>
    <row r="14" spans="1:6" x14ac:dyDescent="0.45">
      <c r="A14" t="s">
        <v>2</v>
      </c>
      <c r="B14" t="s">
        <v>16</v>
      </c>
      <c r="C14">
        <v>0.94520000000000004</v>
      </c>
      <c r="D14">
        <v>0.53200000000000003</v>
      </c>
      <c r="E14">
        <v>0.66449999999999998</v>
      </c>
      <c r="F14">
        <v>0.96460000000000001</v>
      </c>
    </row>
    <row r="15" spans="1:6" x14ac:dyDescent="0.45">
      <c r="A15" t="s">
        <v>2</v>
      </c>
      <c r="B15" t="s">
        <v>17</v>
      </c>
      <c r="C15">
        <v>0.97060000000000002</v>
      </c>
      <c r="D15">
        <v>0.74050000000000005</v>
      </c>
      <c r="E15">
        <v>0.83709999999999996</v>
      </c>
      <c r="F15">
        <v>0.98680000000000001</v>
      </c>
    </row>
    <row r="16" spans="1:6" x14ac:dyDescent="0.45">
      <c r="A16" t="s">
        <v>2</v>
      </c>
      <c r="B16" t="s">
        <v>18</v>
      </c>
      <c r="C16">
        <v>0.94979999999999998</v>
      </c>
      <c r="D16">
        <v>0.60780000000000001</v>
      </c>
      <c r="E16">
        <v>0.71179999999999999</v>
      </c>
      <c r="F16">
        <v>0.96730000000000005</v>
      </c>
    </row>
    <row r="17" spans="1:6" x14ac:dyDescent="0.45">
      <c r="A17" t="s">
        <v>3</v>
      </c>
      <c r="B17" t="s">
        <v>14</v>
      </c>
      <c r="C17">
        <v>0.93730000000000002</v>
      </c>
      <c r="D17">
        <v>0.45290000000000002</v>
      </c>
      <c r="E17">
        <v>0.59560000000000002</v>
      </c>
      <c r="F17">
        <v>0.94169999999999998</v>
      </c>
    </row>
    <row r="18" spans="1:6" x14ac:dyDescent="0.45">
      <c r="A18" t="s">
        <v>3</v>
      </c>
      <c r="B18" t="s">
        <v>15</v>
      </c>
      <c r="C18">
        <v>0.93369999999999997</v>
      </c>
      <c r="D18">
        <v>0.36990000000000001</v>
      </c>
      <c r="E18">
        <v>0.53249999999999997</v>
      </c>
      <c r="F18">
        <v>0.82110000000000005</v>
      </c>
    </row>
    <row r="19" spans="1:6" x14ac:dyDescent="0.45">
      <c r="A19" t="s">
        <v>3</v>
      </c>
      <c r="B19" t="s">
        <v>16</v>
      </c>
      <c r="C19">
        <v>0.93879999999999997</v>
      </c>
      <c r="D19">
        <v>0.45689999999999997</v>
      </c>
      <c r="E19">
        <v>0.60360000000000003</v>
      </c>
      <c r="F19">
        <v>0.93620000000000003</v>
      </c>
    </row>
    <row r="20" spans="1:6" x14ac:dyDescent="0.45">
      <c r="A20" t="s">
        <v>3</v>
      </c>
      <c r="B20" t="s">
        <v>17</v>
      </c>
      <c r="C20">
        <v>0.9667</v>
      </c>
      <c r="D20">
        <v>0.7359</v>
      </c>
      <c r="E20">
        <v>0.81830000000000003</v>
      </c>
      <c r="F20">
        <v>0.96689999999999998</v>
      </c>
    </row>
    <row r="21" spans="1:6" x14ac:dyDescent="0.45">
      <c r="A21" t="s">
        <v>3</v>
      </c>
      <c r="B21" t="s">
        <v>18</v>
      </c>
      <c r="C21">
        <v>0.93510000000000004</v>
      </c>
      <c r="D21">
        <v>0.39079999999999998</v>
      </c>
      <c r="E21">
        <v>0.55120000000000002</v>
      </c>
      <c r="F21">
        <v>0.94110000000000005</v>
      </c>
    </row>
    <row r="22" spans="1:6" x14ac:dyDescent="0.45">
      <c r="A22" t="s">
        <v>4</v>
      </c>
      <c r="B22" t="s">
        <v>14</v>
      </c>
      <c r="C22">
        <v>0.94869999999999999</v>
      </c>
      <c r="D22">
        <v>0.57389999999999997</v>
      </c>
      <c r="E22">
        <v>0.69520000000000004</v>
      </c>
      <c r="F22">
        <v>0.96460000000000001</v>
      </c>
    </row>
    <row r="23" spans="1:6" x14ac:dyDescent="0.45">
      <c r="A23" t="s">
        <v>4</v>
      </c>
      <c r="B23" t="s">
        <v>15</v>
      </c>
      <c r="C23">
        <v>0.94810000000000005</v>
      </c>
      <c r="D23">
        <v>0.58819999999999995</v>
      </c>
      <c r="E23">
        <v>0.69820000000000004</v>
      </c>
      <c r="F23">
        <v>0.96479999999999999</v>
      </c>
    </row>
    <row r="24" spans="1:6" x14ac:dyDescent="0.45">
      <c r="A24" t="s">
        <v>4</v>
      </c>
      <c r="B24" t="s">
        <v>16</v>
      </c>
      <c r="C24">
        <v>0.95120000000000005</v>
      </c>
      <c r="D24">
        <v>0.63590000000000002</v>
      </c>
      <c r="E24">
        <v>0.72670000000000001</v>
      </c>
      <c r="F24">
        <v>0.96970000000000001</v>
      </c>
    </row>
    <row r="25" spans="1:6" x14ac:dyDescent="0.45">
      <c r="A25" t="s">
        <v>4</v>
      </c>
      <c r="B25" t="s">
        <v>17</v>
      </c>
      <c r="C25">
        <v>0.97240000000000004</v>
      </c>
      <c r="D25">
        <v>0.78820000000000001</v>
      </c>
      <c r="E25">
        <v>0.85350000000000004</v>
      </c>
      <c r="F25">
        <v>0.99</v>
      </c>
    </row>
    <row r="26" spans="1:6" x14ac:dyDescent="0.45">
      <c r="A26" t="s">
        <v>4</v>
      </c>
      <c r="B26" t="s">
        <v>18</v>
      </c>
      <c r="C26">
        <v>0.95289999999999997</v>
      </c>
      <c r="D26">
        <v>0.62219999999999998</v>
      </c>
      <c r="E26">
        <v>0.72919999999999996</v>
      </c>
      <c r="F26">
        <v>0.97470000000000001</v>
      </c>
    </row>
    <row r="27" spans="1:6" x14ac:dyDescent="0.45">
      <c r="A27" t="s">
        <v>5</v>
      </c>
      <c r="B27" t="s">
        <v>14</v>
      </c>
      <c r="C27">
        <v>0.94789999999999996</v>
      </c>
      <c r="D27">
        <v>0.59079999999999999</v>
      </c>
      <c r="E27">
        <v>0.69810000000000005</v>
      </c>
      <c r="F27">
        <v>0.96409999999999996</v>
      </c>
    </row>
    <row r="28" spans="1:6" x14ac:dyDescent="0.45">
      <c r="A28" t="s">
        <v>5</v>
      </c>
      <c r="B28" t="s">
        <v>15</v>
      </c>
      <c r="C28">
        <v>0.94710000000000005</v>
      </c>
      <c r="D28">
        <v>0.59609999999999996</v>
      </c>
      <c r="E28">
        <v>0.69669999999999999</v>
      </c>
      <c r="F28">
        <v>0.96430000000000005</v>
      </c>
    </row>
    <row r="29" spans="1:6" x14ac:dyDescent="0.45">
      <c r="A29" t="s">
        <v>5</v>
      </c>
      <c r="B29" t="s">
        <v>16</v>
      </c>
      <c r="C29">
        <v>0.94830000000000003</v>
      </c>
      <c r="D29">
        <v>0.62029999999999996</v>
      </c>
      <c r="E29">
        <v>0.70979999999999999</v>
      </c>
      <c r="F29">
        <v>0.96730000000000005</v>
      </c>
    </row>
    <row r="30" spans="1:6" x14ac:dyDescent="0.45">
      <c r="A30" t="s">
        <v>5</v>
      </c>
      <c r="B30" t="s">
        <v>17</v>
      </c>
      <c r="C30">
        <v>0.97309999999999997</v>
      </c>
      <c r="D30">
        <v>0.7974</v>
      </c>
      <c r="E30">
        <v>0.8579</v>
      </c>
      <c r="F30">
        <v>0.99039999999999995</v>
      </c>
    </row>
    <row r="31" spans="1:6" x14ac:dyDescent="0.45">
      <c r="A31" t="s">
        <v>5</v>
      </c>
      <c r="B31" t="s">
        <v>18</v>
      </c>
      <c r="C31">
        <v>0.95220000000000005</v>
      </c>
      <c r="D31">
        <v>0.63919999999999999</v>
      </c>
      <c r="E31">
        <v>0.73180000000000001</v>
      </c>
      <c r="F31">
        <v>0.97340000000000004</v>
      </c>
    </row>
    <row r="32" spans="1:6" x14ac:dyDescent="0.45">
      <c r="A32" t="s">
        <v>6</v>
      </c>
      <c r="B32" t="s">
        <v>14</v>
      </c>
      <c r="C32">
        <v>0.94940000000000002</v>
      </c>
      <c r="D32">
        <v>0.60199999999999998</v>
      </c>
      <c r="E32">
        <v>0.70820000000000005</v>
      </c>
      <c r="F32">
        <v>0.96519999999999995</v>
      </c>
    </row>
    <row r="33" spans="1:6" x14ac:dyDescent="0.45">
      <c r="A33" t="s">
        <v>6</v>
      </c>
      <c r="B33" t="s">
        <v>15</v>
      </c>
      <c r="C33">
        <v>0.94889999999999997</v>
      </c>
      <c r="D33">
        <v>0.6</v>
      </c>
      <c r="E33">
        <v>0.7056</v>
      </c>
      <c r="F33">
        <v>0.96740000000000004</v>
      </c>
    </row>
    <row r="34" spans="1:6" x14ac:dyDescent="0.45">
      <c r="A34" t="s">
        <v>6</v>
      </c>
      <c r="B34" t="s">
        <v>16</v>
      </c>
      <c r="C34">
        <v>0.95220000000000005</v>
      </c>
      <c r="D34">
        <v>0.64580000000000004</v>
      </c>
      <c r="E34">
        <v>0.73380000000000001</v>
      </c>
      <c r="F34">
        <v>0.97070000000000001</v>
      </c>
    </row>
    <row r="35" spans="1:6" x14ac:dyDescent="0.45">
      <c r="A35" t="s">
        <v>6</v>
      </c>
      <c r="B35" t="s">
        <v>17</v>
      </c>
      <c r="C35">
        <v>0.97389999999999999</v>
      </c>
      <c r="D35">
        <v>0.79349999999999998</v>
      </c>
      <c r="E35">
        <v>0.86129999999999995</v>
      </c>
      <c r="F35">
        <v>0.9909</v>
      </c>
    </row>
    <row r="36" spans="1:6" x14ac:dyDescent="0.45">
      <c r="A36" t="s">
        <v>6</v>
      </c>
      <c r="B36" t="s">
        <v>18</v>
      </c>
      <c r="C36">
        <v>0.95299999999999996</v>
      </c>
      <c r="D36">
        <v>0.64510000000000001</v>
      </c>
      <c r="E36">
        <v>0.73680000000000001</v>
      </c>
      <c r="F36">
        <v>0.97330000000000005</v>
      </c>
    </row>
    <row r="37" spans="1:6" x14ac:dyDescent="0.45">
      <c r="A37" t="s">
        <v>7</v>
      </c>
      <c r="B37" t="s">
        <v>14</v>
      </c>
      <c r="C37">
        <v>0.94910000000000005</v>
      </c>
      <c r="D37">
        <v>0.61309999999999998</v>
      </c>
      <c r="E37">
        <v>0.71060000000000001</v>
      </c>
      <c r="F37">
        <v>0.96479999999999999</v>
      </c>
    </row>
    <row r="38" spans="1:6" x14ac:dyDescent="0.45">
      <c r="A38" t="s">
        <v>7</v>
      </c>
      <c r="B38" t="s">
        <v>15</v>
      </c>
      <c r="C38">
        <v>0.94950000000000001</v>
      </c>
      <c r="D38">
        <v>0.60980000000000001</v>
      </c>
      <c r="E38">
        <v>0.71109999999999995</v>
      </c>
      <c r="F38">
        <v>0.96560000000000001</v>
      </c>
    </row>
    <row r="39" spans="1:6" x14ac:dyDescent="0.45">
      <c r="A39" t="s">
        <v>7</v>
      </c>
      <c r="B39" t="s">
        <v>16</v>
      </c>
      <c r="C39">
        <v>0.94769999999999999</v>
      </c>
      <c r="D39">
        <v>0.63729999999999998</v>
      </c>
      <c r="E39">
        <v>0.71319999999999995</v>
      </c>
      <c r="F39">
        <v>0.96819999999999995</v>
      </c>
    </row>
    <row r="40" spans="1:6" x14ac:dyDescent="0.45">
      <c r="A40" t="s">
        <v>7</v>
      </c>
      <c r="B40" t="s">
        <v>17</v>
      </c>
      <c r="C40">
        <v>0.97430000000000005</v>
      </c>
      <c r="D40">
        <v>0.80259999999999998</v>
      </c>
      <c r="E40">
        <v>0.86419999999999997</v>
      </c>
      <c r="F40">
        <v>0.99080000000000001</v>
      </c>
    </row>
    <row r="41" spans="1:6" x14ac:dyDescent="0.45">
      <c r="A41" t="s">
        <v>7</v>
      </c>
      <c r="B41" t="s">
        <v>18</v>
      </c>
      <c r="C41">
        <v>0.95289999999999997</v>
      </c>
      <c r="D41">
        <v>0.63270000000000004</v>
      </c>
      <c r="E41">
        <v>0.73280000000000001</v>
      </c>
      <c r="F41">
        <v>0.97499999999999998</v>
      </c>
    </row>
  </sheetData>
  <autoFilter ref="A1:F41" xr:uid="{734A25A2-11C2-4DB0-8751-12397EF0CA35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01C5-A84F-4373-A310-475ADBDB2B82}">
  <dimension ref="A1:I12"/>
  <sheetViews>
    <sheetView workbookViewId="0">
      <selection activeCell="H1" sqref="B1:I1"/>
    </sheetView>
  </sheetViews>
  <sheetFormatPr defaultRowHeight="17" x14ac:dyDescent="0.45"/>
  <cols>
    <col min="1" max="1" width="11.08203125" bestFit="1" customWidth="1"/>
    <col min="2" max="2" width="8.58203125" bestFit="1" customWidth="1"/>
    <col min="3" max="3" width="9.75" bestFit="1" customWidth="1"/>
    <col min="4" max="4" width="8.58203125" bestFit="1" customWidth="1"/>
    <col min="5" max="5" width="9.75" bestFit="1" customWidth="1"/>
    <col min="6" max="6" width="8.58203125" bestFit="1" customWidth="1"/>
    <col min="7" max="7" width="9.75" bestFit="1" customWidth="1"/>
    <col min="8" max="8" width="8.58203125" bestFit="1" customWidth="1"/>
    <col min="9" max="9" width="9.75" bestFit="1" customWidth="1"/>
  </cols>
  <sheetData>
    <row r="1" spans="1:9" x14ac:dyDescent="0.45">
      <c r="A1" s="7" t="s">
        <v>21</v>
      </c>
      <c r="B1" s="10" t="s">
        <v>10</v>
      </c>
      <c r="C1" s="10"/>
      <c r="D1" s="10" t="s">
        <v>11</v>
      </c>
      <c r="E1" s="10"/>
      <c r="F1" s="10" t="s">
        <v>12</v>
      </c>
      <c r="G1" s="10"/>
      <c r="H1" s="10" t="s">
        <v>13</v>
      </c>
      <c r="I1" s="10"/>
    </row>
    <row r="2" spans="1:9" x14ac:dyDescent="0.45">
      <c r="A2" s="7" t="s">
        <v>22</v>
      </c>
      <c r="B2" s="5" t="s">
        <v>8</v>
      </c>
      <c r="C2" s="5" t="s">
        <v>20</v>
      </c>
      <c r="D2" s="5" t="s">
        <v>8</v>
      </c>
      <c r="E2" s="5" t="s">
        <v>20</v>
      </c>
      <c r="F2" s="5" t="s">
        <v>8</v>
      </c>
      <c r="G2" s="5" t="s">
        <v>20</v>
      </c>
      <c r="H2" s="5" t="s">
        <v>8</v>
      </c>
      <c r="I2" s="5" t="s">
        <v>20</v>
      </c>
    </row>
    <row r="3" spans="1:9" x14ac:dyDescent="0.45">
      <c r="A3" s="3" t="s">
        <v>0</v>
      </c>
      <c r="B3" s="1">
        <v>0.94930000000000003</v>
      </c>
      <c r="C3" s="2">
        <v>0.96240000000000003</v>
      </c>
      <c r="D3" s="1">
        <v>0.60129999999999995</v>
      </c>
      <c r="E3" s="2">
        <v>0.72219999999999995</v>
      </c>
      <c r="F3" s="1">
        <v>0.7077</v>
      </c>
      <c r="G3" s="2">
        <v>0.79669999999999996</v>
      </c>
      <c r="H3" s="1">
        <v>0.96650000000000003</v>
      </c>
      <c r="I3" s="2">
        <v>0.98340000000000005</v>
      </c>
    </row>
    <row r="4" spans="1:9" x14ac:dyDescent="0.45">
      <c r="A4" s="3" t="s">
        <v>1</v>
      </c>
      <c r="B4" s="1">
        <v>0.94969999999999999</v>
      </c>
      <c r="C4" s="2">
        <v>0.96150000000000002</v>
      </c>
      <c r="D4" s="1">
        <v>0.59540000000000004</v>
      </c>
      <c r="E4" s="2">
        <v>0.69479999999999997</v>
      </c>
      <c r="F4" s="1">
        <v>0.70699999999999996</v>
      </c>
      <c r="G4" s="2">
        <v>0.78649999999999998</v>
      </c>
      <c r="H4" s="1">
        <v>0.96499999999999997</v>
      </c>
      <c r="I4" s="2">
        <v>0.98119999999999996</v>
      </c>
    </row>
    <row r="5" spans="1:9" x14ac:dyDescent="0.45">
      <c r="A5" s="3" t="s">
        <v>6</v>
      </c>
      <c r="B5" s="1">
        <v>0.94940000000000002</v>
      </c>
      <c r="C5" s="2">
        <v>0.95220000000000005</v>
      </c>
      <c r="D5" s="1">
        <v>0.60199999999999998</v>
      </c>
      <c r="E5" s="2">
        <v>0.64580000000000004</v>
      </c>
      <c r="F5" s="1">
        <v>0.70820000000000005</v>
      </c>
      <c r="G5" s="2">
        <v>0.73380000000000001</v>
      </c>
      <c r="H5" s="1">
        <v>0.96519999999999995</v>
      </c>
      <c r="I5" s="2">
        <v>0.97070000000000001</v>
      </c>
    </row>
    <row r="6" spans="1:9" x14ac:dyDescent="0.45">
      <c r="A6" s="3" t="s">
        <v>4</v>
      </c>
      <c r="B6" s="1">
        <v>0.94869999999999999</v>
      </c>
      <c r="C6" s="2">
        <v>0.95120000000000005</v>
      </c>
      <c r="D6" s="1">
        <v>0.57389999999999997</v>
      </c>
      <c r="E6" s="2">
        <v>0.63590000000000002</v>
      </c>
      <c r="F6" s="1">
        <v>0.69520000000000004</v>
      </c>
      <c r="G6" s="2">
        <v>0.72670000000000001</v>
      </c>
      <c r="H6" s="1">
        <v>0.96460000000000001</v>
      </c>
      <c r="I6" s="2">
        <v>0.96970000000000001</v>
      </c>
    </row>
    <row r="7" spans="1:9" x14ac:dyDescent="0.45">
      <c r="A7" s="3" t="s">
        <v>7</v>
      </c>
      <c r="B7" s="2">
        <v>0.94910000000000005</v>
      </c>
      <c r="C7" s="1">
        <v>0.94769999999999999</v>
      </c>
      <c r="D7" s="1">
        <v>0.61309999999999998</v>
      </c>
      <c r="E7" s="2">
        <v>0.63729999999999998</v>
      </c>
      <c r="F7" s="1">
        <v>0.71060000000000001</v>
      </c>
      <c r="G7" s="2">
        <v>0.71319999999999995</v>
      </c>
      <c r="H7" s="1">
        <v>0.96479999999999999</v>
      </c>
      <c r="I7" s="2">
        <v>0.96819999999999995</v>
      </c>
    </row>
    <row r="8" spans="1:9" x14ac:dyDescent="0.45">
      <c r="A8" s="3" t="s">
        <v>5</v>
      </c>
      <c r="B8" s="1">
        <v>0.94789999999999996</v>
      </c>
      <c r="C8" s="2">
        <v>0.94830000000000003</v>
      </c>
      <c r="D8" s="1">
        <v>0.59079999999999999</v>
      </c>
      <c r="E8" s="2">
        <v>0.62029999999999996</v>
      </c>
      <c r="F8" s="1">
        <v>0.69810000000000005</v>
      </c>
      <c r="G8" s="2">
        <v>0.70979999999999999</v>
      </c>
      <c r="H8" s="1">
        <v>0.96409999999999996</v>
      </c>
      <c r="I8" s="2">
        <v>0.96730000000000005</v>
      </c>
    </row>
    <row r="9" spans="1:9" x14ac:dyDescent="0.45">
      <c r="A9" s="3" t="s">
        <v>2</v>
      </c>
      <c r="B9" s="1">
        <v>0.94489999999999996</v>
      </c>
      <c r="C9" s="2">
        <v>0.94520000000000004</v>
      </c>
      <c r="D9" s="1">
        <v>0.52880000000000005</v>
      </c>
      <c r="E9" s="2">
        <v>0.53200000000000003</v>
      </c>
      <c r="F9" s="1">
        <v>0.66200000000000003</v>
      </c>
      <c r="G9" s="2">
        <v>0.66449999999999998</v>
      </c>
      <c r="H9" s="1">
        <v>0.96060000000000001</v>
      </c>
      <c r="I9" s="2">
        <v>0.96460000000000001</v>
      </c>
    </row>
    <row r="10" spans="1:9" x14ac:dyDescent="0.45">
      <c r="A10" s="3" t="s">
        <v>3</v>
      </c>
      <c r="B10" s="1">
        <v>0.93730000000000002</v>
      </c>
      <c r="C10" s="2">
        <v>0.93879999999999997</v>
      </c>
      <c r="D10" s="1">
        <v>0.45290000000000002</v>
      </c>
      <c r="E10" s="2">
        <v>0.45689999999999997</v>
      </c>
      <c r="F10" s="1">
        <v>0.59560000000000002</v>
      </c>
      <c r="G10" s="2">
        <v>0.60360000000000003</v>
      </c>
      <c r="H10" s="2">
        <v>0.94169999999999998</v>
      </c>
      <c r="I10" s="1">
        <v>0.93620000000000003</v>
      </c>
    </row>
    <row r="11" spans="1:9" x14ac:dyDescent="0.45">
      <c r="A11" s="6" t="s">
        <v>23</v>
      </c>
      <c r="B11" s="8">
        <f>AVERAGE(B3:B10)</f>
        <v>0.94703749999999998</v>
      </c>
      <c r="C11" s="9">
        <f t="shared" ref="C11:I11" si="0">AVERAGE(C3:C10)</f>
        <v>0.95091249999999994</v>
      </c>
      <c r="D11" s="8">
        <f t="shared" si="0"/>
        <v>0.56977499999999992</v>
      </c>
      <c r="E11" s="9">
        <f t="shared" si="0"/>
        <v>0.61814999999999987</v>
      </c>
      <c r="F11" s="8">
        <f t="shared" si="0"/>
        <v>0.68554999999999999</v>
      </c>
      <c r="G11" s="9">
        <f t="shared" si="0"/>
        <v>0.7168500000000001</v>
      </c>
      <c r="H11" s="8">
        <f t="shared" si="0"/>
        <v>0.9615625000000001</v>
      </c>
      <c r="I11" s="9">
        <f t="shared" si="0"/>
        <v>0.96766249999999998</v>
      </c>
    </row>
    <row r="12" spans="1:9" x14ac:dyDescent="0.45">
      <c r="A12" s="4" t="s">
        <v>24</v>
      </c>
      <c r="B12" s="11">
        <f>(C11-B11)/B11</f>
        <v>4.0917070337763411E-3</v>
      </c>
      <c r="C12" s="11"/>
      <c r="D12" s="11">
        <f>(E11-D11)/D11</f>
        <v>8.4901934974331891E-2</v>
      </c>
      <c r="E12" s="11"/>
      <c r="F12" s="11">
        <f>(G11-F11)/F11</f>
        <v>4.56567719349429E-2</v>
      </c>
      <c r="G12" s="11"/>
      <c r="H12" s="11">
        <f>(I11-H11)/H11</f>
        <v>6.3438414039647785E-3</v>
      </c>
      <c r="I12" s="11"/>
    </row>
  </sheetData>
  <autoFilter ref="A2:I2" xr:uid="{B8A101C5-A84F-4373-A310-475ADBDB2B82}">
    <sortState xmlns:xlrd2="http://schemas.microsoft.com/office/spreadsheetml/2017/richdata2" ref="A3:I10">
      <sortCondition descending="1" ref="G2"/>
    </sortState>
  </autoFilter>
  <mergeCells count="8">
    <mergeCell ref="B1:C1"/>
    <mergeCell ref="D1:E1"/>
    <mergeCell ref="F1:G1"/>
    <mergeCell ref="H1:I1"/>
    <mergeCell ref="B12:C12"/>
    <mergeCell ref="D12:E12"/>
    <mergeCell ref="F12:G12"/>
    <mergeCell ref="H12:I1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F3DB-964E-4D3A-B765-C488DF161708}">
  <dimension ref="A1"/>
  <sheetViews>
    <sheetView workbookViewId="0"/>
  </sheetViews>
  <sheetFormatPr defaultRowHeight="17" x14ac:dyDescent="0.45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408F-B265-40F0-B3C5-23933AA2764D}">
  <dimension ref="A1"/>
  <sheetViews>
    <sheetView workbookViewId="0"/>
  </sheetViews>
  <sheetFormatPr defaultRowHeight="17" x14ac:dyDescent="0.45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E316-8909-4373-A0C6-1D3E63FACDAD}">
  <dimension ref="A1"/>
  <sheetViews>
    <sheetView workbookViewId="0"/>
  </sheetViews>
  <sheetFormatPr defaultRowHeight="17" x14ac:dyDescent="0.45"/>
  <sheetData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E12D-3006-4BF6-B419-5B550E9637CD}">
  <dimension ref="A1:H5"/>
  <sheetViews>
    <sheetView workbookViewId="0">
      <selection activeCell="H15" sqref="H15"/>
    </sheetView>
  </sheetViews>
  <sheetFormatPr defaultRowHeight="17" x14ac:dyDescent="0.45"/>
  <cols>
    <col min="1" max="1" width="33.25" bestFit="1" customWidth="1"/>
    <col min="2" max="2" width="14.4140625" bestFit="1" customWidth="1"/>
    <col min="3" max="3" width="10.6640625" bestFit="1" customWidth="1"/>
    <col min="4" max="4" width="7.9140625" bestFit="1" customWidth="1"/>
    <col min="5" max="5" width="10.33203125" bestFit="1" customWidth="1"/>
    <col min="6" max="6" width="10.5" bestFit="1" customWidth="1"/>
    <col min="7" max="7" width="7.1640625" bestFit="1" customWidth="1"/>
    <col min="8" max="8" width="11.08203125" bestFit="1" customWidth="1"/>
  </cols>
  <sheetData>
    <row r="1" spans="1:8" x14ac:dyDescent="0.45">
      <c r="A1" s="4" t="s">
        <v>19</v>
      </c>
      <c r="B1" s="4" t="s">
        <v>27</v>
      </c>
      <c r="C1" s="4" t="s">
        <v>25</v>
      </c>
      <c r="D1" s="4" t="s">
        <v>11</v>
      </c>
      <c r="E1" s="4" t="s">
        <v>12</v>
      </c>
      <c r="F1" s="4" t="s">
        <v>10</v>
      </c>
      <c r="G1" s="4" t="s">
        <v>13</v>
      </c>
      <c r="H1" s="4" t="s">
        <v>26</v>
      </c>
    </row>
    <row r="2" spans="1:8" x14ac:dyDescent="0.45">
      <c r="A2" s="3" t="s">
        <v>17</v>
      </c>
      <c r="B2" s="3" t="s">
        <v>0</v>
      </c>
      <c r="C2" s="2">
        <v>0.9</v>
      </c>
      <c r="D2" s="2">
        <v>0.8105</v>
      </c>
      <c r="E2" s="2">
        <v>0.86829999999999996</v>
      </c>
      <c r="F2" s="2">
        <v>0.97489999999999999</v>
      </c>
      <c r="G2" s="2">
        <v>0.99099999999999999</v>
      </c>
      <c r="H2" s="2">
        <v>1.5</v>
      </c>
    </row>
    <row r="3" spans="1:8" x14ac:dyDescent="0.45">
      <c r="A3" s="3" t="s">
        <v>16</v>
      </c>
      <c r="B3" s="3" t="s">
        <v>0</v>
      </c>
      <c r="C3" s="1">
        <v>0.8</v>
      </c>
      <c r="D3" s="1">
        <v>0.72219999999999995</v>
      </c>
      <c r="E3" s="1">
        <v>0.79669999999999996</v>
      </c>
      <c r="F3" s="1">
        <v>0.96240000000000003</v>
      </c>
      <c r="G3" s="1">
        <v>0.98340000000000005</v>
      </c>
      <c r="H3" s="1">
        <v>1.2</v>
      </c>
    </row>
    <row r="4" spans="1:8" x14ac:dyDescent="0.45">
      <c r="A4" s="3" t="s">
        <v>15</v>
      </c>
      <c r="B4" s="3" t="s">
        <v>1</v>
      </c>
      <c r="C4" s="1">
        <v>0.7</v>
      </c>
      <c r="D4" s="1">
        <v>0.6784</v>
      </c>
      <c r="E4" s="1">
        <v>0.77749999999999997</v>
      </c>
      <c r="F4" s="1">
        <v>0.96040000000000003</v>
      </c>
      <c r="G4" s="1">
        <v>0.97589999999999999</v>
      </c>
      <c r="H4" s="1">
        <v>1.1000000000000001</v>
      </c>
    </row>
    <row r="5" spans="1:8" x14ac:dyDescent="0.45">
      <c r="A5" s="3" t="s">
        <v>18</v>
      </c>
      <c r="B5" s="3" t="s">
        <v>0</v>
      </c>
      <c r="C5" s="1">
        <v>0.6</v>
      </c>
      <c r="D5" s="1">
        <v>0.65159999999999996</v>
      </c>
      <c r="E5" s="1">
        <v>0.74380000000000002</v>
      </c>
      <c r="F5" s="1">
        <v>0.95420000000000005</v>
      </c>
      <c r="G5" s="1">
        <v>0.97430000000000005</v>
      </c>
      <c r="H5" s="1">
        <v>1</v>
      </c>
    </row>
  </sheetData>
  <autoFilter ref="A1:G5" xr:uid="{83ABE12D-3006-4BF6-B419-5B550E9637CD}">
    <sortState xmlns:xlrd2="http://schemas.microsoft.com/office/spreadsheetml/2017/richdata2" ref="A2:G5">
      <sortCondition descending="1" ref="E1:E5"/>
    </sortState>
  </autoFilter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7725-C96F-4D65-916B-BDCF1B81EA50}">
  <dimension ref="A1"/>
  <sheetViews>
    <sheetView workbookViewId="0">
      <selection activeCell="F21" sqref="F21"/>
    </sheetView>
  </sheetViews>
  <sheetFormatPr defaultRowHeight="17" x14ac:dyDescent="0.45"/>
  <sheetData>
    <row r="1" spans="1:1" x14ac:dyDescent="0.45">
      <c r="A1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Sheet1</vt:lpstr>
      <vt:lpstr>Sheet2</vt:lpstr>
      <vt:lpstr>실험결과1</vt:lpstr>
      <vt:lpstr>실험결과2</vt:lpstr>
      <vt:lpstr>실험결과3</vt:lpstr>
      <vt:lpstr>실험결과4</vt:lpstr>
      <vt:lpstr>실험결과5-1</vt:lpstr>
      <vt:lpstr>실험결과5-2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KK</cp:lastModifiedBy>
  <dcterms:created xsi:type="dcterms:W3CDTF">2015-06-05T18:19:34Z</dcterms:created>
  <dcterms:modified xsi:type="dcterms:W3CDTF">2025-12-02T17:13:55Z</dcterms:modified>
</cp:coreProperties>
</file>