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52A0B069-6625-485E-BE36-3D07BDB77C10}" xr6:coauthVersionLast="47" xr6:coauthVersionMax="47" xr10:uidLastSave="{00000000-0000-0000-0000-000000000000}"/>
  <bookViews>
    <workbookView xWindow="31890" yWindow="-110" windowWidth="38620" windowHeight="21820" activeTab="1" xr2:uid="{CF4B9327-B7D0-40FD-9856-075314F6585B}"/>
  </bookViews>
  <sheets>
    <sheet name="Sheet1" sheetId="12" r:id="rId1"/>
    <sheet name="Sheet3" sheetId="20" r:id="rId2"/>
    <sheet name="Sheet2" sheetId="13" r:id="rId3"/>
    <sheet name="Raw (2026Y)" sheetId="14" r:id="rId4"/>
    <sheet name="Raw (2026Y) Copy" sheetId="16" r:id="rId5"/>
    <sheet name="5" sheetId="2" r:id="rId6"/>
    <sheet name="10" sheetId="3" r:id="rId7"/>
    <sheet name="20" sheetId="4" r:id="rId8"/>
    <sheet name="30" sheetId="5" r:id="rId9"/>
    <sheet name="60" sheetId="6" r:id="rId10"/>
    <sheet name="90" sheetId="7" r:id="rId11"/>
    <sheet name="Total" sheetId="18" r:id="rId12"/>
    <sheet name="시간창구별 최적예측" sheetId="17" r:id="rId13"/>
    <sheet name="변수조합별 최적예측" sheetId="19" r:id="rId14"/>
    <sheet name="모델별 최적예측" sheetId="11" r:id="rId15"/>
    <sheet name="최적예측결과" sheetId="9" r:id="rId16"/>
  </sheets>
  <definedNames>
    <definedName name="_xlnm._FilterDatabase" localSheetId="6" hidden="1">'10'!$A$1:$P$33</definedName>
    <definedName name="_xlnm._FilterDatabase" localSheetId="7" hidden="1">'20'!$A$1:$P$33</definedName>
    <definedName name="_xlnm._FilterDatabase" localSheetId="8" hidden="1">'30'!$A$1:$P$33</definedName>
    <definedName name="_xlnm._FilterDatabase" localSheetId="5" hidden="1">'5'!$A$1:$P$33</definedName>
    <definedName name="_xlnm._FilterDatabase" localSheetId="9" hidden="1">'60'!$A$1:$P$33</definedName>
    <definedName name="_xlnm._FilterDatabase" localSheetId="10" hidden="1">'90'!$A$1:$P$33</definedName>
    <definedName name="_xlnm._FilterDatabase" localSheetId="3" hidden="1">'Raw (2026Y)'!$A$1:$P$217</definedName>
    <definedName name="_xlnm._FilterDatabase" localSheetId="4" hidden="1">'Raw (2026Y) Copy'!$A$1:$Q$193</definedName>
    <definedName name="_xlnm._FilterDatabase" localSheetId="11" hidden="1">Total!$A$1:$Q$193</definedName>
    <definedName name="_xlnm._FilterDatabase" localSheetId="13" hidden="1">'변수조합별 최적예측'!$A$1:$I$1</definedName>
    <definedName name="_xlnm._FilterDatabase" localSheetId="12" hidden="1">'시간창구별 최적예측'!$A$1:$I$1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8" l="1"/>
  <c r="L25" i="18"/>
  <c r="M25" i="18"/>
  <c r="N25" i="18"/>
  <c r="O25" i="18"/>
  <c r="P25" i="18"/>
  <c r="Q25" i="18"/>
  <c r="L21" i="18"/>
  <c r="M21" i="18"/>
  <c r="N21" i="18"/>
  <c r="O21" i="18"/>
  <c r="P21" i="18"/>
  <c r="Q21" i="18"/>
  <c r="L31" i="18"/>
  <c r="M31" i="18"/>
  <c r="N31" i="18"/>
  <c r="O31" i="18"/>
  <c r="P31" i="18"/>
  <c r="Q31" i="18"/>
  <c r="L38" i="18"/>
  <c r="M38" i="18"/>
  <c r="N38" i="18"/>
  <c r="O38" i="18"/>
  <c r="P38" i="18"/>
  <c r="Q38" i="18"/>
  <c r="L46" i="18"/>
  <c r="M46" i="18"/>
  <c r="N46" i="18"/>
  <c r="O46" i="18"/>
  <c r="P46" i="18"/>
  <c r="Q46" i="18"/>
  <c r="L54" i="18"/>
  <c r="M54" i="18"/>
  <c r="N54" i="18"/>
  <c r="O54" i="18"/>
  <c r="P54" i="18"/>
  <c r="Q54" i="18"/>
  <c r="L41" i="18"/>
  <c r="M41" i="18"/>
  <c r="N41" i="18"/>
  <c r="O41" i="18"/>
  <c r="P41" i="18"/>
  <c r="Q41" i="18"/>
  <c r="L51" i="18"/>
  <c r="M51" i="18"/>
  <c r="N51" i="18"/>
  <c r="O51" i="18"/>
  <c r="P51" i="18"/>
  <c r="Q51" i="18"/>
  <c r="L58" i="18"/>
  <c r="M58" i="18"/>
  <c r="N58" i="18"/>
  <c r="O58" i="18"/>
  <c r="P58" i="18"/>
  <c r="Q58" i="18"/>
  <c r="L61" i="18"/>
  <c r="M61" i="18"/>
  <c r="N61" i="18"/>
  <c r="O61" i="18"/>
  <c r="P61" i="18"/>
  <c r="Q61" i="18"/>
  <c r="L66" i="18"/>
  <c r="M66" i="18"/>
  <c r="N66" i="18"/>
  <c r="O66" i="18"/>
  <c r="P66" i="18"/>
  <c r="Q66" i="18"/>
  <c r="L60" i="18"/>
  <c r="M60" i="18"/>
  <c r="N60" i="18"/>
  <c r="O60" i="18"/>
  <c r="P60" i="18"/>
  <c r="Q60" i="18"/>
  <c r="L69" i="18"/>
  <c r="M69" i="18"/>
  <c r="N69" i="18"/>
  <c r="O69" i="18"/>
  <c r="P69" i="18"/>
  <c r="Q69" i="18"/>
  <c r="L81" i="18"/>
  <c r="M81" i="18"/>
  <c r="N81" i="18"/>
  <c r="O81" i="18"/>
  <c r="P81" i="18"/>
  <c r="Q81" i="18"/>
  <c r="L80" i="18"/>
  <c r="M80" i="18"/>
  <c r="N80" i="18"/>
  <c r="O80" i="18"/>
  <c r="P80" i="18"/>
  <c r="Q80" i="18"/>
  <c r="L88" i="18"/>
  <c r="M88" i="18"/>
  <c r="N88" i="18"/>
  <c r="O88" i="18"/>
  <c r="P88" i="18"/>
  <c r="Q88" i="18"/>
  <c r="L90" i="18"/>
  <c r="M90" i="18"/>
  <c r="N90" i="18"/>
  <c r="O90" i="18"/>
  <c r="P90" i="18"/>
  <c r="Q90" i="18"/>
  <c r="L91" i="18"/>
  <c r="M91" i="18"/>
  <c r="N91" i="18"/>
  <c r="O91" i="18"/>
  <c r="P91" i="18"/>
  <c r="Q91" i="18"/>
  <c r="L87" i="18"/>
  <c r="M87" i="18"/>
  <c r="N87" i="18"/>
  <c r="O87" i="18"/>
  <c r="P87" i="18"/>
  <c r="Q87" i="18"/>
  <c r="L92" i="18"/>
  <c r="M92" i="18"/>
  <c r="N92" i="18"/>
  <c r="O92" i="18"/>
  <c r="P92" i="18"/>
  <c r="Q92" i="18"/>
  <c r="L116" i="18"/>
  <c r="M116" i="18"/>
  <c r="N116" i="18"/>
  <c r="O116" i="18"/>
  <c r="P116" i="18"/>
  <c r="Q116" i="18"/>
  <c r="L107" i="18"/>
  <c r="M107" i="18"/>
  <c r="N107" i="18"/>
  <c r="O107" i="18"/>
  <c r="P107" i="18"/>
  <c r="Q107" i="18"/>
  <c r="L122" i="18"/>
  <c r="M122" i="18"/>
  <c r="N122" i="18"/>
  <c r="O122" i="18"/>
  <c r="P122" i="18"/>
  <c r="Q122" i="18"/>
  <c r="L130" i="18"/>
  <c r="M130" i="18"/>
  <c r="N130" i="18"/>
  <c r="O130" i="18"/>
  <c r="P130" i="18"/>
  <c r="Q130" i="18"/>
  <c r="L144" i="18"/>
  <c r="M144" i="18"/>
  <c r="N144" i="18"/>
  <c r="O144" i="18"/>
  <c r="P144" i="18"/>
  <c r="Q144" i="18"/>
  <c r="L167" i="18"/>
  <c r="M167" i="18"/>
  <c r="N167" i="18"/>
  <c r="O167" i="18"/>
  <c r="P167" i="18"/>
  <c r="Q167" i="18"/>
  <c r="L175" i="18"/>
  <c r="M175" i="18"/>
  <c r="N175" i="18"/>
  <c r="O175" i="18"/>
  <c r="P175" i="18"/>
  <c r="Q175" i="18"/>
  <c r="L186" i="18"/>
  <c r="M186" i="18"/>
  <c r="N186" i="18"/>
  <c r="O186" i="18"/>
  <c r="P186" i="18"/>
  <c r="Q186" i="18"/>
  <c r="L187" i="18"/>
  <c r="M187" i="18"/>
  <c r="N187" i="18"/>
  <c r="O187" i="18"/>
  <c r="P187" i="18"/>
  <c r="Q187" i="18"/>
  <c r="L190" i="18"/>
  <c r="M190" i="18"/>
  <c r="N190" i="18"/>
  <c r="O190" i="18"/>
  <c r="P190" i="18"/>
  <c r="Q190" i="18"/>
  <c r="L192" i="18"/>
  <c r="M192" i="18"/>
  <c r="N192" i="18"/>
  <c r="O192" i="18"/>
  <c r="P192" i="18"/>
  <c r="Q192" i="18"/>
  <c r="L24" i="18"/>
  <c r="M24" i="18"/>
  <c r="N24" i="18"/>
  <c r="O24" i="18"/>
  <c r="P24" i="18"/>
  <c r="Q24" i="18"/>
  <c r="L23" i="18"/>
  <c r="M23" i="18"/>
  <c r="N23" i="18"/>
  <c r="O23" i="18"/>
  <c r="P23" i="18"/>
  <c r="Q23" i="18"/>
  <c r="L40" i="18"/>
  <c r="M40" i="18"/>
  <c r="N40" i="18"/>
  <c r="O40" i="18"/>
  <c r="P40" i="18"/>
  <c r="Q40" i="18"/>
  <c r="L50" i="18"/>
  <c r="M50" i="18"/>
  <c r="N50" i="18"/>
  <c r="O50" i="18"/>
  <c r="P50" i="18"/>
  <c r="Q50" i="18"/>
  <c r="L27" i="18"/>
  <c r="M27" i="18"/>
  <c r="N27" i="18"/>
  <c r="O27" i="18"/>
  <c r="P27" i="18"/>
  <c r="Q27" i="18"/>
  <c r="L28" i="18"/>
  <c r="M28" i="18"/>
  <c r="N28" i="18"/>
  <c r="O28" i="18"/>
  <c r="P28" i="18"/>
  <c r="Q28" i="18"/>
  <c r="L30" i="18"/>
  <c r="M30" i="18"/>
  <c r="N30" i="18"/>
  <c r="O30" i="18"/>
  <c r="P30" i="18"/>
  <c r="Q30" i="18"/>
  <c r="L35" i="18"/>
  <c r="M35" i="18"/>
  <c r="N35" i="18"/>
  <c r="O35" i="18"/>
  <c r="P35" i="18"/>
  <c r="Q35" i="18"/>
  <c r="L47" i="18"/>
  <c r="M47" i="18"/>
  <c r="N47" i="18"/>
  <c r="O47" i="18"/>
  <c r="P47" i="18"/>
  <c r="Q47" i="18"/>
  <c r="L70" i="18"/>
  <c r="M70" i="18"/>
  <c r="N70" i="18"/>
  <c r="O70" i="18"/>
  <c r="P70" i="18"/>
  <c r="Q70" i="18"/>
  <c r="L64" i="18"/>
  <c r="M64" i="18"/>
  <c r="N64" i="18"/>
  <c r="O64" i="18"/>
  <c r="P64" i="18"/>
  <c r="Q64" i="18"/>
  <c r="L45" i="18"/>
  <c r="M45" i="18"/>
  <c r="N45" i="18"/>
  <c r="O45" i="18"/>
  <c r="P45" i="18"/>
  <c r="Q45" i="18"/>
  <c r="L56" i="18"/>
  <c r="M56" i="18"/>
  <c r="N56" i="18"/>
  <c r="O56" i="18"/>
  <c r="P56" i="18"/>
  <c r="Q56" i="18"/>
  <c r="L68" i="18"/>
  <c r="M68" i="18"/>
  <c r="N68" i="18"/>
  <c r="O68" i="18"/>
  <c r="P68" i="18"/>
  <c r="Q68" i="18"/>
  <c r="L65" i="18"/>
  <c r="M65" i="18"/>
  <c r="N65" i="18"/>
  <c r="O65" i="18"/>
  <c r="P65" i="18"/>
  <c r="Q65" i="18"/>
  <c r="L59" i="18"/>
  <c r="M59" i="18"/>
  <c r="N59" i="18"/>
  <c r="O59" i="18"/>
  <c r="P59" i="18"/>
  <c r="Q59" i="18"/>
  <c r="L93" i="18"/>
  <c r="M93" i="18"/>
  <c r="N93" i="18"/>
  <c r="O93" i="18"/>
  <c r="P93" i="18"/>
  <c r="Q93" i="18"/>
  <c r="L73" i="18"/>
  <c r="M73" i="18"/>
  <c r="N73" i="18"/>
  <c r="O73" i="18"/>
  <c r="P73" i="18"/>
  <c r="Q73" i="18"/>
  <c r="L78" i="18"/>
  <c r="M78" i="18"/>
  <c r="N78" i="18"/>
  <c r="O78" i="18"/>
  <c r="P78" i="18"/>
  <c r="Q78" i="18"/>
  <c r="L76" i="18"/>
  <c r="M76" i="18"/>
  <c r="N76" i="18"/>
  <c r="O76" i="18"/>
  <c r="P76" i="18"/>
  <c r="Q76" i="18"/>
  <c r="L99" i="18"/>
  <c r="M99" i="18"/>
  <c r="N99" i="18"/>
  <c r="O99" i="18"/>
  <c r="P99" i="18"/>
  <c r="Q99" i="18"/>
  <c r="L101" i="18"/>
  <c r="M101" i="18"/>
  <c r="N101" i="18"/>
  <c r="O101" i="18"/>
  <c r="P101" i="18"/>
  <c r="Q101" i="18"/>
  <c r="L121" i="18"/>
  <c r="M121" i="18"/>
  <c r="N121" i="18"/>
  <c r="O121" i="18"/>
  <c r="P121" i="18"/>
  <c r="Q121" i="18"/>
  <c r="L117" i="18"/>
  <c r="M117" i="18"/>
  <c r="N117" i="18"/>
  <c r="O117" i="18"/>
  <c r="P117" i="18"/>
  <c r="Q117" i="18"/>
  <c r="L118" i="18"/>
  <c r="M118" i="18"/>
  <c r="N118" i="18"/>
  <c r="O118" i="18"/>
  <c r="P118" i="18"/>
  <c r="Q118" i="18"/>
  <c r="L124" i="18"/>
  <c r="M124" i="18"/>
  <c r="N124" i="18"/>
  <c r="O124" i="18"/>
  <c r="P124" i="18"/>
  <c r="Q124" i="18"/>
  <c r="L131" i="18"/>
  <c r="M131" i="18"/>
  <c r="N131" i="18"/>
  <c r="O131" i="18"/>
  <c r="P131" i="18"/>
  <c r="Q131" i="18"/>
  <c r="L152" i="18"/>
  <c r="M152" i="18"/>
  <c r="N152" i="18"/>
  <c r="O152" i="18"/>
  <c r="P152" i="18"/>
  <c r="Q152" i="18"/>
  <c r="L151" i="18"/>
  <c r="M151" i="18"/>
  <c r="N151" i="18"/>
  <c r="O151" i="18"/>
  <c r="P151" i="18"/>
  <c r="Q151" i="18"/>
  <c r="L171" i="18"/>
  <c r="M171" i="18"/>
  <c r="N171" i="18"/>
  <c r="O171" i="18"/>
  <c r="P171" i="18"/>
  <c r="Q171" i="18"/>
  <c r="L182" i="18"/>
  <c r="M182" i="18"/>
  <c r="N182" i="18"/>
  <c r="O182" i="18"/>
  <c r="P182" i="18"/>
  <c r="Q182" i="18"/>
  <c r="L191" i="18"/>
  <c r="M191" i="18"/>
  <c r="N191" i="18"/>
  <c r="O191" i="18"/>
  <c r="P191" i="18"/>
  <c r="Q191" i="18"/>
  <c r="L2" i="18"/>
  <c r="M2" i="18"/>
  <c r="N2" i="18"/>
  <c r="O2" i="18"/>
  <c r="P2" i="18"/>
  <c r="Q2" i="18"/>
  <c r="L3" i="18"/>
  <c r="M3" i="18"/>
  <c r="N3" i="18"/>
  <c r="O3" i="18"/>
  <c r="P3" i="18"/>
  <c r="Q3" i="18"/>
  <c r="L5" i="18"/>
  <c r="M5" i="18"/>
  <c r="N5" i="18"/>
  <c r="O5" i="18"/>
  <c r="P5" i="18"/>
  <c r="Q5" i="18"/>
  <c r="L6" i="18"/>
  <c r="M6" i="18"/>
  <c r="N6" i="18"/>
  <c r="O6" i="18"/>
  <c r="P6" i="18"/>
  <c r="Q6" i="18"/>
  <c r="L7" i="18"/>
  <c r="M7" i="18"/>
  <c r="N7" i="18"/>
  <c r="O7" i="18"/>
  <c r="P7" i="18"/>
  <c r="Q7" i="18"/>
  <c r="L8" i="18"/>
  <c r="M8" i="18"/>
  <c r="N8" i="18"/>
  <c r="O8" i="18"/>
  <c r="P8" i="18"/>
  <c r="Q8" i="18"/>
  <c r="L9" i="18"/>
  <c r="M9" i="18"/>
  <c r="N9" i="18"/>
  <c r="O9" i="18"/>
  <c r="P9" i="18"/>
  <c r="Q9" i="18"/>
  <c r="L11" i="18"/>
  <c r="M11" i="18"/>
  <c r="N11" i="18"/>
  <c r="O11" i="18"/>
  <c r="P11" i="18"/>
  <c r="Q11" i="18"/>
  <c r="L10" i="18"/>
  <c r="M10" i="18"/>
  <c r="N10" i="18"/>
  <c r="O10" i="18"/>
  <c r="P10" i="18"/>
  <c r="Q10" i="18"/>
  <c r="L13" i="18"/>
  <c r="M13" i="18"/>
  <c r="N13" i="18"/>
  <c r="O13" i="18"/>
  <c r="P13" i="18"/>
  <c r="Q13" i="18"/>
  <c r="L14" i="18"/>
  <c r="M14" i="18"/>
  <c r="N14" i="18"/>
  <c r="O14" i="18"/>
  <c r="P14" i="18"/>
  <c r="Q14" i="18"/>
  <c r="L16" i="18"/>
  <c r="M16" i="18"/>
  <c r="N16" i="18"/>
  <c r="O16" i="18"/>
  <c r="P16" i="18"/>
  <c r="Q16" i="18"/>
  <c r="L19" i="18"/>
  <c r="M19" i="18"/>
  <c r="N19" i="18"/>
  <c r="O19" i="18"/>
  <c r="P19" i="18"/>
  <c r="Q19" i="18"/>
  <c r="L29" i="18"/>
  <c r="M29" i="18"/>
  <c r="N29" i="18"/>
  <c r="O29" i="18"/>
  <c r="P29" i="18"/>
  <c r="Q29" i="18"/>
  <c r="L34" i="18"/>
  <c r="M34" i="18"/>
  <c r="N34" i="18"/>
  <c r="O34" i="18"/>
  <c r="P34" i="18"/>
  <c r="Q34" i="18"/>
  <c r="L36" i="18"/>
  <c r="M36" i="18"/>
  <c r="N36" i="18"/>
  <c r="O36" i="18"/>
  <c r="P36" i="18"/>
  <c r="Q36" i="18"/>
  <c r="L43" i="18"/>
  <c r="M43" i="18"/>
  <c r="N43" i="18"/>
  <c r="O43" i="18"/>
  <c r="P43" i="18"/>
  <c r="Q43" i="18"/>
  <c r="L42" i="18"/>
  <c r="M42" i="18"/>
  <c r="N42" i="18"/>
  <c r="O42" i="18"/>
  <c r="P42" i="18"/>
  <c r="Q42" i="18"/>
  <c r="L48" i="18"/>
  <c r="M48" i="18"/>
  <c r="N48" i="18"/>
  <c r="O48" i="18"/>
  <c r="P48" i="18"/>
  <c r="Q48" i="18"/>
  <c r="L44" i="18"/>
  <c r="M44" i="18"/>
  <c r="N44" i="18"/>
  <c r="O44" i="18"/>
  <c r="P44" i="18"/>
  <c r="Q44" i="18"/>
  <c r="L55" i="18"/>
  <c r="M55" i="18"/>
  <c r="N55" i="18"/>
  <c r="O55" i="18"/>
  <c r="P55" i="18"/>
  <c r="Q55" i="18"/>
  <c r="L62" i="18"/>
  <c r="M62" i="18"/>
  <c r="N62" i="18"/>
  <c r="O62" i="18"/>
  <c r="P62" i="18"/>
  <c r="Q62" i="18"/>
  <c r="L63" i="18"/>
  <c r="M63" i="18"/>
  <c r="N63" i="18"/>
  <c r="O63" i="18"/>
  <c r="P63" i="18"/>
  <c r="Q63" i="18"/>
  <c r="L67" i="18"/>
  <c r="M67" i="18"/>
  <c r="N67" i="18"/>
  <c r="O67" i="18"/>
  <c r="P67" i="18"/>
  <c r="Q67" i="18"/>
  <c r="L75" i="18"/>
  <c r="M75" i="18"/>
  <c r="N75" i="18"/>
  <c r="O75" i="18"/>
  <c r="P75" i="18"/>
  <c r="Q75" i="18"/>
  <c r="L86" i="18"/>
  <c r="M86" i="18"/>
  <c r="N86" i="18"/>
  <c r="O86" i="18"/>
  <c r="P86" i="18"/>
  <c r="Q86" i="18"/>
  <c r="L105" i="18"/>
  <c r="M105" i="18"/>
  <c r="N105" i="18"/>
  <c r="O105" i="18"/>
  <c r="P105" i="18"/>
  <c r="Q105" i="18"/>
  <c r="L108" i="18"/>
  <c r="M108" i="18"/>
  <c r="N108" i="18"/>
  <c r="O108" i="18"/>
  <c r="P108" i="18"/>
  <c r="Q108" i="18"/>
  <c r="L112" i="18"/>
  <c r="M112" i="18"/>
  <c r="N112" i="18"/>
  <c r="O112" i="18"/>
  <c r="P112" i="18"/>
  <c r="Q112" i="18"/>
  <c r="L111" i="18"/>
  <c r="M111" i="18"/>
  <c r="N111" i="18"/>
  <c r="O111" i="18"/>
  <c r="P111" i="18"/>
  <c r="Q111" i="18"/>
  <c r="L188" i="18"/>
  <c r="M188" i="18"/>
  <c r="N188" i="18"/>
  <c r="O188" i="18"/>
  <c r="P188" i="18"/>
  <c r="Q188" i="18"/>
  <c r="L193" i="18"/>
  <c r="M193" i="18"/>
  <c r="N193" i="18"/>
  <c r="O193" i="18"/>
  <c r="P193" i="18"/>
  <c r="Q193" i="18"/>
  <c r="L4" i="18"/>
  <c r="M4" i="18"/>
  <c r="N4" i="18"/>
  <c r="O4" i="18"/>
  <c r="P4" i="18"/>
  <c r="Q4" i="18"/>
  <c r="L12" i="18"/>
  <c r="M12" i="18"/>
  <c r="N12" i="18"/>
  <c r="O12" i="18"/>
  <c r="P12" i="18"/>
  <c r="Q12" i="18"/>
  <c r="L15" i="18"/>
  <c r="M15" i="18"/>
  <c r="N15" i="18"/>
  <c r="O15" i="18"/>
  <c r="P15" i="18"/>
  <c r="Q15" i="18"/>
  <c r="L17" i="18"/>
  <c r="M17" i="18"/>
  <c r="N17" i="18"/>
  <c r="O17" i="18"/>
  <c r="P17" i="18"/>
  <c r="Q17" i="18"/>
  <c r="L18" i="18"/>
  <c r="M18" i="18"/>
  <c r="N18" i="18"/>
  <c r="O18" i="18"/>
  <c r="P18" i="18"/>
  <c r="Q18" i="18"/>
  <c r="L22" i="18"/>
  <c r="M22" i="18"/>
  <c r="N22" i="18"/>
  <c r="O22" i="18"/>
  <c r="P22" i="18"/>
  <c r="Q22" i="18"/>
  <c r="L26" i="18"/>
  <c r="M26" i="18"/>
  <c r="N26" i="18"/>
  <c r="O26" i="18"/>
  <c r="P26" i="18"/>
  <c r="Q26" i="18"/>
  <c r="L33" i="18"/>
  <c r="M33" i="18"/>
  <c r="N33" i="18"/>
  <c r="O33" i="18"/>
  <c r="P33" i="18"/>
  <c r="Q33" i="18"/>
  <c r="L37" i="18"/>
  <c r="M37" i="18"/>
  <c r="N37" i="18"/>
  <c r="O37" i="18"/>
  <c r="P37" i="18"/>
  <c r="Q37" i="18"/>
  <c r="L39" i="18"/>
  <c r="M39" i="18"/>
  <c r="N39" i="18"/>
  <c r="O39" i="18"/>
  <c r="P39" i="18"/>
  <c r="Q39" i="18"/>
  <c r="L49" i="18"/>
  <c r="M49" i="18"/>
  <c r="N49" i="18"/>
  <c r="O49" i="18"/>
  <c r="P49" i="18"/>
  <c r="Q49" i="18"/>
  <c r="L71" i="18"/>
  <c r="M71" i="18"/>
  <c r="N71" i="18"/>
  <c r="O71" i="18"/>
  <c r="P71" i="18"/>
  <c r="Q71" i="18"/>
  <c r="L74" i="18"/>
  <c r="M74" i="18"/>
  <c r="N74" i="18"/>
  <c r="O74" i="18"/>
  <c r="P74" i="18"/>
  <c r="Q74" i="18"/>
  <c r="L77" i="18"/>
  <c r="M77" i="18"/>
  <c r="N77" i="18"/>
  <c r="O77" i="18"/>
  <c r="P77" i="18"/>
  <c r="Q77" i="18"/>
  <c r="L84" i="18"/>
  <c r="M84" i="18"/>
  <c r="N84" i="18"/>
  <c r="O84" i="18"/>
  <c r="P84" i="18"/>
  <c r="Q84" i="18"/>
  <c r="L95" i="18"/>
  <c r="M95" i="18"/>
  <c r="N95" i="18"/>
  <c r="O95" i="18"/>
  <c r="P95" i="18"/>
  <c r="Q95" i="18"/>
  <c r="L104" i="18"/>
  <c r="M104" i="18"/>
  <c r="N104" i="18"/>
  <c r="O104" i="18"/>
  <c r="P104" i="18"/>
  <c r="Q104" i="18"/>
  <c r="L106" i="18"/>
  <c r="M106" i="18"/>
  <c r="N106" i="18"/>
  <c r="O106" i="18"/>
  <c r="P106" i="18"/>
  <c r="Q106" i="18"/>
  <c r="L119" i="18"/>
  <c r="M119" i="18"/>
  <c r="N119" i="18"/>
  <c r="O119" i="18"/>
  <c r="P119" i="18"/>
  <c r="Q119" i="18"/>
  <c r="L125" i="18"/>
  <c r="M125" i="18"/>
  <c r="N125" i="18"/>
  <c r="O125" i="18"/>
  <c r="P125" i="18"/>
  <c r="Q125" i="18"/>
  <c r="L126" i="18"/>
  <c r="M126" i="18"/>
  <c r="N126" i="18"/>
  <c r="O126" i="18"/>
  <c r="P126" i="18"/>
  <c r="Q126" i="18"/>
  <c r="L133" i="18"/>
  <c r="M133" i="18"/>
  <c r="N133" i="18"/>
  <c r="O133" i="18"/>
  <c r="P133" i="18"/>
  <c r="Q133" i="18"/>
  <c r="L141" i="18"/>
  <c r="M141" i="18"/>
  <c r="N141" i="18"/>
  <c r="O141" i="18"/>
  <c r="P141" i="18"/>
  <c r="Q141" i="18"/>
  <c r="L147" i="18"/>
  <c r="M147" i="18"/>
  <c r="N147" i="18"/>
  <c r="O147" i="18"/>
  <c r="P147" i="18"/>
  <c r="Q147" i="18"/>
  <c r="L155" i="18"/>
  <c r="M155" i="18"/>
  <c r="N155" i="18"/>
  <c r="O155" i="18"/>
  <c r="P155" i="18"/>
  <c r="Q155" i="18"/>
  <c r="L157" i="18"/>
  <c r="M157" i="18"/>
  <c r="N157" i="18"/>
  <c r="O157" i="18"/>
  <c r="P157" i="18"/>
  <c r="Q157" i="18"/>
  <c r="L161" i="18"/>
  <c r="M161" i="18"/>
  <c r="N161" i="18"/>
  <c r="O161" i="18"/>
  <c r="P161" i="18"/>
  <c r="Q161" i="18"/>
  <c r="L160" i="18"/>
  <c r="M160" i="18"/>
  <c r="N160" i="18"/>
  <c r="O160" i="18"/>
  <c r="P160" i="18"/>
  <c r="Q160" i="18"/>
  <c r="L170" i="18"/>
  <c r="M170" i="18"/>
  <c r="N170" i="18"/>
  <c r="O170" i="18"/>
  <c r="P170" i="18"/>
  <c r="Q170" i="18"/>
  <c r="L177" i="18"/>
  <c r="M177" i="18"/>
  <c r="N177" i="18"/>
  <c r="O177" i="18"/>
  <c r="P177" i="18"/>
  <c r="Q177" i="18"/>
  <c r="L180" i="18"/>
  <c r="M180" i="18"/>
  <c r="N180" i="18"/>
  <c r="O180" i="18"/>
  <c r="P180" i="18"/>
  <c r="Q180" i="18"/>
  <c r="L184" i="18"/>
  <c r="M184" i="18"/>
  <c r="N184" i="18"/>
  <c r="O184" i="18"/>
  <c r="P184" i="18"/>
  <c r="Q184" i="18"/>
  <c r="L79" i="18"/>
  <c r="M79" i="18"/>
  <c r="N79" i="18"/>
  <c r="O79" i="18"/>
  <c r="P79" i="18"/>
  <c r="Q79" i="18"/>
  <c r="L89" i="18"/>
  <c r="M89" i="18"/>
  <c r="N89" i="18"/>
  <c r="O89" i="18"/>
  <c r="P89" i="18"/>
  <c r="Q89" i="18"/>
  <c r="L96" i="18"/>
  <c r="M96" i="18"/>
  <c r="N96" i="18"/>
  <c r="O96" i="18"/>
  <c r="P96" i="18"/>
  <c r="Q96" i="18"/>
  <c r="L97" i="18"/>
  <c r="M97" i="18"/>
  <c r="N97" i="18"/>
  <c r="O97" i="18"/>
  <c r="P97" i="18"/>
  <c r="Q97" i="18"/>
  <c r="L100" i="18"/>
  <c r="M100" i="18"/>
  <c r="N100" i="18"/>
  <c r="O100" i="18"/>
  <c r="P100" i="18"/>
  <c r="Q100" i="18"/>
  <c r="L110" i="18"/>
  <c r="M110" i="18"/>
  <c r="N110" i="18"/>
  <c r="O110" i="18"/>
  <c r="P110" i="18"/>
  <c r="Q110" i="18"/>
  <c r="L109" i="18"/>
  <c r="M109" i="18"/>
  <c r="N109" i="18"/>
  <c r="O109" i="18"/>
  <c r="P109" i="18"/>
  <c r="Q109" i="18"/>
  <c r="L123" i="18"/>
  <c r="M123" i="18"/>
  <c r="N123" i="18"/>
  <c r="O123" i="18"/>
  <c r="P123" i="18"/>
  <c r="Q123" i="18"/>
  <c r="L132" i="18"/>
  <c r="M132" i="18"/>
  <c r="N132" i="18"/>
  <c r="O132" i="18"/>
  <c r="P132" i="18"/>
  <c r="Q132" i="18"/>
  <c r="L139" i="18"/>
  <c r="M139" i="18"/>
  <c r="N139" i="18"/>
  <c r="O139" i="18"/>
  <c r="P139" i="18"/>
  <c r="Q139" i="18"/>
  <c r="L128" i="18"/>
  <c r="M128" i="18"/>
  <c r="N128" i="18"/>
  <c r="O128" i="18"/>
  <c r="P128" i="18"/>
  <c r="Q128" i="18"/>
  <c r="L127" i="18"/>
  <c r="M127" i="18"/>
  <c r="N127" i="18"/>
  <c r="O127" i="18"/>
  <c r="P127" i="18"/>
  <c r="Q127" i="18"/>
  <c r="L135" i="18"/>
  <c r="M135" i="18"/>
  <c r="N135" i="18"/>
  <c r="O135" i="18"/>
  <c r="P135" i="18"/>
  <c r="Q135" i="18"/>
  <c r="L140" i="18"/>
  <c r="M140" i="18"/>
  <c r="N140" i="18"/>
  <c r="O140" i="18"/>
  <c r="P140" i="18"/>
  <c r="Q140" i="18"/>
  <c r="L136" i="18"/>
  <c r="M136" i="18"/>
  <c r="N136" i="18"/>
  <c r="O136" i="18"/>
  <c r="P136" i="18"/>
  <c r="Q136" i="18"/>
  <c r="L142" i="18"/>
  <c r="M142" i="18"/>
  <c r="N142" i="18"/>
  <c r="O142" i="18"/>
  <c r="P142" i="18"/>
  <c r="Q142" i="18"/>
  <c r="L154" i="18"/>
  <c r="M154" i="18"/>
  <c r="N154" i="18"/>
  <c r="O154" i="18"/>
  <c r="P154" i="18"/>
  <c r="Q154" i="18"/>
  <c r="L148" i="18"/>
  <c r="M148" i="18"/>
  <c r="N148" i="18"/>
  <c r="O148" i="18"/>
  <c r="P148" i="18"/>
  <c r="Q148" i="18"/>
  <c r="L145" i="18"/>
  <c r="M145" i="18"/>
  <c r="N145" i="18"/>
  <c r="O145" i="18"/>
  <c r="P145" i="18"/>
  <c r="Q145" i="18"/>
  <c r="L149" i="18"/>
  <c r="M149" i="18"/>
  <c r="N149" i="18"/>
  <c r="O149" i="18"/>
  <c r="P149" i="18"/>
  <c r="Q149" i="18"/>
  <c r="L143" i="18"/>
  <c r="M143" i="18"/>
  <c r="N143" i="18"/>
  <c r="O143" i="18"/>
  <c r="P143" i="18"/>
  <c r="Q143" i="18"/>
  <c r="L159" i="18"/>
  <c r="M159" i="18"/>
  <c r="N159" i="18"/>
  <c r="O159" i="18"/>
  <c r="P159" i="18"/>
  <c r="Q159" i="18"/>
  <c r="L158" i="18"/>
  <c r="M158" i="18"/>
  <c r="N158" i="18"/>
  <c r="O158" i="18"/>
  <c r="P158" i="18"/>
  <c r="Q158" i="18"/>
  <c r="L164" i="18"/>
  <c r="M164" i="18"/>
  <c r="N164" i="18"/>
  <c r="O164" i="18"/>
  <c r="P164" i="18"/>
  <c r="Q164" i="18"/>
  <c r="L163" i="18"/>
  <c r="M163" i="18"/>
  <c r="N163" i="18"/>
  <c r="O163" i="18"/>
  <c r="P163" i="18"/>
  <c r="Q163" i="18"/>
  <c r="L166" i="18"/>
  <c r="M166" i="18"/>
  <c r="N166" i="18"/>
  <c r="O166" i="18"/>
  <c r="P166" i="18"/>
  <c r="Q166" i="18"/>
  <c r="L169" i="18"/>
  <c r="M169" i="18"/>
  <c r="N169" i="18"/>
  <c r="O169" i="18"/>
  <c r="P169" i="18"/>
  <c r="Q169" i="18"/>
  <c r="L174" i="18"/>
  <c r="M174" i="18"/>
  <c r="N174" i="18"/>
  <c r="O174" i="18"/>
  <c r="P174" i="18"/>
  <c r="Q174" i="18"/>
  <c r="L176" i="18"/>
  <c r="M176" i="18"/>
  <c r="N176" i="18"/>
  <c r="O176" i="18"/>
  <c r="P176" i="18"/>
  <c r="Q176" i="18"/>
  <c r="L173" i="18"/>
  <c r="M173" i="18"/>
  <c r="N173" i="18"/>
  <c r="O173" i="18"/>
  <c r="P173" i="18"/>
  <c r="Q173" i="18"/>
  <c r="L185" i="18"/>
  <c r="M185" i="18"/>
  <c r="N185" i="18"/>
  <c r="O185" i="18"/>
  <c r="P185" i="18"/>
  <c r="Q185" i="18"/>
  <c r="L189" i="18"/>
  <c r="M189" i="18"/>
  <c r="N189" i="18"/>
  <c r="O189" i="18"/>
  <c r="P189" i="18"/>
  <c r="Q189" i="18"/>
  <c r="L32" i="18"/>
  <c r="M32" i="18"/>
  <c r="N32" i="18"/>
  <c r="O32" i="18"/>
  <c r="P32" i="18"/>
  <c r="Q32" i="18"/>
  <c r="L53" i="18"/>
  <c r="M53" i="18"/>
  <c r="N53" i="18"/>
  <c r="O53" i="18"/>
  <c r="P53" i="18"/>
  <c r="Q53" i="18"/>
  <c r="L52" i="18"/>
  <c r="M52" i="18"/>
  <c r="N52" i="18"/>
  <c r="O52" i="18"/>
  <c r="P52" i="18"/>
  <c r="Q52" i="18"/>
  <c r="L57" i="18"/>
  <c r="M57" i="18"/>
  <c r="N57" i="18"/>
  <c r="O57" i="18"/>
  <c r="P57" i="18"/>
  <c r="Q57" i="18"/>
  <c r="L72" i="18"/>
  <c r="M72" i="18"/>
  <c r="N72" i="18"/>
  <c r="O72" i="18"/>
  <c r="P72" i="18"/>
  <c r="Q72" i="18"/>
  <c r="L82" i="18"/>
  <c r="M82" i="18"/>
  <c r="N82" i="18"/>
  <c r="O82" i="18"/>
  <c r="P82" i="18"/>
  <c r="Q82" i="18"/>
  <c r="L83" i="18"/>
  <c r="M83" i="18"/>
  <c r="N83" i="18"/>
  <c r="O83" i="18"/>
  <c r="P83" i="18"/>
  <c r="Q83" i="18"/>
  <c r="L94" i="18"/>
  <c r="M94" i="18"/>
  <c r="N94" i="18"/>
  <c r="O94" i="18"/>
  <c r="P94" i="18"/>
  <c r="Q94" i="18"/>
  <c r="L103" i="18"/>
  <c r="M103" i="18"/>
  <c r="N103" i="18"/>
  <c r="O103" i="18"/>
  <c r="P103" i="18"/>
  <c r="Q103" i="18"/>
  <c r="L85" i="18"/>
  <c r="M85" i="18"/>
  <c r="N85" i="18"/>
  <c r="O85" i="18"/>
  <c r="P85" i="18"/>
  <c r="Q85" i="18"/>
  <c r="L102" i="18"/>
  <c r="M102" i="18"/>
  <c r="N102" i="18"/>
  <c r="O102" i="18"/>
  <c r="P102" i="18"/>
  <c r="Q102" i="18"/>
  <c r="L98" i="18"/>
  <c r="M98" i="18"/>
  <c r="N98" i="18"/>
  <c r="O98" i="18"/>
  <c r="P98" i="18"/>
  <c r="Q98" i="18"/>
  <c r="L113" i="18"/>
  <c r="M113" i="18"/>
  <c r="N113" i="18"/>
  <c r="O113" i="18"/>
  <c r="P113" i="18"/>
  <c r="Q113" i="18"/>
  <c r="L115" i="18"/>
  <c r="M115" i="18"/>
  <c r="N115" i="18"/>
  <c r="O115" i="18"/>
  <c r="P115" i="18"/>
  <c r="Q115" i="18"/>
  <c r="L114" i="18"/>
  <c r="M114" i="18"/>
  <c r="N114" i="18"/>
  <c r="O114" i="18"/>
  <c r="P114" i="18"/>
  <c r="Q114" i="18"/>
  <c r="L120" i="18"/>
  <c r="M120" i="18"/>
  <c r="N120" i="18"/>
  <c r="O120" i="18"/>
  <c r="P120" i="18"/>
  <c r="Q120" i="18"/>
  <c r="L129" i="18"/>
  <c r="M129" i="18"/>
  <c r="N129" i="18"/>
  <c r="O129" i="18"/>
  <c r="P129" i="18"/>
  <c r="Q129" i="18"/>
  <c r="L134" i="18"/>
  <c r="M134" i="18"/>
  <c r="N134" i="18"/>
  <c r="O134" i="18"/>
  <c r="P134" i="18"/>
  <c r="Q134" i="18"/>
  <c r="L146" i="18"/>
  <c r="M146" i="18"/>
  <c r="N146" i="18"/>
  <c r="O146" i="18"/>
  <c r="P146" i="18"/>
  <c r="Q146" i="18"/>
  <c r="L137" i="18"/>
  <c r="M137" i="18"/>
  <c r="N137" i="18"/>
  <c r="O137" i="18"/>
  <c r="P137" i="18"/>
  <c r="Q137" i="18"/>
  <c r="L138" i="18"/>
  <c r="M138" i="18"/>
  <c r="N138" i="18"/>
  <c r="O138" i="18"/>
  <c r="P138" i="18"/>
  <c r="Q138" i="18"/>
  <c r="L153" i="18"/>
  <c r="M153" i="18"/>
  <c r="N153" i="18"/>
  <c r="O153" i="18"/>
  <c r="P153" i="18"/>
  <c r="Q153" i="18"/>
  <c r="L156" i="18"/>
  <c r="M156" i="18"/>
  <c r="N156" i="18"/>
  <c r="O156" i="18"/>
  <c r="P156" i="18"/>
  <c r="Q156" i="18"/>
  <c r="L150" i="18"/>
  <c r="M150" i="18"/>
  <c r="N150" i="18"/>
  <c r="O150" i="18"/>
  <c r="P150" i="18"/>
  <c r="Q150" i="18"/>
  <c r="L162" i="18"/>
  <c r="M162" i="18"/>
  <c r="N162" i="18"/>
  <c r="O162" i="18"/>
  <c r="P162" i="18"/>
  <c r="Q162" i="18"/>
  <c r="L165" i="18"/>
  <c r="M165" i="18"/>
  <c r="N165" i="18"/>
  <c r="O165" i="18"/>
  <c r="P165" i="18"/>
  <c r="Q165" i="18"/>
  <c r="L168" i="18"/>
  <c r="M168" i="18"/>
  <c r="N168" i="18"/>
  <c r="O168" i="18"/>
  <c r="P168" i="18"/>
  <c r="Q168" i="18"/>
  <c r="L172" i="18"/>
  <c r="M172" i="18"/>
  <c r="N172" i="18"/>
  <c r="O172" i="18"/>
  <c r="P172" i="18"/>
  <c r="Q172" i="18"/>
  <c r="L181" i="18"/>
  <c r="M181" i="18"/>
  <c r="N181" i="18"/>
  <c r="O181" i="18"/>
  <c r="P181" i="18"/>
  <c r="Q181" i="18"/>
  <c r="L179" i="18"/>
  <c r="M179" i="18"/>
  <c r="N179" i="18"/>
  <c r="O179" i="18"/>
  <c r="P179" i="18"/>
  <c r="Q179" i="18"/>
  <c r="L178" i="18"/>
  <c r="M178" i="18"/>
  <c r="N178" i="18"/>
  <c r="O178" i="18"/>
  <c r="P178" i="18"/>
  <c r="Q178" i="18"/>
  <c r="L183" i="18"/>
  <c r="M183" i="18"/>
  <c r="N183" i="18"/>
  <c r="O183" i="18"/>
  <c r="P183" i="18"/>
  <c r="Q183" i="18"/>
  <c r="M20" i="18"/>
  <c r="N20" i="18"/>
  <c r="O20" i="18"/>
  <c r="P20" i="18"/>
  <c r="L20" i="18"/>
  <c r="P2" i="5"/>
  <c r="Q2" i="5"/>
  <c r="P3" i="5"/>
  <c r="Q3" i="5"/>
  <c r="P4" i="5"/>
  <c r="Q4" i="5"/>
  <c r="P5" i="5"/>
  <c r="Q5" i="5"/>
  <c r="P6" i="5"/>
  <c r="Q6" i="5"/>
  <c r="P7" i="5"/>
  <c r="Q7" i="5"/>
  <c r="P8" i="5"/>
  <c r="Q8" i="5"/>
  <c r="P9" i="5"/>
  <c r="Q9" i="5"/>
  <c r="P10" i="5"/>
  <c r="Q10" i="5"/>
  <c r="P11" i="5"/>
  <c r="Q11" i="5"/>
  <c r="P12" i="5"/>
  <c r="Q12" i="5"/>
  <c r="P13" i="5"/>
  <c r="Q13" i="5"/>
  <c r="P14" i="5"/>
  <c r="Q14" i="5"/>
  <c r="P15" i="5"/>
  <c r="Q15" i="5"/>
  <c r="P16" i="5"/>
  <c r="Q16" i="5"/>
  <c r="P17" i="5"/>
  <c r="Q17" i="5"/>
  <c r="P18" i="5"/>
  <c r="Q18" i="5"/>
  <c r="P19" i="5"/>
  <c r="Q19" i="5"/>
  <c r="P20" i="5"/>
  <c r="Q20" i="5"/>
  <c r="P21" i="5"/>
  <c r="Q21" i="5"/>
  <c r="P22" i="5"/>
  <c r="Q22" i="5"/>
  <c r="P23" i="5"/>
  <c r="Q23" i="5"/>
  <c r="P24" i="5"/>
  <c r="Q24" i="5"/>
  <c r="P25" i="5"/>
  <c r="Q25" i="5"/>
  <c r="P26" i="5"/>
  <c r="Q26" i="5"/>
  <c r="P27" i="5"/>
  <c r="Q27" i="5"/>
  <c r="P28" i="5"/>
  <c r="Q28" i="5"/>
  <c r="P29" i="5"/>
  <c r="Q29" i="5"/>
  <c r="P30" i="5"/>
  <c r="Q30" i="5"/>
  <c r="P31" i="5"/>
  <c r="Q31" i="5"/>
  <c r="P32" i="5"/>
  <c r="Q32" i="5"/>
  <c r="P33" i="5"/>
  <c r="Q33" i="5"/>
  <c r="P2" i="2"/>
  <c r="Q2" i="2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Q27" i="2"/>
  <c r="P28" i="2"/>
  <c r="Q28" i="2"/>
  <c r="P29" i="2"/>
  <c r="Q29" i="2"/>
  <c r="P30" i="2"/>
  <c r="Q30" i="2"/>
  <c r="P31" i="2"/>
  <c r="Q31" i="2"/>
  <c r="P32" i="2"/>
  <c r="Q32" i="2"/>
  <c r="P33" i="2"/>
  <c r="Q33" i="2"/>
  <c r="J11" i="4"/>
  <c r="J13" i="4"/>
  <c r="J12" i="4"/>
  <c r="J15" i="4"/>
  <c r="J21" i="4"/>
  <c r="J16" i="4"/>
  <c r="J31" i="4"/>
  <c r="J32" i="4"/>
  <c r="J3" i="4"/>
  <c r="J3" i="6"/>
  <c r="J19" i="6"/>
  <c r="J2" i="6"/>
  <c r="J9" i="7"/>
  <c r="J15" i="7"/>
  <c r="J14" i="7"/>
  <c r="J19" i="7"/>
  <c r="J21" i="7"/>
  <c r="J22" i="7"/>
  <c r="J31" i="7"/>
  <c r="Q2" i="4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K19" i="7" s="1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2" i="7"/>
  <c r="Q3" i="6"/>
  <c r="Q4" i="6"/>
  <c r="Q5" i="6"/>
  <c r="K4" i="6" s="1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J20" i="6" s="1"/>
  <c r="Q21" i="6"/>
  <c r="J21" i="6" s="1"/>
  <c r="Q22" i="6"/>
  <c r="Q23" i="6"/>
  <c r="Q24" i="6"/>
  <c r="Q25" i="6"/>
  <c r="Q26" i="6"/>
  <c r="Q27" i="6"/>
  <c r="Q28" i="6"/>
  <c r="Q29" i="6"/>
  <c r="Q30" i="6"/>
  <c r="Q31" i="6"/>
  <c r="Q32" i="6"/>
  <c r="Q33" i="6"/>
  <c r="Q2" i="6"/>
  <c r="Q3" i="4"/>
  <c r="Q4" i="4"/>
  <c r="K4" i="4" s="1"/>
  <c r="Q5" i="4"/>
  <c r="Q6" i="4"/>
  <c r="Q7" i="4"/>
  <c r="Q8" i="4"/>
  <c r="J8" i="4" s="1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2" i="3"/>
  <c r="L2" i="7"/>
  <c r="J2" i="7" s="1"/>
  <c r="M2" i="7"/>
  <c r="N2" i="7"/>
  <c r="O2" i="7"/>
  <c r="P2" i="7"/>
  <c r="L4" i="7"/>
  <c r="M4" i="7"/>
  <c r="N4" i="7"/>
  <c r="O4" i="7"/>
  <c r="P4" i="7"/>
  <c r="L3" i="7"/>
  <c r="J3" i="7" s="1"/>
  <c r="M3" i="7"/>
  <c r="N3" i="7"/>
  <c r="O3" i="7"/>
  <c r="P3" i="7"/>
  <c r="L5" i="7"/>
  <c r="J5" i="7" s="1"/>
  <c r="M5" i="7"/>
  <c r="N5" i="7"/>
  <c r="O5" i="7"/>
  <c r="P5" i="7"/>
  <c r="L6" i="7"/>
  <c r="M6" i="7"/>
  <c r="N6" i="7"/>
  <c r="O6" i="7"/>
  <c r="P6" i="7"/>
  <c r="L11" i="7"/>
  <c r="M11" i="7"/>
  <c r="N11" i="7"/>
  <c r="O11" i="7"/>
  <c r="P11" i="7"/>
  <c r="L8" i="7"/>
  <c r="J8" i="7" s="1"/>
  <c r="M8" i="7"/>
  <c r="N8" i="7"/>
  <c r="O8" i="7"/>
  <c r="P8" i="7"/>
  <c r="L7" i="7"/>
  <c r="J7" i="7" s="1"/>
  <c r="M7" i="7"/>
  <c r="N7" i="7"/>
  <c r="O7" i="7"/>
  <c r="P7" i="7"/>
  <c r="L13" i="7"/>
  <c r="J13" i="7" s="1"/>
  <c r="M13" i="7"/>
  <c r="N13" i="7"/>
  <c r="O13" i="7"/>
  <c r="P13" i="7"/>
  <c r="L9" i="7"/>
  <c r="M9" i="7"/>
  <c r="N9" i="7"/>
  <c r="O9" i="7"/>
  <c r="P9" i="7"/>
  <c r="L12" i="7"/>
  <c r="M12" i="7"/>
  <c r="N12" i="7"/>
  <c r="O12" i="7"/>
  <c r="P12" i="7"/>
  <c r="L10" i="7"/>
  <c r="J10" i="7" s="1"/>
  <c r="M10" i="7"/>
  <c r="N10" i="7"/>
  <c r="O10" i="7"/>
  <c r="P10" i="7"/>
  <c r="L16" i="7"/>
  <c r="J16" i="7" s="1"/>
  <c r="M16" i="7"/>
  <c r="N16" i="7"/>
  <c r="O16" i="7"/>
  <c r="P16" i="7"/>
  <c r="L15" i="7"/>
  <c r="M15" i="7"/>
  <c r="N15" i="7"/>
  <c r="O15" i="7"/>
  <c r="P15" i="7"/>
  <c r="L14" i="7"/>
  <c r="M14" i="7"/>
  <c r="N14" i="7"/>
  <c r="O14" i="7"/>
  <c r="P14" i="7"/>
  <c r="L17" i="7"/>
  <c r="M17" i="7"/>
  <c r="N17" i="7"/>
  <c r="O17" i="7"/>
  <c r="P17" i="7"/>
  <c r="L18" i="7"/>
  <c r="M18" i="7"/>
  <c r="N18" i="7"/>
  <c r="O18" i="7"/>
  <c r="P18" i="7"/>
  <c r="L19" i="7"/>
  <c r="M19" i="7"/>
  <c r="N19" i="7"/>
  <c r="O19" i="7"/>
  <c r="P19" i="7"/>
  <c r="L21" i="7"/>
  <c r="M21" i="7"/>
  <c r="N21" i="7"/>
  <c r="O21" i="7"/>
  <c r="P21" i="7"/>
  <c r="L22" i="7"/>
  <c r="M22" i="7"/>
  <c r="N22" i="7"/>
  <c r="O22" i="7"/>
  <c r="P22" i="7"/>
  <c r="L25" i="7"/>
  <c r="J25" i="7" s="1"/>
  <c r="M25" i="7"/>
  <c r="N25" i="7"/>
  <c r="O25" i="7"/>
  <c r="P25" i="7"/>
  <c r="L20" i="7"/>
  <c r="M20" i="7"/>
  <c r="N20" i="7"/>
  <c r="O20" i="7"/>
  <c r="P20" i="7"/>
  <c r="L23" i="7"/>
  <c r="J23" i="7" s="1"/>
  <c r="M23" i="7"/>
  <c r="N23" i="7"/>
  <c r="O23" i="7"/>
  <c r="P23" i="7"/>
  <c r="L24" i="7"/>
  <c r="M24" i="7"/>
  <c r="N24" i="7"/>
  <c r="O24" i="7"/>
  <c r="P24" i="7"/>
  <c r="L26" i="7"/>
  <c r="J26" i="7" s="1"/>
  <c r="M26" i="7"/>
  <c r="N26" i="7"/>
  <c r="O26" i="7"/>
  <c r="P26" i="7"/>
  <c r="L27" i="7"/>
  <c r="M27" i="7"/>
  <c r="N27" i="7"/>
  <c r="O27" i="7"/>
  <c r="J27" i="7" s="1"/>
  <c r="P27" i="7"/>
  <c r="L28" i="7"/>
  <c r="M28" i="7"/>
  <c r="N28" i="7"/>
  <c r="O28" i="7"/>
  <c r="P28" i="7"/>
  <c r="L29" i="7"/>
  <c r="J29" i="7" s="1"/>
  <c r="M29" i="7"/>
  <c r="N29" i="7"/>
  <c r="O29" i="7"/>
  <c r="P29" i="7"/>
  <c r="L32" i="7"/>
  <c r="J32" i="7" s="1"/>
  <c r="M32" i="7"/>
  <c r="N32" i="7"/>
  <c r="O32" i="7"/>
  <c r="P32" i="7"/>
  <c r="L31" i="7"/>
  <c r="M31" i="7"/>
  <c r="N31" i="7"/>
  <c r="O31" i="7"/>
  <c r="P31" i="7"/>
  <c r="L33" i="7"/>
  <c r="M33" i="7"/>
  <c r="N33" i="7"/>
  <c r="O33" i="7"/>
  <c r="J33" i="7" s="1"/>
  <c r="P33" i="7"/>
  <c r="L30" i="7"/>
  <c r="M30" i="7"/>
  <c r="N30" i="7"/>
  <c r="O30" i="7"/>
  <c r="P30" i="7"/>
  <c r="P20" i="6"/>
  <c r="O20" i="6"/>
  <c r="N20" i="6"/>
  <c r="M20" i="6"/>
  <c r="L20" i="6"/>
  <c r="P32" i="6"/>
  <c r="O32" i="6"/>
  <c r="N32" i="6"/>
  <c r="M32" i="6"/>
  <c r="L32" i="6"/>
  <c r="J32" i="6" s="1"/>
  <c r="P23" i="6"/>
  <c r="O23" i="6"/>
  <c r="J23" i="6" s="1"/>
  <c r="N23" i="6"/>
  <c r="M23" i="6"/>
  <c r="L23" i="6"/>
  <c r="P13" i="6"/>
  <c r="O13" i="6"/>
  <c r="J13" i="6" s="1"/>
  <c r="N13" i="6"/>
  <c r="M13" i="6"/>
  <c r="L13" i="6"/>
  <c r="P14" i="6"/>
  <c r="O14" i="6"/>
  <c r="N14" i="6"/>
  <c r="M14" i="6"/>
  <c r="L14" i="6"/>
  <c r="J14" i="6" s="1"/>
  <c r="P22" i="6"/>
  <c r="O22" i="6"/>
  <c r="N22" i="6"/>
  <c r="M22" i="6"/>
  <c r="L22" i="6"/>
  <c r="J22" i="6" s="1"/>
  <c r="P24" i="6"/>
  <c r="O24" i="6"/>
  <c r="J24" i="6" s="1"/>
  <c r="N24" i="6"/>
  <c r="M24" i="6"/>
  <c r="L24" i="6"/>
  <c r="P27" i="6"/>
  <c r="O27" i="6"/>
  <c r="N27" i="6"/>
  <c r="M27" i="6"/>
  <c r="L27" i="6"/>
  <c r="P16" i="6"/>
  <c r="O16" i="6"/>
  <c r="N16" i="6"/>
  <c r="M16" i="6"/>
  <c r="L16" i="6"/>
  <c r="J16" i="6" s="1"/>
  <c r="P15" i="6"/>
  <c r="O15" i="6"/>
  <c r="N15" i="6"/>
  <c r="M15" i="6"/>
  <c r="L15" i="6"/>
  <c r="J15" i="6" s="1"/>
  <c r="P10" i="6"/>
  <c r="O10" i="6"/>
  <c r="J10" i="6" s="1"/>
  <c r="N10" i="6"/>
  <c r="M10" i="6"/>
  <c r="L10" i="6"/>
  <c r="P2" i="6"/>
  <c r="O2" i="6"/>
  <c r="N2" i="6"/>
  <c r="M2" i="6"/>
  <c r="L2" i="6"/>
  <c r="P12" i="6"/>
  <c r="O12" i="6"/>
  <c r="N12" i="6"/>
  <c r="M12" i="6"/>
  <c r="L12" i="6"/>
  <c r="K12" i="6" s="1"/>
  <c r="P4" i="6"/>
  <c r="O4" i="6"/>
  <c r="N4" i="6"/>
  <c r="M4" i="6"/>
  <c r="L4" i="6"/>
  <c r="J4" i="6" s="1"/>
  <c r="P8" i="6"/>
  <c r="O8" i="6"/>
  <c r="N8" i="6"/>
  <c r="M8" i="6"/>
  <c r="L8" i="6"/>
  <c r="J8" i="6" s="1"/>
  <c r="P5" i="6"/>
  <c r="O5" i="6"/>
  <c r="N5" i="6"/>
  <c r="M5" i="6"/>
  <c r="L5" i="6"/>
  <c r="P21" i="6"/>
  <c r="O21" i="6"/>
  <c r="N21" i="6"/>
  <c r="M21" i="6"/>
  <c r="L21" i="6"/>
  <c r="P11" i="6"/>
  <c r="O11" i="6"/>
  <c r="N11" i="6"/>
  <c r="M11" i="6"/>
  <c r="L11" i="6"/>
  <c r="J11" i="6" s="1"/>
  <c r="P7" i="6"/>
  <c r="O7" i="6"/>
  <c r="N7" i="6"/>
  <c r="M7" i="6"/>
  <c r="L7" i="6"/>
  <c r="K7" i="6" s="1"/>
  <c r="P19" i="6"/>
  <c r="O19" i="6"/>
  <c r="N19" i="6"/>
  <c r="M19" i="6"/>
  <c r="L19" i="6"/>
  <c r="P28" i="6"/>
  <c r="O28" i="6"/>
  <c r="N28" i="6"/>
  <c r="M28" i="6"/>
  <c r="L28" i="6"/>
  <c r="J28" i="6" s="1"/>
  <c r="P33" i="6"/>
  <c r="O33" i="6"/>
  <c r="N33" i="6"/>
  <c r="M33" i="6"/>
  <c r="L33" i="6"/>
  <c r="J33" i="6" s="1"/>
  <c r="P18" i="6"/>
  <c r="O18" i="6"/>
  <c r="J18" i="6" s="1"/>
  <c r="N18" i="6"/>
  <c r="M18" i="6"/>
  <c r="L18" i="6"/>
  <c r="P31" i="6"/>
  <c r="O31" i="6"/>
  <c r="J31" i="6" s="1"/>
  <c r="N31" i="6"/>
  <c r="M31" i="6"/>
  <c r="L31" i="6"/>
  <c r="P9" i="6"/>
  <c r="O9" i="6"/>
  <c r="N9" i="6"/>
  <c r="M9" i="6"/>
  <c r="L9" i="6"/>
  <c r="J9" i="6" s="1"/>
  <c r="P26" i="6"/>
  <c r="O26" i="6"/>
  <c r="N26" i="6"/>
  <c r="M26" i="6"/>
  <c r="L26" i="6"/>
  <c r="J26" i="6" s="1"/>
  <c r="P30" i="6"/>
  <c r="O30" i="6"/>
  <c r="N30" i="6"/>
  <c r="M30" i="6"/>
  <c r="L30" i="6"/>
  <c r="J30" i="6" s="1"/>
  <c r="P3" i="6"/>
  <c r="O3" i="6"/>
  <c r="N3" i="6"/>
  <c r="M3" i="6"/>
  <c r="L3" i="6"/>
  <c r="P6" i="6"/>
  <c r="O6" i="6"/>
  <c r="N6" i="6"/>
  <c r="M6" i="6"/>
  <c r="L6" i="6"/>
  <c r="J6" i="6" s="1"/>
  <c r="P17" i="6"/>
  <c r="O17" i="6"/>
  <c r="N17" i="6"/>
  <c r="M17" i="6"/>
  <c r="L17" i="6"/>
  <c r="K17" i="6" s="1"/>
  <c r="P25" i="6"/>
  <c r="O25" i="6"/>
  <c r="N25" i="6"/>
  <c r="M25" i="6"/>
  <c r="L25" i="6"/>
  <c r="J25" i="6" s="1"/>
  <c r="P29" i="6"/>
  <c r="O29" i="6"/>
  <c r="N29" i="6"/>
  <c r="M29" i="6"/>
  <c r="L29" i="6"/>
  <c r="K29" i="6" s="1"/>
  <c r="O7" i="5"/>
  <c r="N7" i="5"/>
  <c r="M7" i="5"/>
  <c r="L7" i="5"/>
  <c r="J7" i="5" s="1"/>
  <c r="O5" i="5"/>
  <c r="N5" i="5"/>
  <c r="M5" i="5"/>
  <c r="L5" i="5"/>
  <c r="O2" i="5"/>
  <c r="N2" i="5"/>
  <c r="M2" i="5"/>
  <c r="L2" i="5"/>
  <c r="J2" i="5" s="1"/>
  <c r="O17" i="5"/>
  <c r="N17" i="5"/>
  <c r="M17" i="5"/>
  <c r="L17" i="5"/>
  <c r="O30" i="5"/>
  <c r="N30" i="5"/>
  <c r="M30" i="5"/>
  <c r="L30" i="5"/>
  <c r="O19" i="5"/>
  <c r="N19" i="5"/>
  <c r="M19" i="5"/>
  <c r="L19" i="5"/>
  <c r="O21" i="5"/>
  <c r="N21" i="5"/>
  <c r="M21" i="5"/>
  <c r="L21" i="5"/>
  <c r="O18" i="5"/>
  <c r="N18" i="5"/>
  <c r="M18" i="5"/>
  <c r="L18" i="5"/>
  <c r="K18" i="5" s="1"/>
  <c r="O20" i="5"/>
  <c r="N20" i="5"/>
  <c r="M20" i="5"/>
  <c r="L20" i="5"/>
  <c r="O13" i="5"/>
  <c r="N13" i="5"/>
  <c r="M13" i="5"/>
  <c r="L13" i="5"/>
  <c r="O25" i="5"/>
  <c r="N25" i="5"/>
  <c r="M25" i="5"/>
  <c r="L25" i="5"/>
  <c r="J25" i="5" s="1"/>
  <c r="O16" i="5"/>
  <c r="N16" i="5"/>
  <c r="M16" i="5"/>
  <c r="L16" i="5"/>
  <c r="O14" i="5"/>
  <c r="N14" i="5"/>
  <c r="M14" i="5"/>
  <c r="L14" i="5"/>
  <c r="O8" i="5"/>
  <c r="N8" i="5"/>
  <c r="M8" i="5"/>
  <c r="L8" i="5"/>
  <c r="O27" i="5"/>
  <c r="N27" i="5"/>
  <c r="M27" i="5"/>
  <c r="L27" i="5"/>
  <c r="O12" i="5"/>
  <c r="N12" i="5"/>
  <c r="M12" i="5"/>
  <c r="L12" i="5"/>
  <c r="K12" i="5" s="1"/>
  <c r="O6" i="5"/>
  <c r="N6" i="5"/>
  <c r="M6" i="5"/>
  <c r="L6" i="5"/>
  <c r="O28" i="5"/>
  <c r="N28" i="5"/>
  <c r="M28" i="5"/>
  <c r="L28" i="5"/>
  <c r="J28" i="5" s="1"/>
  <c r="O31" i="5"/>
  <c r="N31" i="5"/>
  <c r="M31" i="5"/>
  <c r="L31" i="5"/>
  <c r="O23" i="5"/>
  <c r="N23" i="5"/>
  <c r="M23" i="5"/>
  <c r="L23" i="5"/>
  <c r="O26" i="5"/>
  <c r="N26" i="5"/>
  <c r="M26" i="5"/>
  <c r="L26" i="5"/>
  <c r="J26" i="5" s="1"/>
  <c r="O33" i="5"/>
  <c r="N33" i="5"/>
  <c r="M33" i="5"/>
  <c r="L33" i="5"/>
  <c r="O32" i="5"/>
  <c r="N32" i="5"/>
  <c r="M32" i="5"/>
  <c r="L32" i="5"/>
  <c r="J32" i="5" s="1"/>
  <c r="O24" i="5"/>
  <c r="N24" i="5"/>
  <c r="M24" i="5"/>
  <c r="L24" i="5"/>
  <c r="O9" i="5"/>
  <c r="N9" i="5"/>
  <c r="M9" i="5"/>
  <c r="L9" i="5"/>
  <c r="O3" i="5"/>
  <c r="N3" i="5"/>
  <c r="M3" i="5"/>
  <c r="L3" i="5"/>
  <c r="J3" i="5" s="1"/>
  <c r="O11" i="5"/>
  <c r="N11" i="5"/>
  <c r="M11" i="5"/>
  <c r="L11" i="5"/>
  <c r="O22" i="5"/>
  <c r="N22" i="5"/>
  <c r="M22" i="5"/>
  <c r="L22" i="5"/>
  <c r="J22" i="5" s="1"/>
  <c r="O15" i="5"/>
  <c r="N15" i="5"/>
  <c r="M15" i="5"/>
  <c r="L15" i="5"/>
  <c r="O10" i="5"/>
  <c r="N10" i="5"/>
  <c r="M10" i="5"/>
  <c r="L10" i="5"/>
  <c r="O29" i="5"/>
  <c r="N29" i="5"/>
  <c r="M29" i="5"/>
  <c r="L29" i="5"/>
  <c r="O4" i="5"/>
  <c r="N4" i="5"/>
  <c r="M4" i="5"/>
  <c r="L4" i="5"/>
  <c r="P3" i="4"/>
  <c r="O3" i="4"/>
  <c r="N3" i="4"/>
  <c r="M3" i="4"/>
  <c r="L3" i="4"/>
  <c r="P17" i="4"/>
  <c r="O17" i="4"/>
  <c r="N17" i="4"/>
  <c r="M17" i="4"/>
  <c r="L17" i="4"/>
  <c r="J17" i="4" s="1"/>
  <c r="P25" i="4"/>
  <c r="O25" i="4"/>
  <c r="N25" i="4"/>
  <c r="M25" i="4"/>
  <c r="L25" i="4"/>
  <c r="P30" i="4"/>
  <c r="O30" i="4"/>
  <c r="N30" i="4"/>
  <c r="M30" i="4"/>
  <c r="J30" i="4" s="1"/>
  <c r="L30" i="4"/>
  <c r="P8" i="4"/>
  <c r="O8" i="4"/>
  <c r="N8" i="4"/>
  <c r="M8" i="4"/>
  <c r="L8" i="4"/>
  <c r="P32" i="4"/>
  <c r="O32" i="4"/>
  <c r="N32" i="4"/>
  <c r="M32" i="4"/>
  <c r="L32" i="4"/>
  <c r="K32" i="4" s="1"/>
  <c r="P27" i="4"/>
  <c r="O27" i="4"/>
  <c r="N27" i="4"/>
  <c r="M27" i="4"/>
  <c r="L27" i="4"/>
  <c r="J27" i="4" s="1"/>
  <c r="P26" i="4"/>
  <c r="O26" i="4"/>
  <c r="N26" i="4"/>
  <c r="M26" i="4"/>
  <c r="K26" i="4" s="1"/>
  <c r="L26" i="4"/>
  <c r="J26" i="4" s="1"/>
  <c r="P19" i="4"/>
  <c r="O19" i="4"/>
  <c r="N19" i="4"/>
  <c r="M19" i="4"/>
  <c r="L19" i="4"/>
  <c r="J19" i="4" s="1"/>
  <c r="P16" i="4"/>
  <c r="O16" i="4"/>
  <c r="N16" i="4"/>
  <c r="M16" i="4"/>
  <c r="L16" i="4"/>
  <c r="P24" i="4"/>
  <c r="O24" i="4"/>
  <c r="N24" i="4"/>
  <c r="M24" i="4"/>
  <c r="L24" i="4"/>
  <c r="J24" i="4" s="1"/>
  <c r="P2" i="4"/>
  <c r="O2" i="4"/>
  <c r="N2" i="4"/>
  <c r="M2" i="4"/>
  <c r="J2" i="4" s="1"/>
  <c r="L2" i="4"/>
  <c r="P23" i="4"/>
  <c r="O23" i="4"/>
  <c r="N23" i="4"/>
  <c r="M23" i="4"/>
  <c r="L23" i="4"/>
  <c r="J23" i="4" s="1"/>
  <c r="P6" i="4"/>
  <c r="O6" i="4"/>
  <c r="N6" i="4"/>
  <c r="M6" i="4"/>
  <c r="L6" i="4"/>
  <c r="P9" i="4"/>
  <c r="O9" i="4"/>
  <c r="N9" i="4"/>
  <c r="M9" i="4"/>
  <c r="L9" i="4"/>
  <c r="K9" i="4" s="1"/>
  <c r="P14" i="4"/>
  <c r="O14" i="4"/>
  <c r="N14" i="4"/>
  <c r="M14" i="4"/>
  <c r="J14" i="4" s="1"/>
  <c r="L14" i="4"/>
  <c r="P31" i="4"/>
  <c r="O31" i="4"/>
  <c r="N31" i="4"/>
  <c r="M31" i="4"/>
  <c r="L31" i="4"/>
  <c r="P12" i="4"/>
  <c r="O12" i="4"/>
  <c r="N12" i="4"/>
  <c r="M12" i="4"/>
  <c r="L12" i="4"/>
  <c r="P18" i="4"/>
  <c r="O18" i="4"/>
  <c r="N18" i="4"/>
  <c r="M18" i="4"/>
  <c r="L18" i="4"/>
  <c r="J18" i="4" s="1"/>
  <c r="P33" i="4"/>
  <c r="O33" i="4"/>
  <c r="N33" i="4"/>
  <c r="M33" i="4"/>
  <c r="J33" i="4" s="1"/>
  <c r="L33" i="4"/>
  <c r="P15" i="4"/>
  <c r="O15" i="4"/>
  <c r="N15" i="4"/>
  <c r="M15" i="4"/>
  <c r="L15" i="4"/>
  <c r="P28" i="4"/>
  <c r="O28" i="4"/>
  <c r="N28" i="4"/>
  <c r="M28" i="4"/>
  <c r="L28" i="4"/>
  <c r="P21" i="4"/>
  <c r="O21" i="4"/>
  <c r="N21" i="4"/>
  <c r="M21" i="4"/>
  <c r="L21" i="4"/>
  <c r="K21" i="4" s="1"/>
  <c r="P29" i="4"/>
  <c r="O29" i="4"/>
  <c r="N29" i="4"/>
  <c r="M29" i="4"/>
  <c r="J29" i="4" s="1"/>
  <c r="L29" i="4"/>
  <c r="P20" i="4"/>
  <c r="O20" i="4"/>
  <c r="N20" i="4"/>
  <c r="M20" i="4"/>
  <c r="L20" i="4"/>
  <c r="J20" i="4" s="1"/>
  <c r="P13" i="4"/>
  <c r="O13" i="4"/>
  <c r="N13" i="4"/>
  <c r="M13" i="4"/>
  <c r="L13" i="4"/>
  <c r="K13" i="4" s="1"/>
  <c r="P7" i="4"/>
  <c r="O7" i="4"/>
  <c r="N7" i="4"/>
  <c r="M7" i="4"/>
  <c r="L7" i="4"/>
  <c r="J7" i="4" s="1"/>
  <c r="P10" i="4"/>
  <c r="O10" i="4"/>
  <c r="N10" i="4"/>
  <c r="M10" i="4"/>
  <c r="J10" i="4" s="1"/>
  <c r="L10" i="4"/>
  <c r="P11" i="4"/>
  <c r="O11" i="4"/>
  <c r="N11" i="4"/>
  <c r="M11" i="4"/>
  <c r="L11" i="4"/>
  <c r="P4" i="4"/>
  <c r="O4" i="4"/>
  <c r="N4" i="4"/>
  <c r="M4" i="4"/>
  <c r="L4" i="4"/>
  <c r="J4" i="4" s="1"/>
  <c r="P22" i="4"/>
  <c r="O22" i="4"/>
  <c r="N22" i="4"/>
  <c r="M22" i="4"/>
  <c r="L22" i="4"/>
  <c r="K22" i="4" s="1"/>
  <c r="P5" i="4"/>
  <c r="O5" i="4"/>
  <c r="N5" i="4"/>
  <c r="M5" i="4"/>
  <c r="J5" i="4" s="1"/>
  <c r="L5" i="4"/>
  <c r="P6" i="3"/>
  <c r="O6" i="3"/>
  <c r="N6" i="3"/>
  <c r="M6" i="3"/>
  <c r="L6" i="3"/>
  <c r="K6" i="3" s="1"/>
  <c r="P3" i="3"/>
  <c r="O3" i="3"/>
  <c r="N3" i="3"/>
  <c r="M3" i="3"/>
  <c r="L3" i="3"/>
  <c r="J3" i="3" s="1"/>
  <c r="P28" i="3"/>
  <c r="O28" i="3"/>
  <c r="N28" i="3"/>
  <c r="M28" i="3"/>
  <c r="L28" i="3"/>
  <c r="J28" i="3" s="1"/>
  <c r="P12" i="3"/>
  <c r="O12" i="3"/>
  <c r="N12" i="3"/>
  <c r="M12" i="3"/>
  <c r="L12" i="3"/>
  <c r="P4" i="3"/>
  <c r="O4" i="3"/>
  <c r="N4" i="3"/>
  <c r="M4" i="3"/>
  <c r="L4" i="3"/>
  <c r="K4" i="3" s="1"/>
  <c r="P23" i="3"/>
  <c r="O23" i="3"/>
  <c r="N23" i="3"/>
  <c r="M23" i="3"/>
  <c r="L23" i="3"/>
  <c r="P17" i="3"/>
  <c r="O17" i="3"/>
  <c r="N17" i="3"/>
  <c r="M17" i="3"/>
  <c r="L17" i="3"/>
  <c r="K17" i="3" s="1"/>
  <c r="P18" i="3"/>
  <c r="O18" i="3"/>
  <c r="N18" i="3"/>
  <c r="M18" i="3"/>
  <c r="L18" i="3"/>
  <c r="K18" i="3" s="1"/>
  <c r="P5" i="3"/>
  <c r="O5" i="3"/>
  <c r="N5" i="3"/>
  <c r="M5" i="3"/>
  <c r="L5" i="3"/>
  <c r="K5" i="3" s="1"/>
  <c r="P10" i="3"/>
  <c r="O10" i="3"/>
  <c r="N10" i="3"/>
  <c r="M10" i="3"/>
  <c r="L10" i="3"/>
  <c r="P13" i="3"/>
  <c r="O13" i="3"/>
  <c r="N13" i="3"/>
  <c r="M13" i="3"/>
  <c r="L13" i="3"/>
  <c r="K13" i="3" s="1"/>
  <c r="P22" i="3"/>
  <c r="O22" i="3"/>
  <c r="N22" i="3"/>
  <c r="M22" i="3"/>
  <c r="L22" i="3"/>
  <c r="K22" i="3" s="1"/>
  <c r="P7" i="3"/>
  <c r="O7" i="3"/>
  <c r="N7" i="3"/>
  <c r="M7" i="3"/>
  <c r="L7" i="3"/>
  <c r="J7" i="3" s="1"/>
  <c r="P24" i="3"/>
  <c r="O24" i="3"/>
  <c r="N24" i="3"/>
  <c r="M24" i="3"/>
  <c r="L24" i="3"/>
  <c r="J24" i="3" s="1"/>
  <c r="P21" i="3"/>
  <c r="O21" i="3"/>
  <c r="N21" i="3"/>
  <c r="M21" i="3"/>
  <c r="L21" i="3"/>
  <c r="P19" i="3"/>
  <c r="O19" i="3"/>
  <c r="N19" i="3"/>
  <c r="M19" i="3"/>
  <c r="L19" i="3"/>
  <c r="K19" i="3" s="1"/>
  <c r="P33" i="3"/>
  <c r="O33" i="3"/>
  <c r="N33" i="3"/>
  <c r="M33" i="3"/>
  <c r="L33" i="3"/>
  <c r="J33" i="3" s="1"/>
  <c r="P11" i="3"/>
  <c r="O11" i="3"/>
  <c r="N11" i="3"/>
  <c r="M11" i="3"/>
  <c r="L11" i="3"/>
  <c r="P27" i="3"/>
  <c r="O27" i="3"/>
  <c r="N27" i="3"/>
  <c r="M27" i="3"/>
  <c r="L27" i="3"/>
  <c r="J27" i="3" s="1"/>
  <c r="P30" i="3"/>
  <c r="O30" i="3"/>
  <c r="N30" i="3"/>
  <c r="M30" i="3"/>
  <c r="L30" i="3"/>
  <c r="P29" i="3"/>
  <c r="O29" i="3"/>
  <c r="N29" i="3"/>
  <c r="M29" i="3"/>
  <c r="L29" i="3"/>
  <c r="K29" i="3" s="1"/>
  <c r="P32" i="3"/>
  <c r="O32" i="3"/>
  <c r="N32" i="3"/>
  <c r="M32" i="3"/>
  <c r="L32" i="3"/>
  <c r="P31" i="3"/>
  <c r="O31" i="3"/>
  <c r="N31" i="3"/>
  <c r="M31" i="3"/>
  <c r="L31" i="3"/>
  <c r="J31" i="3" s="1"/>
  <c r="P15" i="3"/>
  <c r="O15" i="3"/>
  <c r="N15" i="3"/>
  <c r="M15" i="3"/>
  <c r="L15" i="3"/>
  <c r="K15" i="3" s="1"/>
  <c r="P2" i="3"/>
  <c r="O2" i="3"/>
  <c r="N2" i="3"/>
  <c r="M2" i="3"/>
  <c r="L2" i="3"/>
  <c r="P14" i="3"/>
  <c r="O14" i="3"/>
  <c r="N14" i="3"/>
  <c r="M14" i="3"/>
  <c r="L14" i="3"/>
  <c r="P8" i="3"/>
  <c r="O8" i="3"/>
  <c r="N8" i="3"/>
  <c r="M8" i="3"/>
  <c r="L8" i="3"/>
  <c r="J8" i="3" s="1"/>
  <c r="P26" i="3"/>
  <c r="O26" i="3"/>
  <c r="N26" i="3"/>
  <c r="M26" i="3"/>
  <c r="L26" i="3"/>
  <c r="K26" i="3" s="1"/>
  <c r="P9" i="3"/>
  <c r="O9" i="3"/>
  <c r="N9" i="3"/>
  <c r="M9" i="3"/>
  <c r="L9" i="3"/>
  <c r="K9" i="3" s="1"/>
  <c r="P20" i="3"/>
  <c r="O20" i="3"/>
  <c r="N20" i="3"/>
  <c r="M20" i="3"/>
  <c r="L20" i="3"/>
  <c r="P16" i="3"/>
  <c r="O16" i="3"/>
  <c r="N16" i="3"/>
  <c r="M16" i="3"/>
  <c r="L16" i="3"/>
  <c r="K16" i="3" s="1"/>
  <c r="P25" i="3"/>
  <c r="O25" i="3"/>
  <c r="N25" i="3"/>
  <c r="M25" i="3"/>
  <c r="L25" i="3"/>
  <c r="K25" i="3" s="1"/>
  <c r="L10" i="2"/>
  <c r="M10" i="2"/>
  <c r="N10" i="2"/>
  <c r="O10" i="2"/>
  <c r="L21" i="2"/>
  <c r="M21" i="2"/>
  <c r="N21" i="2"/>
  <c r="O21" i="2"/>
  <c r="L20" i="2"/>
  <c r="M20" i="2"/>
  <c r="N20" i="2"/>
  <c r="O20" i="2"/>
  <c r="L14" i="2"/>
  <c r="M14" i="2"/>
  <c r="N14" i="2"/>
  <c r="O14" i="2"/>
  <c r="L22" i="2"/>
  <c r="M22" i="2"/>
  <c r="N22" i="2"/>
  <c r="O22" i="2"/>
  <c r="L15" i="2"/>
  <c r="M15" i="2"/>
  <c r="N15" i="2"/>
  <c r="O15" i="2"/>
  <c r="L5" i="2"/>
  <c r="M5" i="2"/>
  <c r="N5" i="2"/>
  <c r="O5" i="2"/>
  <c r="L31" i="2"/>
  <c r="M31" i="2"/>
  <c r="N31" i="2"/>
  <c r="O31" i="2"/>
  <c r="L27" i="2"/>
  <c r="M27" i="2"/>
  <c r="N27" i="2"/>
  <c r="O27" i="2"/>
  <c r="L30" i="2"/>
  <c r="M30" i="2"/>
  <c r="N30" i="2"/>
  <c r="O30" i="2"/>
  <c r="L28" i="2"/>
  <c r="M28" i="2"/>
  <c r="N28" i="2"/>
  <c r="O28" i="2"/>
  <c r="L29" i="2"/>
  <c r="M29" i="2"/>
  <c r="N29" i="2"/>
  <c r="O29" i="2"/>
  <c r="L33" i="2"/>
  <c r="M33" i="2"/>
  <c r="N33" i="2"/>
  <c r="O33" i="2"/>
  <c r="L25" i="2"/>
  <c r="M25" i="2"/>
  <c r="N25" i="2"/>
  <c r="O25" i="2"/>
  <c r="L2" i="2"/>
  <c r="M2" i="2"/>
  <c r="N2" i="2"/>
  <c r="O2" i="2"/>
  <c r="L32" i="2"/>
  <c r="M32" i="2"/>
  <c r="N32" i="2"/>
  <c r="O32" i="2"/>
  <c r="L11" i="2"/>
  <c r="M11" i="2"/>
  <c r="N11" i="2"/>
  <c r="O11" i="2"/>
  <c r="L12" i="2"/>
  <c r="M12" i="2"/>
  <c r="N12" i="2"/>
  <c r="O12" i="2"/>
  <c r="L23" i="2"/>
  <c r="M23" i="2"/>
  <c r="N23" i="2"/>
  <c r="O23" i="2"/>
  <c r="L9" i="2"/>
  <c r="M9" i="2"/>
  <c r="N9" i="2"/>
  <c r="O9" i="2"/>
  <c r="L16" i="2"/>
  <c r="M16" i="2"/>
  <c r="N16" i="2"/>
  <c r="O16" i="2"/>
  <c r="L13" i="2"/>
  <c r="M13" i="2"/>
  <c r="N13" i="2"/>
  <c r="O13" i="2"/>
  <c r="L17" i="2"/>
  <c r="M17" i="2"/>
  <c r="N17" i="2"/>
  <c r="O17" i="2"/>
  <c r="L7" i="2"/>
  <c r="M7" i="2"/>
  <c r="N7" i="2"/>
  <c r="O7" i="2"/>
  <c r="L8" i="2"/>
  <c r="M8" i="2"/>
  <c r="N8" i="2"/>
  <c r="O8" i="2"/>
  <c r="L26" i="2"/>
  <c r="M26" i="2"/>
  <c r="N26" i="2"/>
  <c r="O26" i="2"/>
  <c r="L6" i="2"/>
  <c r="M6" i="2"/>
  <c r="N6" i="2"/>
  <c r="O6" i="2"/>
  <c r="L4" i="2"/>
  <c r="M4" i="2"/>
  <c r="N4" i="2"/>
  <c r="O4" i="2"/>
  <c r="L3" i="2"/>
  <c r="M3" i="2"/>
  <c r="N3" i="2"/>
  <c r="O3" i="2"/>
  <c r="L24" i="2"/>
  <c r="M24" i="2"/>
  <c r="N24" i="2"/>
  <c r="O24" i="2"/>
  <c r="L19" i="2"/>
  <c r="M19" i="2"/>
  <c r="N19" i="2"/>
  <c r="O19" i="2"/>
  <c r="O18" i="2"/>
  <c r="N18" i="2"/>
  <c r="M18" i="2"/>
  <c r="L18" i="2"/>
  <c r="E13" i="16"/>
  <c r="E16" i="16"/>
  <c r="E59" i="16"/>
  <c r="E23" i="16"/>
  <c r="E24" i="16"/>
  <c r="E53" i="16"/>
  <c r="E60" i="16"/>
  <c r="E70" i="16"/>
  <c r="E73" i="16"/>
  <c r="E88" i="16"/>
  <c r="E118" i="16"/>
  <c r="E94" i="16"/>
  <c r="E5" i="16"/>
  <c r="E97" i="16"/>
  <c r="E111" i="16"/>
  <c r="E19" i="16"/>
  <c r="E138" i="16"/>
  <c r="E147" i="16"/>
  <c r="E156" i="16"/>
  <c r="E163" i="16"/>
  <c r="E170" i="16"/>
  <c r="E171" i="16"/>
  <c r="E186" i="16"/>
  <c r="E10" i="16"/>
  <c r="E15" i="16"/>
  <c r="E34" i="16"/>
  <c r="E43" i="16"/>
  <c r="E47" i="16"/>
  <c r="E48" i="16"/>
  <c r="E51" i="16"/>
  <c r="E52" i="16"/>
  <c r="E134" i="16"/>
  <c r="E56" i="16"/>
  <c r="E63" i="16"/>
  <c r="E66" i="16"/>
  <c r="E78" i="16"/>
  <c r="E91" i="16"/>
  <c r="E93" i="16"/>
  <c r="E100" i="16"/>
  <c r="E105" i="16"/>
  <c r="E107" i="16"/>
  <c r="E140" i="16"/>
  <c r="E101" i="16"/>
  <c r="E168" i="16"/>
  <c r="E169" i="16"/>
  <c r="E172" i="16"/>
  <c r="E187" i="16"/>
  <c r="E8" i="16"/>
  <c r="E17" i="16"/>
  <c r="E18" i="16"/>
  <c r="E37" i="16"/>
  <c r="E38" i="16"/>
  <c r="E39" i="16"/>
  <c r="E69" i="16"/>
  <c r="E72" i="16"/>
  <c r="E87" i="16"/>
  <c r="E77" i="16"/>
  <c r="E79" i="16"/>
  <c r="E98" i="16"/>
  <c r="E102" i="16"/>
  <c r="E103" i="16"/>
  <c r="E104" i="16"/>
  <c r="E115" i="16"/>
  <c r="E121" i="16"/>
  <c r="E123" i="16"/>
  <c r="E192" i="16"/>
  <c r="E131" i="16"/>
  <c r="E143" i="16"/>
  <c r="E153" i="16"/>
  <c r="E178" i="16"/>
  <c r="E114" i="16"/>
  <c r="E2" i="16"/>
  <c r="E54" i="16"/>
  <c r="E30" i="16"/>
  <c r="E45" i="16"/>
  <c r="E55" i="16"/>
  <c r="E86" i="16"/>
  <c r="E67" i="16"/>
  <c r="E68" i="16"/>
  <c r="E83" i="16"/>
  <c r="E89" i="16"/>
  <c r="E112" i="16"/>
  <c r="E119" i="16"/>
  <c r="E122" i="16"/>
  <c r="E124" i="16"/>
  <c r="E184" i="16"/>
  <c r="E133" i="16"/>
  <c r="E137" i="16"/>
  <c r="E92" i="16"/>
  <c r="E150" i="16"/>
  <c r="E151" i="16"/>
  <c r="E157" i="16"/>
  <c r="E165" i="16"/>
  <c r="E183" i="16"/>
  <c r="E193" i="16"/>
  <c r="E4" i="16"/>
  <c r="E27" i="16"/>
  <c r="E21" i="16"/>
  <c r="E32" i="16"/>
  <c r="E33" i="16"/>
  <c r="E42" i="16"/>
  <c r="E46" i="16"/>
  <c r="E57" i="16"/>
  <c r="E74" i="16"/>
  <c r="E75" i="16"/>
  <c r="E84" i="16"/>
  <c r="E96" i="16"/>
  <c r="E108" i="16"/>
  <c r="E132" i="16"/>
  <c r="E117" i="16"/>
  <c r="E125" i="16"/>
  <c r="E128" i="16"/>
  <c r="E130" i="16"/>
  <c r="E29" i="16"/>
  <c r="E135" i="16"/>
  <c r="E144" i="16"/>
  <c r="E145" i="16"/>
  <c r="E154" i="16"/>
  <c r="E191" i="16"/>
  <c r="E3" i="16"/>
  <c r="E25" i="16"/>
  <c r="E26" i="16"/>
  <c r="E31" i="16"/>
  <c r="E139" i="16"/>
  <c r="E65" i="16"/>
  <c r="E80" i="16"/>
  <c r="E82" i="16"/>
  <c r="E85" i="16"/>
  <c r="E95" i="16"/>
  <c r="E110" i="16"/>
  <c r="E174" i="16"/>
  <c r="E136" i="16"/>
  <c r="E146" i="16"/>
  <c r="E148" i="16"/>
  <c r="E159" i="16"/>
  <c r="E162" i="16"/>
  <c r="E166" i="16"/>
  <c r="E167" i="16"/>
  <c r="E176" i="16"/>
  <c r="E179" i="16"/>
  <c r="E180" i="16"/>
  <c r="E190" i="16"/>
  <c r="E126" i="16"/>
  <c r="E7" i="16"/>
  <c r="E6" i="16"/>
  <c r="E9" i="16"/>
  <c r="E12" i="16"/>
  <c r="E22" i="16"/>
  <c r="E28" i="16"/>
  <c r="E35" i="16"/>
  <c r="E41" i="16"/>
  <c r="E49" i="16"/>
  <c r="E50" i="16"/>
  <c r="E71" i="16"/>
  <c r="E120" i="16"/>
  <c r="E76" i="16"/>
  <c r="E109" i="16"/>
  <c r="E141" i="16"/>
  <c r="E155" i="16"/>
  <c r="E158" i="16"/>
  <c r="E161" i="16"/>
  <c r="E164" i="16"/>
  <c r="E173" i="16"/>
  <c r="E106" i="16"/>
  <c r="E175" i="16"/>
  <c r="E182" i="16"/>
  <c r="E185" i="16"/>
  <c r="E11" i="16"/>
  <c r="E64" i="16"/>
  <c r="E20" i="16"/>
  <c r="E36" i="16"/>
  <c r="E40" i="16"/>
  <c r="E44" i="16"/>
  <c r="E61" i="16"/>
  <c r="E62" i="16"/>
  <c r="E81" i="16"/>
  <c r="E90" i="16"/>
  <c r="E189" i="16"/>
  <c r="E99" i="16"/>
  <c r="E113" i="16"/>
  <c r="E116" i="16"/>
  <c r="E142" i="16"/>
  <c r="E127" i="16"/>
  <c r="E129" i="16"/>
  <c r="E58" i="16"/>
  <c r="E149" i="16"/>
  <c r="E152" i="16"/>
  <c r="E160" i="16"/>
  <c r="E177" i="16"/>
  <c r="E181" i="16"/>
  <c r="E188" i="16"/>
  <c r="E14" i="16"/>
  <c r="J30" i="18" l="1"/>
  <c r="K165" i="18"/>
  <c r="K82" i="18"/>
  <c r="K177" i="18"/>
  <c r="K39" i="18"/>
  <c r="K103" i="18"/>
  <c r="K75" i="18"/>
  <c r="K7" i="18"/>
  <c r="J15" i="18"/>
  <c r="K143" i="18"/>
  <c r="K74" i="18"/>
  <c r="K68" i="18"/>
  <c r="K144" i="18"/>
  <c r="K46" i="18"/>
  <c r="J131" i="18"/>
  <c r="K172" i="18"/>
  <c r="K181" i="18"/>
  <c r="J146" i="18"/>
  <c r="K51" i="18"/>
  <c r="K70" i="18"/>
  <c r="J34" i="18"/>
  <c r="K186" i="18"/>
  <c r="J141" i="18"/>
  <c r="K56" i="18"/>
  <c r="K175" i="18"/>
  <c r="J137" i="18"/>
  <c r="J189" i="18"/>
  <c r="J127" i="18"/>
  <c r="J147" i="18"/>
  <c r="J17" i="18"/>
  <c r="J36" i="18"/>
  <c r="J152" i="18"/>
  <c r="J35" i="18"/>
  <c r="J87" i="18"/>
  <c r="J120" i="18"/>
  <c r="J174" i="18"/>
  <c r="J123" i="18"/>
  <c r="J125" i="18"/>
  <c r="J193" i="18"/>
  <c r="K62" i="18"/>
  <c r="J16" i="18"/>
  <c r="J117" i="18"/>
  <c r="J50" i="18"/>
  <c r="J80" i="18"/>
  <c r="K71" i="18"/>
  <c r="K148" i="18"/>
  <c r="K3" i="18"/>
  <c r="J185" i="18"/>
  <c r="K79" i="18"/>
  <c r="K93" i="18"/>
  <c r="J133" i="18"/>
  <c r="J183" i="18"/>
  <c r="J98" i="18"/>
  <c r="J164" i="18"/>
  <c r="J139" i="18"/>
  <c r="K162" i="18"/>
  <c r="J119" i="18"/>
  <c r="J53" i="18"/>
  <c r="K53" i="18"/>
  <c r="J157" i="18"/>
  <c r="K121" i="18"/>
  <c r="K66" i="18"/>
  <c r="K109" i="18"/>
  <c r="J170" i="18"/>
  <c r="J188" i="18"/>
  <c r="J67" i="18"/>
  <c r="J6" i="18"/>
  <c r="J121" i="18"/>
  <c r="J56" i="18"/>
  <c r="J40" i="18"/>
  <c r="J130" i="18"/>
  <c r="J81" i="18"/>
  <c r="K12" i="18"/>
  <c r="K41" i="18"/>
  <c r="K170" i="18"/>
  <c r="J109" i="18"/>
  <c r="K157" i="18"/>
  <c r="K98" i="18"/>
  <c r="K164" i="18"/>
  <c r="K95" i="18"/>
  <c r="K188" i="18"/>
  <c r="J42" i="18"/>
  <c r="K42" i="18"/>
  <c r="K11" i="18"/>
  <c r="K192" i="18"/>
  <c r="J116" i="18"/>
  <c r="K116" i="18"/>
  <c r="J153" i="18"/>
  <c r="K153" i="18"/>
  <c r="K119" i="18"/>
  <c r="J22" i="18"/>
  <c r="K22" i="18"/>
  <c r="K14" i="18"/>
  <c r="J171" i="18"/>
  <c r="K171" i="18"/>
  <c r="J59" i="18"/>
  <c r="K40" i="18"/>
  <c r="J25" i="18"/>
  <c r="K25" i="18"/>
  <c r="J172" i="18"/>
  <c r="K134" i="18"/>
  <c r="J134" i="18"/>
  <c r="J94" i="18"/>
  <c r="K94" i="18"/>
  <c r="K173" i="18"/>
  <c r="J173" i="18"/>
  <c r="J149" i="18"/>
  <c r="K149" i="18"/>
  <c r="K29" i="18"/>
  <c r="J29" i="18"/>
  <c r="K6" i="18"/>
  <c r="K124" i="18"/>
  <c r="J124" i="18"/>
  <c r="K59" i="18"/>
  <c r="K28" i="18"/>
  <c r="J28" i="18"/>
  <c r="K90" i="18"/>
  <c r="J90" i="18"/>
  <c r="K183" i="18"/>
  <c r="J140" i="18"/>
  <c r="K140" i="18"/>
  <c r="K97" i="18"/>
  <c r="K108" i="18"/>
  <c r="K76" i="18"/>
  <c r="J70" i="18"/>
  <c r="J175" i="18"/>
  <c r="K81" i="18"/>
  <c r="J41" i="18"/>
  <c r="J162" i="18"/>
  <c r="K114" i="18"/>
  <c r="J114" i="18"/>
  <c r="J72" i="18"/>
  <c r="K72" i="18"/>
  <c r="K169" i="18"/>
  <c r="J169" i="18"/>
  <c r="J154" i="18"/>
  <c r="K154" i="18"/>
  <c r="J37" i="18"/>
  <c r="J55" i="18"/>
  <c r="K55" i="18"/>
  <c r="J14" i="18"/>
  <c r="J2" i="18"/>
  <c r="K2" i="18"/>
  <c r="J38" i="18"/>
  <c r="K38" i="18"/>
  <c r="K139" i="18"/>
  <c r="J184" i="18"/>
  <c r="K184" i="18"/>
  <c r="K133" i="18"/>
  <c r="J71" i="18"/>
  <c r="K67" i="18"/>
  <c r="K130" i="18"/>
  <c r="K37" i="18"/>
  <c r="J12" i="18"/>
  <c r="K32" i="18"/>
  <c r="K158" i="18"/>
  <c r="J135" i="18"/>
  <c r="K96" i="18"/>
  <c r="K155" i="18"/>
  <c r="K84" i="18"/>
  <c r="K105" i="18"/>
  <c r="J150" i="18"/>
  <c r="K115" i="18"/>
  <c r="J57" i="18"/>
  <c r="K166" i="18"/>
  <c r="K142" i="18"/>
  <c r="J110" i="18"/>
  <c r="J160" i="18"/>
  <c r="K106" i="18"/>
  <c r="J33" i="18"/>
  <c r="K63" i="18"/>
  <c r="K20" i="18"/>
  <c r="K129" i="18"/>
  <c r="K27" i="18"/>
  <c r="J54" i="18"/>
  <c r="K179" i="18"/>
  <c r="K137" i="18"/>
  <c r="K85" i="18"/>
  <c r="K189" i="18"/>
  <c r="K159" i="18"/>
  <c r="K127" i="18"/>
  <c r="K107" i="18"/>
  <c r="K112" i="18"/>
  <c r="J48" i="18"/>
  <c r="K10" i="18"/>
  <c r="J182" i="18"/>
  <c r="J99" i="18"/>
  <c r="J64" i="18"/>
  <c r="K24" i="18"/>
  <c r="J107" i="18"/>
  <c r="J21" i="18"/>
  <c r="K18" i="18"/>
  <c r="K9" i="18"/>
  <c r="K78" i="18"/>
  <c r="K190" i="18"/>
  <c r="K92" i="18"/>
  <c r="K61" i="18"/>
  <c r="K54" i="18"/>
  <c r="K145" i="18"/>
  <c r="K180" i="18"/>
  <c r="K5" i="18"/>
  <c r="K65" i="18"/>
  <c r="K167" i="18"/>
  <c r="K69" i="18"/>
  <c r="J31" i="18"/>
  <c r="J168" i="18"/>
  <c r="J180" i="18"/>
  <c r="J126" i="18"/>
  <c r="J49" i="18"/>
  <c r="J5" i="18"/>
  <c r="J118" i="18"/>
  <c r="J65" i="18"/>
  <c r="J167" i="18"/>
  <c r="J88" i="18"/>
  <c r="K21" i="18"/>
  <c r="K156" i="18"/>
  <c r="K52" i="18"/>
  <c r="K136" i="18"/>
  <c r="K89" i="18"/>
  <c r="K147" i="18"/>
  <c r="K26" i="18"/>
  <c r="K86" i="18"/>
  <c r="K36" i="18"/>
  <c r="K8" i="18"/>
  <c r="K152" i="18"/>
  <c r="K73" i="18"/>
  <c r="K35" i="18"/>
  <c r="K187" i="18"/>
  <c r="K87" i="18"/>
  <c r="K58" i="18"/>
  <c r="J113" i="18"/>
  <c r="J52" i="18"/>
  <c r="K163" i="18"/>
  <c r="J100" i="18"/>
  <c r="J161" i="18"/>
  <c r="J104" i="18"/>
  <c r="J26" i="18"/>
  <c r="J108" i="18"/>
  <c r="J11" i="18"/>
  <c r="J76" i="18"/>
  <c r="J192" i="18"/>
  <c r="J66" i="18"/>
  <c r="K120" i="18"/>
  <c r="K174" i="18"/>
  <c r="J148" i="18"/>
  <c r="K123" i="18"/>
  <c r="J39" i="18"/>
  <c r="J62" i="18"/>
  <c r="J3" i="18"/>
  <c r="J68" i="18"/>
  <c r="J144" i="18"/>
  <c r="K80" i="18"/>
  <c r="K178" i="18"/>
  <c r="J138" i="18"/>
  <c r="K102" i="18"/>
  <c r="K43" i="18"/>
  <c r="K151" i="18"/>
  <c r="K47" i="18"/>
  <c r="K168" i="18"/>
  <c r="K83" i="18"/>
  <c r="K49" i="18"/>
  <c r="K111" i="18"/>
  <c r="J44" i="18"/>
  <c r="J13" i="18"/>
  <c r="J191" i="18"/>
  <c r="J101" i="18"/>
  <c r="K45" i="18"/>
  <c r="K23" i="18"/>
  <c r="J122" i="18"/>
  <c r="J83" i="18"/>
  <c r="K176" i="18"/>
  <c r="J145" i="18"/>
  <c r="J132" i="18"/>
  <c r="J4" i="18"/>
  <c r="J63" i="18"/>
  <c r="J19" i="18"/>
  <c r="K161" i="18"/>
  <c r="K77" i="18"/>
  <c r="K17" i="18"/>
  <c r="K48" i="18"/>
  <c r="K182" i="18"/>
  <c r="K64" i="18"/>
  <c r="J156" i="18"/>
  <c r="J136" i="18"/>
  <c r="J60" i="18"/>
  <c r="J95" i="18"/>
  <c r="J165" i="18"/>
  <c r="J82" i="18"/>
  <c r="J177" i="18"/>
  <c r="K125" i="18"/>
  <c r="K193" i="18"/>
  <c r="K16" i="18"/>
  <c r="K117" i="18"/>
  <c r="K50" i="18"/>
  <c r="K91" i="18"/>
  <c r="J46" i="18"/>
  <c r="J91" i="18"/>
  <c r="J181" i="18"/>
  <c r="K146" i="18"/>
  <c r="J103" i="18"/>
  <c r="K185" i="18"/>
  <c r="J143" i="18"/>
  <c r="K128" i="18"/>
  <c r="J97" i="18"/>
  <c r="J79" i="18"/>
  <c r="K141" i="18"/>
  <c r="J74" i="18"/>
  <c r="K15" i="18"/>
  <c r="J75" i="18"/>
  <c r="K34" i="18"/>
  <c r="J7" i="18"/>
  <c r="K131" i="18"/>
  <c r="J93" i="18"/>
  <c r="K30" i="18"/>
  <c r="J186" i="18"/>
  <c r="J51" i="18"/>
  <c r="J128" i="18"/>
  <c r="J43" i="18"/>
  <c r="J27" i="18"/>
  <c r="K160" i="18"/>
  <c r="K191" i="18"/>
  <c r="J69" i="18"/>
  <c r="J10" i="18"/>
  <c r="J178" i="18"/>
  <c r="J102" i="18"/>
  <c r="J158" i="18"/>
  <c r="J96" i="18"/>
  <c r="J84" i="18"/>
  <c r="J105" i="18"/>
  <c r="J9" i="18"/>
  <c r="J78" i="18"/>
  <c r="J190" i="18"/>
  <c r="J61" i="18"/>
  <c r="J155" i="18"/>
  <c r="J129" i="18"/>
  <c r="K31" i="18"/>
  <c r="J115" i="18"/>
  <c r="J20" i="18"/>
  <c r="J179" i="18"/>
  <c r="J85" i="18"/>
  <c r="J159" i="18"/>
  <c r="J89" i="18"/>
  <c r="J77" i="18"/>
  <c r="J86" i="18"/>
  <c r="J8" i="18"/>
  <c r="J73" i="18"/>
  <c r="J187" i="18"/>
  <c r="J58" i="18"/>
  <c r="J18" i="18"/>
  <c r="J176" i="18"/>
  <c r="J166" i="18"/>
  <c r="J112" i="18"/>
  <c r="K132" i="18"/>
  <c r="K126" i="18"/>
  <c r="K4" i="18"/>
  <c r="K19" i="18"/>
  <c r="K118" i="18"/>
  <c r="K88" i="18"/>
  <c r="J111" i="18"/>
  <c r="K138" i="18"/>
  <c r="J106" i="18"/>
  <c r="J47" i="18"/>
  <c r="K57" i="18"/>
  <c r="K44" i="18"/>
  <c r="J23" i="18"/>
  <c r="K135" i="18"/>
  <c r="J163" i="18"/>
  <c r="J24" i="18"/>
  <c r="K110" i="18"/>
  <c r="K13" i="18"/>
  <c r="K101" i="18"/>
  <c r="K113" i="18"/>
  <c r="K100" i="18"/>
  <c r="K104" i="18"/>
  <c r="K99" i="18"/>
  <c r="K60" i="18"/>
  <c r="J32" i="18"/>
  <c r="J92" i="18"/>
  <c r="K150" i="18"/>
  <c r="K33" i="18"/>
  <c r="K122" i="18"/>
  <c r="J142" i="18"/>
  <c r="J45" i="18"/>
  <c r="J151" i="18"/>
  <c r="J20" i="3"/>
  <c r="J14" i="3"/>
  <c r="J32" i="3"/>
  <c r="J11" i="3"/>
  <c r="J10" i="3"/>
  <c r="J23" i="3"/>
  <c r="J2" i="3"/>
  <c r="J18" i="3"/>
  <c r="J15" i="3"/>
  <c r="K21" i="3"/>
  <c r="J21" i="3"/>
  <c r="J19" i="3"/>
  <c r="J16" i="3"/>
  <c r="K29" i="5"/>
  <c r="J19" i="5"/>
  <c r="J27" i="5"/>
  <c r="K13" i="5"/>
  <c r="J31" i="5"/>
  <c r="J8" i="5"/>
  <c r="K17" i="5"/>
  <c r="J10" i="5"/>
  <c r="K27" i="5"/>
  <c r="J13" i="5"/>
  <c r="J30" i="5"/>
  <c r="J21" i="5"/>
  <c r="K33" i="5"/>
  <c r="K5" i="5"/>
  <c r="J9" i="5"/>
  <c r="J15" i="5"/>
  <c r="J29" i="5"/>
  <c r="J20" i="5"/>
  <c r="J14" i="5"/>
  <c r="J11" i="5"/>
  <c r="J33" i="5"/>
  <c r="J16" i="5"/>
  <c r="J6" i="5"/>
  <c r="K6" i="7"/>
  <c r="K30" i="7"/>
  <c r="K3" i="7"/>
  <c r="J6" i="7"/>
  <c r="K16" i="7"/>
  <c r="K17" i="7"/>
  <c r="K24" i="7"/>
  <c r="K22" i="7"/>
  <c r="K9" i="7"/>
  <c r="J24" i="7"/>
  <c r="K26" i="7"/>
  <c r="K13" i="7"/>
  <c r="J17" i="7"/>
  <c r="K5" i="7"/>
  <c r="K33" i="7"/>
  <c r="K12" i="7"/>
  <c r="J12" i="7"/>
  <c r="K23" i="7"/>
  <c r="K28" i="7"/>
  <c r="K8" i="7"/>
  <c r="J28" i="7"/>
  <c r="K31" i="7"/>
  <c r="K20" i="7"/>
  <c r="K4" i="7"/>
  <c r="K18" i="7"/>
  <c r="K10" i="7"/>
  <c r="J30" i="7"/>
  <c r="J20" i="7"/>
  <c r="J4" i="7"/>
  <c r="K32" i="7"/>
  <c r="K2" i="7"/>
  <c r="J18" i="7"/>
  <c r="K29" i="7"/>
  <c r="K7" i="7"/>
  <c r="K21" i="7"/>
  <c r="K14" i="7"/>
  <c r="K15" i="7"/>
  <c r="K27" i="7"/>
  <c r="K11" i="7"/>
  <c r="J11" i="7"/>
  <c r="K25" i="7"/>
  <c r="K15" i="6"/>
  <c r="K18" i="6"/>
  <c r="K9" i="6"/>
  <c r="K20" i="6"/>
  <c r="J17" i="6"/>
  <c r="K3" i="6"/>
  <c r="K19" i="6"/>
  <c r="K5" i="6"/>
  <c r="K2" i="6"/>
  <c r="K27" i="6"/>
  <c r="J12" i="6"/>
  <c r="J29" i="6"/>
  <c r="J7" i="6"/>
  <c r="K24" i="6"/>
  <c r="K23" i="6"/>
  <c r="K33" i="6"/>
  <c r="K32" i="6"/>
  <c r="K6" i="6"/>
  <c r="K21" i="6"/>
  <c r="K14" i="6"/>
  <c r="K13" i="6"/>
  <c r="K25" i="6"/>
  <c r="K8" i="6"/>
  <c r="J5" i="6"/>
  <c r="K11" i="6"/>
  <c r="K22" i="6"/>
  <c r="K28" i="6"/>
  <c r="K16" i="6"/>
  <c r="K31" i="6"/>
  <c r="K30" i="6"/>
  <c r="K10" i="6"/>
  <c r="K26" i="6"/>
  <c r="J27" i="6"/>
  <c r="K6" i="5"/>
  <c r="K30" i="5"/>
  <c r="K24" i="5"/>
  <c r="K25" i="5"/>
  <c r="K19" i="5"/>
  <c r="J12" i="5"/>
  <c r="K15" i="5"/>
  <c r="K14" i="5"/>
  <c r="K4" i="5"/>
  <c r="K23" i="5"/>
  <c r="J24" i="5"/>
  <c r="K21" i="5"/>
  <c r="K2" i="5"/>
  <c r="K3" i="5"/>
  <c r="K9" i="5"/>
  <c r="K20" i="5"/>
  <c r="J23" i="5"/>
  <c r="J18" i="5"/>
  <c r="J17" i="5"/>
  <c r="K8" i="5"/>
  <c r="K26" i="5"/>
  <c r="K7" i="5"/>
  <c r="J5" i="5"/>
  <c r="K22" i="5"/>
  <c r="J4" i="5"/>
  <c r="K16" i="5"/>
  <c r="K31" i="5"/>
  <c r="K32" i="5"/>
  <c r="K10" i="5"/>
  <c r="K11" i="5"/>
  <c r="K28" i="5"/>
  <c r="K6" i="4"/>
  <c r="K16" i="4"/>
  <c r="J22" i="4"/>
  <c r="K25" i="4"/>
  <c r="K24" i="4"/>
  <c r="K18" i="4"/>
  <c r="K28" i="4"/>
  <c r="K17" i="4"/>
  <c r="J28" i="4"/>
  <c r="J25" i="4"/>
  <c r="K12" i="4"/>
  <c r="K11" i="4"/>
  <c r="K20" i="4"/>
  <c r="K15" i="4"/>
  <c r="K31" i="4"/>
  <c r="K23" i="4"/>
  <c r="K19" i="4"/>
  <c r="K8" i="4"/>
  <c r="K3" i="4"/>
  <c r="K7" i="4"/>
  <c r="K27" i="4"/>
  <c r="K2" i="4"/>
  <c r="J9" i="4"/>
  <c r="J6" i="4"/>
  <c r="K5" i="4"/>
  <c r="K10" i="4"/>
  <c r="K29" i="4"/>
  <c r="K33" i="4"/>
  <c r="K14" i="4"/>
  <c r="K30" i="4"/>
  <c r="K2" i="3"/>
  <c r="K28" i="3"/>
  <c r="J17" i="3"/>
  <c r="K23" i="3"/>
  <c r="K27" i="3"/>
  <c r="J4" i="3"/>
  <c r="K30" i="3"/>
  <c r="J9" i="3"/>
  <c r="K12" i="3"/>
  <c r="J5" i="3"/>
  <c r="J30" i="3"/>
  <c r="J13" i="3"/>
  <c r="K33" i="3"/>
  <c r="K14" i="3"/>
  <c r="K32" i="3"/>
  <c r="K11" i="3"/>
  <c r="J26" i="3"/>
  <c r="K24" i="3"/>
  <c r="J12" i="3"/>
  <c r="K3" i="3"/>
  <c r="K10" i="3"/>
  <c r="K20" i="3"/>
  <c r="J25" i="3"/>
  <c r="K8" i="3"/>
  <c r="K7" i="3"/>
  <c r="J6" i="3"/>
  <c r="K31" i="3"/>
  <c r="J29" i="3"/>
  <c r="J22" i="3"/>
  <c r="J9" i="2"/>
  <c r="J27" i="2"/>
  <c r="J26" i="2"/>
  <c r="K7" i="2"/>
  <c r="J8" i="2"/>
  <c r="J11" i="2"/>
  <c r="J10" i="2"/>
  <c r="J31" i="2"/>
  <c r="K8" i="2"/>
  <c r="J32" i="2"/>
  <c r="K32" i="2"/>
  <c r="J14" i="2"/>
  <c r="K12" i="2"/>
  <c r="J13" i="2"/>
  <c r="J12" i="2"/>
  <c r="K18" i="2"/>
  <c r="K33" i="2"/>
  <c r="J4" i="2"/>
  <c r="J7" i="2"/>
  <c r="J29" i="2"/>
  <c r="K11" i="2"/>
  <c r="J19" i="2"/>
  <c r="J5" i="2"/>
  <c r="K3" i="2"/>
  <c r="J25" i="2"/>
  <c r="J24" i="2"/>
  <c r="J22" i="2"/>
  <c r="K30" i="2"/>
  <c r="J16" i="2"/>
  <c r="K6" i="2"/>
  <c r="K23" i="2"/>
  <c r="K28" i="2"/>
  <c r="K20" i="2"/>
  <c r="J6" i="2"/>
  <c r="K26" i="2"/>
  <c r="K25" i="2"/>
  <c r="K15" i="2"/>
  <c r="J20" i="2"/>
  <c r="K22" i="2"/>
  <c r="K16" i="2"/>
  <c r="J15" i="2"/>
  <c r="J33" i="2"/>
  <c r="K4" i="2"/>
  <c r="K29" i="2"/>
  <c r="J30" i="2"/>
  <c r="K10" i="2"/>
  <c r="K31" i="2"/>
  <c r="K19" i="2"/>
  <c r="K17" i="2"/>
  <c r="K2" i="2"/>
  <c r="K5" i="2"/>
  <c r="J3" i="2"/>
  <c r="J23" i="2"/>
  <c r="J2" i="2"/>
  <c r="K24" i="2"/>
  <c r="K13" i="2"/>
  <c r="K21" i="2"/>
  <c r="J18" i="2"/>
  <c r="J21" i="2"/>
  <c r="J17" i="2"/>
  <c r="K14" i="2"/>
  <c r="K27" i="2"/>
  <c r="K9" i="2"/>
  <c r="J28" i="2"/>
</calcChain>
</file>

<file path=xl/sharedStrings.xml><?xml version="1.0" encoding="utf-8"?>
<sst xmlns="http://schemas.openxmlformats.org/spreadsheetml/2006/main" count="3125" uniqueCount="569">
  <si>
    <t>Model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</si>
  <si>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</si>
  <si>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</si>
  <si>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</si>
  <si>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</si>
  <si>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</si>
  <si>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</si>
  <si>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</si>
  <si>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</si>
  <si>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</si>
  <si>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</si>
  <si>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</si>
  <si>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</si>
  <si>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</si>
  <si>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</si>
  <si>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</si>
  <si>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</si>
  <si>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</si>
  <si>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</si>
  <si>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</si>
  <si>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</si>
  <si>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</si>
  <si>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</si>
  <si>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</si>
  <si>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</si>
  <si>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</si>
  <si>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</si>
  <si>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</si>
  <si>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</si>
  <si>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</si>
  <si>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</si>
  <si>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</si>
  <si>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</si>
  <si>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</si>
  <si>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</si>
  <si>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</si>
  <si>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</si>
  <si>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</si>
  <si>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</si>
  <si>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</si>
  <si>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</si>
  <si>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</si>
  <si>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</si>
  <si>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</si>
  <si>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</si>
  <si>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</si>
  <si>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</si>
  <si>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</si>
  <si>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</si>
  <si>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</si>
  <si>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</si>
  <si>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</si>
  <si>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</si>
  <si>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</si>
  <si>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</si>
  <si>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</si>
  <si>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</si>
  <si>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</si>
  <si>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</si>
  <si>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</si>
  <si>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</si>
  <si>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</si>
  <si>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</si>
  <si>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</si>
  <si>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</si>
  <si>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</si>
  <si>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</si>
  <si>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</si>
  <si>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</si>
  <si>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</si>
  <si>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</si>
  <si>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</si>
  <si>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</si>
  <si>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</si>
  <si>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</si>
  <si>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</si>
  <si>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</si>
  <si>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</si>
  <si>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</si>
  <si>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</si>
  <si>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</si>
  <si>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</si>
  <si>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</si>
  <si>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</si>
  <si>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</si>
  <si>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</si>
  <si>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</si>
  <si>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</si>
  <si>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</si>
  <si>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</si>
  <si>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</si>
  <si>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{"lr": 0.001, "dropout": 0.1, "rnn1": 32, "rnn2": 48}</t>
  </si>
  <si>
    <t>CNN-LSTM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</si>
  <si>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</si>
  <si>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</si>
  <si>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</si>
  <si>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</si>
  <si>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</si>
  <si>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</si>
  <si>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CNN-GRU</t>
  </si>
  <si>
    <t>{"lr": 0.001, "dropout": 0.2, "rnn1": 96, "rnn2": 64, "conv_filters": 96, "kernel": 2, "bn": false}</t>
  </si>
  <si>
    <t>{"lr": 0.0005, "dropout": 0.1, "rnn1": 32, "rnn2": 32, "conv_filters": 32, "kernel": 3, "bn": true}</t>
  </si>
  <si>
    <t>{"lr": 0.001, "dropout": 0.15, "rnn1": 32, "rnn2": 32}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</si>
  <si>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</si>
  <si>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</si>
  <si>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</si>
  <si>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</si>
  <si>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</si>
  <si>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</si>
  <si>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</si>
  <si>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</si>
  <si>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</si>
  <si>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</si>
  <si>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</si>
  <si>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</si>
  <si>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</si>
  <si>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</si>
  <si>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</si>
  <si>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</si>
  <si>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</si>
  <si>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</si>
  <si>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</si>
  <si>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</si>
  <si>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</si>
  <si>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</si>
  <si>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</si>
  <si>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</si>
  <si>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</si>
  <si>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</si>
  <si>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</si>
  <si>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</si>
  <si>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</si>
  <si>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</si>
  <si>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</si>
  <si>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</si>
  <si>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</si>
  <si>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0.15, "rnn1": 32, "rnn2": 16, "conv_filters": 32, "kernel": 3, "bn": true}</t>
  </si>
  <si>
    <t>{"lr": 0.0001, "dropout": 0.05, "rnn1": 96, "rnn2": 24}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</si>
  <si>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</si>
  <si>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</si>
  <si>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</si>
  <si>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</si>
  <si>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0.0003, "dropout": 0.05, "rnn1": 96, "rnn2": 64}</t>
  </si>
  <si>
    <t>{"lr": 0.001, "dropout": 0.1, "rnn1": 64, "rnn2": 64, "conv_filters": 32, "kernel": 3, "bn": false}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</si>
  <si>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</si>
  <si>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</si>
  <si>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</si>
  <si>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</si>
  <si>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</si>
  <si>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</si>
  <si>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</si>
  <si>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</si>
  <si>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</si>
  <si>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</si>
  <si>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</si>
  <si>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</si>
  <si>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</si>
  <si>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</si>
  <si>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</si>
  <si>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0.001, "dropout": 0.2, "rnn1": 128, "rnn2": 48}</t>
  </si>
  <si>
    <t>{"lr": 0.0001, "dropout": 0.05, "rnn1": 64, "rnn2": 48, "conv_filters": 64, "kernel": 5, "bn": true}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</si>
  <si>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</si>
  <si>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</si>
  <si>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</si>
  <si>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</si>
  <si>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</si>
  <si>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</si>
  <si>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</si>
  <si>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</si>
  <si>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</si>
  <si>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</si>
  <si>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</si>
  <si>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</si>
  <si>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</si>
  <si>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</si>
  <si>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</si>
  <si>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</si>
  <si>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</si>
  <si>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</si>
  <si>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</si>
  <si>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</si>
  <si>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</si>
  <si>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</si>
  <si>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</si>
  <si>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</si>
  <si>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</si>
  <si>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</si>
  <si>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Macro + Event + Sentiment (Both)||LSTM||lb=90||shift=1</t>
  </si>
  <si>
    <t>{"lr": 0.0001, "dropout": 0.15, "rnn1": 48, "rnn2": 16, "conv_filters": 0, "kernel": 0, "bn": false}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</si>
  <si>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</si>
  <si>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</si>
  <si>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</si>
  <si>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</si>
  <si>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</si>
  <si>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</si>
  <si>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</si>
  <si>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</si>
  <si>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</si>
  <si>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</si>
  <si>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</si>
  <si>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</si>
  <si>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</si>
  <si>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</si>
  <si>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</si>
  <si>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</si>
  <si>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</si>
  <si>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</si>
  <si>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</si>
  <si>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</si>
  <si>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</si>
  <si>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</si>
  <si>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</si>
  <si>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</si>
  <si>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</si>
  <si>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</si>
  <si>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</si>
  <si>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</si>
  <si>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</si>
  <si>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</si>
  <si>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</si>
  <si>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</si>
  <si>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</si>
  <si>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</si>
  <si>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</si>
  <si>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</si>
  <si>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</si>
  <si>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</si>
  <si>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</si>
  <si>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</si>
  <si>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</si>
  <si>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</si>
  <si>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</si>
  <si>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</si>
  <si>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</si>
  <si>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</si>
  <si>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</si>
  <si>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</si>
  <si>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</si>
  <si>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</si>
  <si>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</si>
  <si>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</si>
  <si>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</si>
  <si>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</si>
  <si>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</si>
  <si>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</si>
  <si>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</si>
  <si>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</si>
  <si>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</si>
  <si>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</si>
  <si>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</si>
  <si>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</si>
  <si>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</si>
  <si>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</si>
  <si>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</si>
  <si>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</si>
  <si>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</si>
  <si>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</si>
  <si>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</si>
  <si>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</si>
  <si>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</si>
  <si>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</si>
  <si>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</si>
  <si>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</si>
  <si>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</si>
  <si>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</si>
  <si>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</si>
  <si>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</si>
  <si>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</si>
  <si>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</si>
  <si>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</si>
  <si>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</si>
  <si>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</si>
  <si>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</si>
  <si>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</si>
  <si>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</si>
  <si>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</si>
  <si>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</si>
  <si>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</si>
  <si>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</si>
  <si>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</si>
  <si>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</si>
  <si>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</si>
  <si>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</si>
  <si>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</si>
  <si>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</si>
  <si>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</si>
  <si>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</si>
  <si>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</si>
  <si>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</si>
  <si>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</si>
  <si>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</si>
  <si>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</si>
  <si>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</si>
  <si>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</si>
  <si>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</si>
  <si>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</si>
  <si>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</si>
  <si>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</si>
  <si>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</si>
  <si>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</si>
  <si>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</si>
  <si>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</si>
  <si>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</si>
  <si>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</si>
  <si>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</si>
  <si>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</si>
  <si>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</si>
  <si>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</si>
  <si>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</si>
  <si>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</si>
  <si>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</si>
  <si>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</si>
  <si>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</si>
  <si>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</si>
  <si>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</si>
  <si>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</si>
  <si>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</si>
  <si>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</si>
  <si>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</si>
  <si>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</si>
  <si>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</si>
  <si>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</si>
  <si>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</si>
  <si>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</si>
  <si>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</si>
  <si>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</si>
  <si>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</si>
  <si>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</si>
  <si>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</si>
  <si>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</si>
  <si>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</si>
  <si>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</si>
  <si>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</si>
  <si>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</si>
  <si>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</si>
  <si>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</si>
  <si>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</si>
  <si>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</si>
  <si>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</si>
  <si>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</si>
  <si>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</si>
  <si>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</si>
  <si>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</si>
  <si>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</si>
  <si>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</si>
  <si>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</si>
  <si>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</si>
  <si>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</si>
  <si>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</si>
  <si>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</si>
  <si>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</si>
  <si>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</si>
  <si>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</si>
  <si>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</si>
  <si>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</si>
  <si>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</si>
  <si>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</si>
  <si>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</si>
  <si>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</si>
  <si>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</si>
  <si>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</si>
  <si>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</si>
  <si>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</si>
  <si>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</si>
  <si>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</si>
  <si>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</si>
  <si>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</si>
  <si>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</si>
  <si>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</si>
  <si>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</si>
  <si>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</si>
  <si>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</si>
  <si>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</si>
  <si>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</si>
  <si>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</si>
  <si>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</si>
  <si>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</si>
  <si>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</si>
  <si>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</si>
  <si>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</si>
  <si>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</si>
  <si>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</si>
  <si>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</si>
  <si>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</si>
  <si>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</si>
  <si>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</si>
  <si>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</si>
  <si>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</si>
  <si>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</si>
  <si>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</si>
  <si>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</si>
  <si>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</si>
  <si>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</si>
  <si>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</si>
  <si>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</si>
  <si>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</si>
  <si>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</si>
  <si>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</si>
  <si>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</si>
  <si>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</si>
  <si>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</si>
  <si>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</si>
  <si>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</si>
  <si>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</si>
  <si>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</si>
  <si>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</si>
  <si>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</si>
  <si>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</si>
  <si>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</si>
  <si>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</si>
  <si>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</si>
  <si>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</si>
  <si>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</si>
  <si>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</si>
  <si>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</si>
  <si>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</si>
  <si>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</si>
  <si>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</si>
  <si>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</si>
  <si>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</si>
  <si>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</si>
  <si>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</si>
  <si>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</si>
  <si>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</si>
  <si>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</si>
  <si>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</si>
  <si>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</si>
  <si>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</si>
  <si>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</si>
  <si>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</si>
  <si>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</si>
  <si>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</si>
  <si>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</si>
  <si>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</si>
  <si>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</si>
  <si>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</si>
  <si>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</si>
  <si>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</si>
  <si>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</si>
  <si>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</si>
  <si>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</si>
  <si>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</si>
  <si>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</si>
  <si>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</si>
  <si>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</si>
  <si>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</si>
  <si>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</si>
  <si>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</si>
  <si>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</si>
  <si>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</si>
  <si>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</si>
  <si>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</si>
  <si>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</si>
  <si>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</si>
  <si>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</si>
  <si>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</si>
  <si>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</si>
  <si>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</si>
  <si>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</si>
  <si>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</si>
  <si>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</si>
  <si>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</si>
  <si>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</si>
  <si>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</si>
  <si>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</si>
  <si>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</si>
  <si>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</si>
  <si>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</si>
  <si>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</si>
  <si>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</si>
  <si>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</si>
  <si>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</si>
  <si>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</si>
  <si>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</si>
  <si>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</si>
  <si>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</si>
  <si>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</si>
  <si>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</si>
  <si>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</si>
  <si>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</si>
  <si>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</si>
  <si>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</si>
  <si>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</si>
  <si>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</si>
  <si>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</si>
  <si>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</si>
  <si>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</si>
  <si>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</si>
  <si>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</si>
  <si>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</si>
  <si>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</si>
  <si>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</si>
  <si>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</si>
  <si>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Macro Only||CNN-GRU||lb=60||shift=1</t>
  </si>
  <si>
    <t>Macro + Event + Sentiment (Direct)||GRU||lb=30||shift=1</t>
  </si>
  <si>
    <t>{"lr": 0.0005, "dropout": 0.1, "rnn1": 64, "rnn2": 48, "conv_filters": 0, "kernel": 0, "bn": false}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</si>
  <si>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</si>
  <si>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</si>
  <si>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</si>
  <si>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</si>
  <si>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</si>
  <si>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</si>
  <si>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</si>
  <si>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</si>
  <si>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</si>
  <si>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</si>
  <si>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</si>
  <si>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</si>
  <si>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</si>
  <si>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</si>
  <si>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</si>
  <si>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</si>
  <si>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</si>
  <si>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</si>
  <si>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</si>
  <si>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</si>
  <si>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</si>
  <si>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</si>
  <si>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</si>
  <si>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</si>
  <si>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</si>
  <si>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</si>
  <si>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</si>
  <si>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</si>
  <si>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</si>
  <si>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</si>
  <si>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</si>
  <si>
    <t>Feature Case (Order)</t>
    <phoneticPr fontId="1" type="noConversion"/>
  </si>
  <si>
    <t>Radar Chart</t>
    <phoneticPr fontId="1" type="noConversion"/>
  </si>
  <si>
    <t>Best Model</t>
    <phoneticPr fontId="1" type="noConversion"/>
  </si>
  <si>
    <t>Best Feature Case</t>
    <phoneticPr fontId="1" type="noConversion"/>
  </si>
  <si>
    <t>Feature Case</t>
    <phoneticPr fontId="1" type="noConversion"/>
  </si>
  <si>
    <t>Scaled Sum</t>
    <phoneticPr fontId="1" type="noConversion"/>
  </si>
  <si>
    <t>Scaled Sum</t>
    <phoneticPr fontId="1" type="noConversion"/>
  </si>
  <si>
    <t>Best Lookback</t>
    <phoneticPr fontId="1" type="noConversion"/>
  </si>
  <si>
    <t>USD_KRW 종가</t>
  </si>
  <si>
    <t>USD_KRW 시가</t>
  </si>
  <si>
    <t>KOSPI 종가</t>
  </si>
  <si>
    <t>KOSPI 거래량</t>
  </si>
  <si>
    <t>KOSDAQ 종가</t>
  </si>
  <si>
    <t>KOSDAQ 거래량</t>
  </si>
  <si>
    <t>WTI Price</t>
  </si>
  <si>
    <t>XAU Price</t>
  </si>
  <si>
    <t>DJI 종가</t>
  </si>
  <si>
    <t>DJI 거래량</t>
  </si>
  <si>
    <t>SP500 종가</t>
  </si>
  <si>
    <t>M1</t>
  </si>
  <si>
    <t>M2</t>
  </si>
  <si>
    <t>CPI</t>
  </si>
  <si>
    <t>PPI</t>
  </si>
  <si>
    <t>ksvkospi 종가</t>
  </si>
  <si>
    <t>미국달러선물인버스</t>
  </si>
  <si>
    <t>usd_jpy</t>
  </si>
  <si>
    <t>usd_cny</t>
  </si>
  <si>
    <t>us10y</t>
  </si>
  <si>
    <t>copper</t>
  </si>
  <si>
    <t>aluminum</t>
  </si>
  <si>
    <t>vix</t>
  </si>
  <si>
    <t>move</t>
  </si>
  <si>
    <t>ovx</t>
  </si>
  <si>
    <t>한국 정책금리</t>
  </si>
  <si>
    <t>미국 정책금리</t>
  </si>
  <si>
    <t>경상수지</t>
  </si>
  <si>
    <t>nickel_price</t>
  </si>
  <si>
    <t>count</t>
  </si>
  <si>
    <t>mean</t>
  </si>
  <si>
    <t>std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</si>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</sst>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4" fillId="0" borderId="1" xfId="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3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1" fontId="6" fillId="0" borderId="5" xfId="0" applyNumberFormat="1" applyFont="1" applyBorder="1" applyAlignment="1">
      <alignment vertical="center" wrapText="1"/>
    </xf>
    <xf numFmtId="9" fontId="5" fillId="0" borderId="5" xfId="0" applyNumberFormat="1" applyFont="1" applyBorder="1" applyAlignment="1">
      <alignment horizontal="center" vertical="center" wrapText="1"/>
    </xf>
  </cellXfs>
  <cellStyles count="1">
    <cellStyle name="표준" xfId="0" builtinId="0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22" t="s">
        <v>46</v>
      </c>
      <c r="B1" s="22" t="s">
        <v>45</v>
      </c>
      <c r="C1" s="22"/>
      <c r="D1" s="22"/>
      <c r="E1" s="22" t="s">
        <v>33</v>
      </c>
    </row>
    <row r="2" spans="1:5" x14ac:dyDescent="0.6">
      <c r="A2" s="22"/>
      <c r="B2" s="1" t="s">
        <v>28</v>
      </c>
      <c r="C2" s="1" t="s">
        <v>29</v>
      </c>
      <c r="D2" s="1" t="s">
        <v>30</v>
      </c>
      <c r="E2" s="22"/>
    </row>
    <row r="3" spans="1:5" ht="33.75" x14ac:dyDescent="0.6">
      <c r="A3" s="1" t="s">
        <v>31</v>
      </c>
      <c r="B3" s="11" t="s">
        <v>35</v>
      </c>
      <c r="C3" s="11" t="s">
        <v>36</v>
      </c>
      <c r="D3" s="11" t="s">
        <v>37</v>
      </c>
      <c r="E3" s="12" t="s">
        <v>38</v>
      </c>
    </row>
    <row r="4" spans="1:5" ht="33.75" x14ac:dyDescent="0.6">
      <c r="A4" s="1" t="s">
        <v>32</v>
      </c>
      <c r="B4" s="11" t="s">
        <v>39</v>
      </c>
      <c r="C4" s="11" t="s">
        <v>40</v>
      </c>
      <c r="D4" s="11" t="s">
        <v>41</v>
      </c>
      <c r="E4" s="11" t="s">
        <v>42</v>
      </c>
    </row>
    <row r="5" spans="1:5" ht="33.75" x14ac:dyDescent="0.6">
      <c r="A5" s="1" t="s">
        <v>44</v>
      </c>
      <c r="B5" s="1" t="s">
        <v>34</v>
      </c>
      <c r="C5" s="1" t="s">
        <v>34</v>
      </c>
      <c r="D5" s="1" t="s">
        <v>34</v>
      </c>
      <c r="E5" s="11" t="s">
        <v>43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C6CF9-AD96-40C9-BE9B-65B4E38096DC}">
  <dimension ref="A1:AD9"/>
  <sheetViews>
    <sheetView tabSelected="1" workbookViewId="0">
      <selection sqref="A1:XFD1048576"/>
    </sheetView>
  </sheetViews>
  <sheetFormatPr defaultRowHeight="16.899999999999999" x14ac:dyDescent="0.6"/>
  <sheetData>
    <row r="1" spans="1:30" ht="31.5" x14ac:dyDescent="0.6">
      <c r="A1" s="27"/>
      <c r="B1" s="27" t="s">
        <v>535</v>
      </c>
      <c r="C1" s="27" t="s">
        <v>536</v>
      </c>
      <c r="D1" s="27" t="s">
        <v>537</v>
      </c>
      <c r="E1" s="27" t="s">
        <v>538</v>
      </c>
      <c r="F1" s="27" t="s">
        <v>539</v>
      </c>
      <c r="G1" s="27" t="s">
        <v>540</v>
      </c>
      <c r="H1" s="27" t="s">
        <v>541</v>
      </c>
      <c r="I1" s="27" t="s">
        <v>542</v>
      </c>
      <c r="J1" s="27" t="s">
        <v>543</v>
      </c>
      <c r="K1" s="27" t="s">
        <v>544</v>
      </c>
      <c r="L1" s="27" t="s">
        <v>545</v>
      </c>
      <c r="M1" s="27" t="s">
        <v>546</v>
      </c>
      <c r="N1" s="27" t="s">
        <v>547</v>
      </c>
      <c r="O1" s="27" t="s">
        <v>548</v>
      </c>
      <c r="P1" s="27" t="s">
        <v>549</v>
      </c>
      <c r="Q1" s="27" t="s">
        <v>550</v>
      </c>
      <c r="R1" s="27" t="s">
        <v>551</v>
      </c>
      <c r="S1" s="27" t="s">
        <v>552</v>
      </c>
      <c r="T1" s="27" t="s">
        <v>553</v>
      </c>
      <c r="U1" s="27" t="s">
        <v>554</v>
      </c>
      <c r="V1" s="27" t="s">
        <v>555</v>
      </c>
      <c r="W1" s="27" t="s">
        <v>556</v>
      </c>
      <c r="X1" s="27" t="s">
        <v>557</v>
      </c>
      <c r="Y1" s="27" t="s">
        <v>558</v>
      </c>
      <c r="Z1" s="27" t="s">
        <v>559</v>
      </c>
      <c r="AA1" s="27" t="s">
        <v>560</v>
      </c>
      <c r="AB1" s="27" t="s">
        <v>561</v>
      </c>
      <c r="AC1" s="27" t="s">
        <v>562</v>
      </c>
      <c r="AD1" s="27" t="s">
        <v>563</v>
      </c>
    </row>
    <row r="2" spans="1:30" x14ac:dyDescent="0.6">
      <c r="A2" s="27" t="s">
        <v>564</v>
      </c>
      <c r="B2" s="28">
        <v>1186</v>
      </c>
      <c r="C2" s="28">
        <v>1186</v>
      </c>
      <c r="D2" s="28">
        <v>1186</v>
      </c>
      <c r="E2" s="29">
        <v>1186</v>
      </c>
      <c r="F2" s="28">
        <v>1186</v>
      </c>
      <c r="G2" s="29">
        <v>1186</v>
      </c>
      <c r="H2" s="28">
        <v>1186</v>
      </c>
      <c r="I2" s="28">
        <v>1186</v>
      </c>
      <c r="J2" s="28">
        <v>1186</v>
      </c>
      <c r="K2" s="29">
        <v>1186</v>
      </c>
      <c r="L2" s="28">
        <v>1186</v>
      </c>
      <c r="M2" s="28">
        <v>1186</v>
      </c>
      <c r="N2" s="28">
        <v>1186</v>
      </c>
      <c r="O2" s="28">
        <v>1186</v>
      </c>
      <c r="P2" s="28">
        <v>1186</v>
      </c>
      <c r="Q2" s="28">
        <v>1186</v>
      </c>
      <c r="R2" s="28">
        <v>1186</v>
      </c>
      <c r="S2" s="28">
        <v>1186</v>
      </c>
      <c r="T2" s="28">
        <v>1186</v>
      </c>
      <c r="U2" s="28">
        <v>1186</v>
      </c>
      <c r="V2" s="28">
        <v>1186</v>
      </c>
      <c r="W2" s="28">
        <v>1186</v>
      </c>
      <c r="X2" s="28">
        <v>1186</v>
      </c>
      <c r="Y2" s="28">
        <v>1186</v>
      </c>
      <c r="Z2" s="28">
        <v>1186</v>
      </c>
      <c r="AA2" s="28">
        <v>1186</v>
      </c>
      <c r="AB2" s="28">
        <v>1186</v>
      </c>
      <c r="AC2" s="28">
        <v>1186</v>
      </c>
      <c r="AD2" s="28">
        <v>1186</v>
      </c>
    </row>
    <row r="3" spans="1:30" x14ac:dyDescent="0.6">
      <c r="A3" s="27" t="s">
        <v>565</v>
      </c>
      <c r="B3" s="28">
        <v>1256.282968</v>
      </c>
      <c r="C3" s="28">
        <v>1256.633221</v>
      </c>
      <c r="D3" s="28">
        <v>2596.0734400000001</v>
      </c>
      <c r="E3" s="29">
        <v>713186700</v>
      </c>
      <c r="F3" s="28">
        <v>841.16011800000001</v>
      </c>
      <c r="G3" s="29">
        <v>1306049000</v>
      </c>
      <c r="H3" s="28">
        <v>69.533439999999999</v>
      </c>
      <c r="I3" s="28">
        <v>1937.514081</v>
      </c>
      <c r="J3" s="28">
        <v>33603.138786000003</v>
      </c>
      <c r="K3" s="29">
        <v>368743200</v>
      </c>
      <c r="L3" s="28">
        <v>4250.1796709999999</v>
      </c>
      <c r="M3" s="28">
        <v>1205.2178570000001</v>
      </c>
      <c r="N3" s="28">
        <v>3564.9784549999999</v>
      </c>
      <c r="O3" s="28">
        <v>2.7704049999999998</v>
      </c>
      <c r="P3" s="28">
        <v>3.5202360000000001</v>
      </c>
      <c r="Q3" s="28">
        <v>20.305084000000001</v>
      </c>
      <c r="R3" s="28">
        <v>7820.4426640000001</v>
      </c>
      <c r="S3" s="28">
        <v>127.855599</v>
      </c>
      <c r="T3" s="28">
        <v>6.8672630000000003</v>
      </c>
      <c r="U3" s="28">
        <v>0.26776899999999998</v>
      </c>
      <c r="V3" s="28">
        <v>3.8209360000000001</v>
      </c>
      <c r="W3" s="28">
        <v>2313.5467960000001</v>
      </c>
      <c r="X3" s="28">
        <v>21.438034999999999</v>
      </c>
      <c r="Y3" s="28">
        <v>93.222091000000006</v>
      </c>
      <c r="Z3" s="28">
        <v>44.723179000000002</v>
      </c>
      <c r="AA3" s="28">
        <v>2.0358350000000001</v>
      </c>
      <c r="AB3" s="28">
        <v>2.6045530000000001</v>
      </c>
      <c r="AC3" s="28">
        <v>5.1232860000000002</v>
      </c>
      <c r="AD3" s="28">
        <v>27.092645000000001</v>
      </c>
    </row>
    <row r="4" spans="1:30" x14ac:dyDescent="0.6">
      <c r="A4" s="27" t="s">
        <v>566</v>
      </c>
      <c r="B4" s="28">
        <v>93.743223</v>
      </c>
      <c r="C4" s="28">
        <v>93.787299000000004</v>
      </c>
      <c r="D4" s="28">
        <v>339.28225099999997</v>
      </c>
      <c r="E4" s="29">
        <v>355485100</v>
      </c>
      <c r="F4" s="28">
        <v>114.428855</v>
      </c>
      <c r="G4" s="29">
        <v>521040900</v>
      </c>
      <c r="H4" s="28">
        <v>23.291944999999998</v>
      </c>
      <c r="I4" s="28">
        <v>263.59060899999997</v>
      </c>
      <c r="J4" s="28">
        <v>4657.7889500000001</v>
      </c>
      <c r="K4" s="29">
        <v>112875600</v>
      </c>
      <c r="L4" s="28">
        <v>764.02193799999998</v>
      </c>
      <c r="M4" s="28">
        <v>119.92907599999999</v>
      </c>
      <c r="N4" s="28">
        <v>356.67435899999998</v>
      </c>
      <c r="O4" s="28">
        <v>1.7111179999999999</v>
      </c>
      <c r="P4" s="28">
        <v>3.7040280000000001</v>
      </c>
      <c r="Q4" s="28">
        <v>6.6047669999999998</v>
      </c>
      <c r="R4" s="28">
        <v>1478.855268</v>
      </c>
      <c r="S4" s="28">
        <v>18.424688</v>
      </c>
      <c r="T4" s="28">
        <v>0.31852799999999998</v>
      </c>
      <c r="U4" s="28">
        <v>0.13967099999999999</v>
      </c>
      <c r="V4" s="28">
        <v>0.63115900000000003</v>
      </c>
      <c r="W4" s="28">
        <v>420.71979800000003</v>
      </c>
      <c r="X4" s="28">
        <v>8.3682239999999997</v>
      </c>
      <c r="Y4" s="28">
        <v>32.113382000000001</v>
      </c>
      <c r="Z4" s="28">
        <v>24.293873000000001</v>
      </c>
      <c r="AA4" s="28">
        <v>1.3060160000000001</v>
      </c>
      <c r="AB4" s="28">
        <v>2.318343</v>
      </c>
      <c r="AC4" s="28">
        <v>4.1215229999999998</v>
      </c>
      <c r="AD4" s="28">
        <v>6.3718810000000001</v>
      </c>
    </row>
    <row r="5" spans="1:30" x14ac:dyDescent="0.6">
      <c r="A5" s="27" t="s">
        <v>567</v>
      </c>
      <c r="B5" s="28">
        <v>1083.53</v>
      </c>
      <c r="C5" s="28">
        <v>1083.8699999999999</v>
      </c>
      <c r="D5" s="28">
        <v>1457.64</v>
      </c>
      <c r="E5" s="29">
        <v>824510</v>
      </c>
      <c r="F5" s="28">
        <v>428.35</v>
      </c>
      <c r="G5" s="29">
        <v>619620000</v>
      </c>
      <c r="H5" s="28">
        <v>7.79</v>
      </c>
      <c r="I5" s="28">
        <v>1471</v>
      </c>
      <c r="J5" s="28">
        <v>18591.93</v>
      </c>
      <c r="K5" s="29">
        <v>117040000</v>
      </c>
      <c r="L5" s="28">
        <v>2237.4</v>
      </c>
      <c r="M5" s="28">
        <v>889.58360000000005</v>
      </c>
      <c r="N5" s="28">
        <v>2875.9288000000001</v>
      </c>
      <c r="O5" s="28">
        <v>-0.3</v>
      </c>
      <c r="P5" s="28">
        <v>-1.8</v>
      </c>
      <c r="Q5" s="28">
        <v>11.73</v>
      </c>
      <c r="R5" s="28">
        <v>5050</v>
      </c>
      <c r="S5" s="28">
        <v>102.67800099999999</v>
      </c>
      <c r="T5" s="28">
        <v>6.3114999999999997</v>
      </c>
      <c r="U5" s="28">
        <v>4.99E-2</v>
      </c>
      <c r="V5" s="28">
        <v>2.1194999999999999</v>
      </c>
      <c r="W5" s="28">
        <v>1452</v>
      </c>
      <c r="X5" s="28">
        <v>11.86</v>
      </c>
      <c r="Y5" s="28">
        <v>36.619999</v>
      </c>
      <c r="Z5" s="28">
        <v>23.73</v>
      </c>
      <c r="AA5" s="28">
        <v>0.5</v>
      </c>
      <c r="AB5" s="28">
        <v>0.25</v>
      </c>
      <c r="AC5" s="28">
        <v>-4.2050000000000001</v>
      </c>
      <c r="AD5" s="28">
        <v>14.66863</v>
      </c>
    </row>
    <row r="6" spans="1:30" x14ac:dyDescent="0.6">
      <c r="A6" s="30">
        <v>0.25</v>
      </c>
      <c r="B6" s="28">
        <v>1181.8225</v>
      </c>
      <c r="C6" s="28">
        <v>1182.46</v>
      </c>
      <c r="D6" s="28">
        <v>2399.31</v>
      </c>
      <c r="E6" s="29">
        <v>462902500</v>
      </c>
      <c r="F6" s="28">
        <v>762.18499999999995</v>
      </c>
      <c r="G6" s="29">
        <v>952470000</v>
      </c>
      <c r="H6" s="28">
        <v>62.09</v>
      </c>
      <c r="I6" s="28">
        <v>1778.3074999999999</v>
      </c>
      <c r="J6" s="28">
        <v>31022.087500000001</v>
      </c>
      <c r="K6" s="29">
        <v>301605000</v>
      </c>
      <c r="L6" s="28">
        <v>3810.15</v>
      </c>
      <c r="M6" s="28">
        <v>1179.4340999999999</v>
      </c>
      <c r="N6" s="28">
        <v>3237.4166</v>
      </c>
      <c r="O6" s="28">
        <v>1.3</v>
      </c>
      <c r="P6" s="28">
        <v>0.7</v>
      </c>
      <c r="Q6" s="28">
        <v>16.5625</v>
      </c>
      <c r="R6" s="28">
        <v>6510</v>
      </c>
      <c r="S6" s="28">
        <v>109.376251</v>
      </c>
      <c r="T6" s="28">
        <v>6.522125</v>
      </c>
      <c r="U6" s="28">
        <v>0.14149999999999999</v>
      </c>
      <c r="V6" s="28">
        <v>3.5529999999999999</v>
      </c>
      <c r="W6" s="28">
        <v>2126</v>
      </c>
      <c r="X6" s="28">
        <v>15.855</v>
      </c>
      <c r="Y6" s="28">
        <v>61.209999000000003</v>
      </c>
      <c r="Z6" s="28">
        <v>34.279998999999997</v>
      </c>
      <c r="AA6" s="28">
        <v>0.5</v>
      </c>
      <c r="AB6" s="28">
        <v>0.25</v>
      </c>
      <c r="AC6" s="28">
        <v>1.9419999999999999</v>
      </c>
      <c r="AD6" s="28">
        <v>23.218098000000001</v>
      </c>
    </row>
    <row r="7" spans="1:30" x14ac:dyDescent="0.6">
      <c r="A7" s="30">
        <v>0.5</v>
      </c>
      <c r="B7" s="28">
        <v>1265.6099999999999</v>
      </c>
      <c r="C7" s="28">
        <v>1266.325</v>
      </c>
      <c r="D7" s="28">
        <v>2568.48</v>
      </c>
      <c r="E7" s="29">
        <v>613765000</v>
      </c>
      <c r="F7" s="28">
        <v>847.505</v>
      </c>
      <c r="G7" s="29">
        <v>1170000000</v>
      </c>
      <c r="H7" s="28">
        <v>73.734999999999999</v>
      </c>
      <c r="I7" s="28">
        <v>1870.39</v>
      </c>
      <c r="J7" s="28">
        <v>33913.620000000003</v>
      </c>
      <c r="K7" s="29">
        <v>343325000</v>
      </c>
      <c r="L7" s="28">
        <v>4200.01</v>
      </c>
      <c r="M7" s="28">
        <v>1217.7488000000001</v>
      </c>
      <c r="N7" s="28">
        <v>3675.4263000000001</v>
      </c>
      <c r="O7" s="28">
        <v>2.7</v>
      </c>
      <c r="P7" s="28">
        <v>1.9</v>
      </c>
      <c r="Q7" s="28">
        <v>18.38</v>
      </c>
      <c r="R7" s="28">
        <v>7637.5</v>
      </c>
      <c r="S7" s="28">
        <v>130.802505</v>
      </c>
      <c r="T7" s="28">
        <v>6.9441499999999996</v>
      </c>
      <c r="U7" s="28">
        <v>0.29149999999999998</v>
      </c>
      <c r="V7" s="28">
        <v>3.8995000000000002</v>
      </c>
      <c r="W7" s="28">
        <v>2302.5</v>
      </c>
      <c r="X7" s="28">
        <v>19.629999000000002</v>
      </c>
      <c r="Y7" s="28">
        <v>98.260002</v>
      </c>
      <c r="Z7" s="28">
        <v>39.004998999999998</v>
      </c>
      <c r="AA7" s="28">
        <v>1.75</v>
      </c>
      <c r="AB7" s="28">
        <v>1.75</v>
      </c>
      <c r="AC7" s="28">
        <v>6.0730000000000004</v>
      </c>
      <c r="AD7" s="28">
        <v>28.4</v>
      </c>
    </row>
    <row r="8" spans="1:30" x14ac:dyDescent="0.6">
      <c r="A8" s="30">
        <v>0.75</v>
      </c>
      <c r="B8" s="28">
        <v>1333.02</v>
      </c>
      <c r="C8" s="28">
        <v>1333.395</v>
      </c>
      <c r="D8" s="28">
        <v>2758.6374999999998</v>
      </c>
      <c r="E8" s="29">
        <v>866202500</v>
      </c>
      <c r="F8" s="28">
        <v>919.41250000000002</v>
      </c>
      <c r="G8" s="29">
        <v>1500000000</v>
      </c>
      <c r="H8" s="28">
        <v>82.03</v>
      </c>
      <c r="I8" s="28">
        <v>1985.4549999999999</v>
      </c>
      <c r="J8" s="28">
        <v>35627.822500000002</v>
      </c>
      <c r="K8" s="29">
        <v>402165000</v>
      </c>
      <c r="L8" s="28">
        <v>4591.0150000000003</v>
      </c>
      <c r="M8" s="28">
        <v>1290.6261999999999</v>
      </c>
      <c r="N8" s="28">
        <v>3817.9153000000001</v>
      </c>
      <c r="O8" s="28">
        <v>3.7</v>
      </c>
      <c r="P8" s="28">
        <v>7.375</v>
      </c>
      <c r="Q8" s="28">
        <v>22.414999999999999</v>
      </c>
      <c r="R8" s="28">
        <v>9010</v>
      </c>
      <c r="S8" s="28">
        <v>145.34099599999999</v>
      </c>
      <c r="T8" s="28">
        <v>7.1455000000000002</v>
      </c>
      <c r="U8" s="28">
        <v>0.40100000000000002</v>
      </c>
      <c r="V8" s="28">
        <v>4.2887500000000003</v>
      </c>
      <c r="W8" s="28">
        <v>2534.125</v>
      </c>
      <c r="X8" s="28">
        <v>25.022500999999998</v>
      </c>
      <c r="Y8" s="28">
        <v>119.404999</v>
      </c>
      <c r="Z8" s="28">
        <v>47.484999999999999</v>
      </c>
      <c r="AA8" s="28">
        <v>3.5</v>
      </c>
      <c r="AB8" s="28">
        <v>5.25</v>
      </c>
      <c r="AC8" s="28">
        <v>7.3869999999999996</v>
      </c>
      <c r="AD8" s="28">
        <v>28.739625</v>
      </c>
    </row>
    <row r="9" spans="1:30" x14ac:dyDescent="0.6">
      <c r="A9" s="27" t="s">
        <v>568</v>
      </c>
      <c r="B9" s="28">
        <v>1472.5</v>
      </c>
      <c r="C9" s="28">
        <v>1471.1</v>
      </c>
      <c r="D9" s="28">
        <v>3305.21</v>
      </c>
      <c r="E9" s="29">
        <v>3460000000</v>
      </c>
      <c r="F9" s="28">
        <v>1060</v>
      </c>
      <c r="G9" s="29">
        <v>5070000000</v>
      </c>
      <c r="H9" s="28">
        <v>126.47</v>
      </c>
      <c r="I9" s="28">
        <v>2786.19</v>
      </c>
      <c r="J9" s="28">
        <v>45014.04</v>
      </c>
      <c r="K9" s="29">
        <v>1220000000</v>
      </c>
      <c r="L9" s="28">
        <v>6090.27</v>
      </c>
      <c r="M9" s="28">
        <v>1371.9209000000001</v>
      </c>
      <c r="N9" s="28">
        <v>4110.7790000000005</v>
      </c>
      <c r="O9" s="28">
        <v>6.3</v>
      </c>
      <c r="P9" s="28">
        <v>10</v>
      </c>
      <c r="Q9" s="28">
        <v>69.239999999999995</v>
      </c>
      <c r="R9" s="28">
        <v>10775</v>
      </c>
      <c r="S9" s="28">
        <v>161.60699500000001</v>
      </c>
      <c r="T9" s="28">
        <v>7.3277999999999999</v>
      </c>
      <c r="U9" s="28">
        <v>0.49880000000000002</v>
      </c>
      <c r="V9" s="28">
        <v>5.1189999999999998</v>
      </c>
      <c r="W9" s="28">
        <v>3873</v>
      </c>
      <c r="X9" s="28">
        <v>82.690002000000007</v>
      </c>
      <c r="Y9" s="28">
        <v>182.63999899999999</v>
      </c>
      <c r="Z9" s="28">
        <v>325.14999399999999</v>
      </c>
      <c r="AA9" s="28">
        <v>3.5</v>
      </c>
      <c r="AB9" s="28">
        <v>5.5</v>
      </c>
      <c r="AC9" s="28">
        <v>13.096</v>
      </c>
      <c r="AD9" s="28">
        <v>67.5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47</v>
      </c>
      <c r="B1" s="6" t="s">
        <v>48</v>
      </c>
      <c r="C1" s="6" t="s">
        <v>62</v>
      </c>
    </row>
    <row r="2" spans="1:3" x14ac:dyDescent="0.6">
      <c r="A2" s="6" t="s">
        <v>49</v>
      </c>
      <c r="B2" s="6" t="s">
        <v>50</v>
      </c>
      <c r="C2" s="6">
        <v>5</v>
      </c>
    </row>
    <row r="3" spans="1:3" x14ac:dyDescent="0.6">
      <c r="A3" s="6"/>
      <c r="B3" s="6" t="s">
        <v>51</v>
      </c>
      <c r="C3" s="6" t="s">
        <v>52</v>
      </c>
    </row>
    <row r="4" spans="1:3" x14ac:dyDescent="0.6">
      <c r="A4" s="6"/>
      <c r="B4" s="6" t="s">
        <v>53</v>
      </c>
      <c r="C4" s="6" t="s">
        <v>54</v>
      </c>
    </row>
    <row r="5" spans="1:3" x14ac:dyDescent="0.6">
      <c r="A5" s="6"/>
      <c r="B5" s="6" t="s">
        <v>65</v>
      </c>
      <c r="C5" s="6" t="s">
        <v>66</v>
      </c>
    </row>
    <row r="6" spans="1:3" x14ac:dyDescent="0.6">
      <c r="A6" s="6"/>
      <c r="B6" s="6" t="s">
        <v>55</v>
      </c>
      <c r="C6" s="6" t="s">
        <v>63</v>
      </c>
    </row>
    <row r="7" spans="1:3" x14ac:dyDescent="0.6">
      <c r="A7" s="6"/>
      <c r="B7" s="6" t="s">
        <v>64</v>
      </c>
      <c r="C7" s="6">
        <v>0.1</v>
      </c>
    </row>
    <row r="8" spans="1:3" x14ac:dyDescent="0.6">
      <c r="A8" s="6"/>
      <c r="B8" s="6" t="s">
        <v>56</v>
      </c>
      <c r="C8" s="6">
        <v>1</v>
      </c>
    </row>
    <row r="9" spans="1:3" x14ac:dyDescent="0.6">
      <c r="A9" s="6" t="s">
        <v>21</v>
      </c>
      <c r="B9" s="6" t="s">
        <v>74</v>
      </c>
      <c r="C9" s="6" t="s">
        <v>75</v>
      </c>
    </row>
    <row r="10" spans="1:3" x14ac:dyDescent="0.6">
      <c r="A10" s="6" t="s">
        <v>9</v>
      </c>
      <c r="B10" s="6" t="s">
        <v>74</v>
      </c>
      <c r="C10" s="6" t="s">
        <v>75</v>
      </c>
    </row>
    <row r="11" spans="1:3" x14ac:dyDescent="0.6">
      <c r="A11" s="6" t="s">
        <v>67</v>
      </c>
      <c r="B11" s="6" t="s">
        <v>57</v>
      </c>
      <c r="C11" s="6" t="s">
        <v>68</v>
      </c>
    </row>
    <row r="12" spans="1:3" x14ac:dyDescent="0.6">
      <c r="A12" s="6"/>
      <c r="B12" s="6" t="s">
        <v>58</v>
      </c>
      <c r="C12" s="6" t="s">
        <v>73</v>
      </c>
    </row>
    <row r="13" spans="1:3" x14ac:dyDescent="0.6">
      <c r="A13" s="6"/>
      <c r="B13" s="6" t="s">
        <v>71</v>
      </c>
      <c r="C13" s="6" t="s">
        <v>72</v>
      </c>
    </row>
    <row r="14" spans="1:3" x14ac:dyDescent="0.6">
      <c r="A14" s="6"/>
      <c r="B14" s="6" t="s">
        <v>59</v>
      </c>
      <c r="C14" s="6" t="s">
        <v>60</v>
      </c>
    </row>
    <row r="15" spans="1:3" x14ac:dyDescent="0.6">
      <c r="A15" s="6"/>
      <c r="B15" s="6" t="s">
        <v>61</v>
      </c>
      <c r="C15" s="6" t="s">
        <v>70</v>
      </c>
    </row>
    <row r="16" spans="1:3" x14ac:dyDescent="0.6">
      <c r="A16" s="6"/>
      <c r="B16" s="6" t="s">
        <v>69</v>
      </c>
      <c r="C16" s="6" t="s">
        <v>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17"/>
  <sheetViews>
    <sheetView workbookViewId="0">
      <selection activeCell="D17" sqref="D17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29.37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165</v>
      </c>
      <c r="B1" t="s">
        <v>524</v>
      </c>
      <c r="C1" t="s">
        <v>525</v>
      </c>
      <c r="D1" t="s">
        <v>526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</row>
    <row r="2" spans="1:16" x14ac:dyDescent="0.6">
      <c r="A2" t="s">
        <v>166</v>
      </c>
      <c r="B2">
        <v>30</v>
      </c>
      <c r="C2" t="s">
        <v>99</v>
      </c>
      <c r="D2" t="s">
        <v>167</v>
      </c>
      <c r="E2">
        <v>1</v>
      </c>
      <c r="F2" t="s">
        <v>168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93</v>
      </c>
    </row>
    <row r="3" spans="1:16" x14ac:dyDescent="0.6">
      <c r="A3" t="s">
        <v>169</v>
      </c>
      <c r="B3">
        <v>90</v>
      </c>
      <c r="C3" t="s">
        <v>6</v>
      </c>
      <c r="D3" t="s">
        <v>88</v>
      </c>
      <c r="E3">
        <v>1</v>
      </c>
      <c r="F3" t="s">
        <v>158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114</v>
      </c>
    </row>
    <row r="4" spans="1:16" x14ac:dyDescent="0.6">
      <c r="A4" t="s">
        <v>170</v>
      </c>
      <c r="B4">
        <v>30</v>
      </c>
      <c r="C4" t="s">
        <v>6</v>
      </c>
      <c r="D4" t="s">
        <v>171</v>
      </c>
      <c r="E4">
        <v>1</v>
      </c>
      <c r="F4" t="s">
        <v>172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93</v>
      </c>
    </row>
    <row r="5" spans="1:16" x14ac:dyDescent="0.6">
      <c r="A5" t="s">
        <v>173</v>
      </c>
      <c r="B5">
        <v>20</v>
      </c>
      <c r="C5" t="s">
        <v>92</v>
      </c>
      <c r="D5" t="s">
        <v>174</v>
      </c>
      <c r="E5">
        <v>1</v>
      </c>
      <c r="F5" t="s">
        <v>175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90</v>
      </c>
    </row>
    <row r="6" spans="1:16" x14ac:dyDescent="0.6">
      <c r="A6" t="s">
        <v>189</v>
      </c>
      <c r="B6">
        <v>5</v>
      </c>
      <c r="C6" t="s">
        <v>99</v>
      </c>
      <c r="D6" t="s">
        <v>8</v>
      </c>
      <c r="E6">
        <v>1</v>
      </c>
      <c r="F6" t="s">
        <v>125</v>
      </c>
      <c r="G6">
        <v>8.7029510000000005</v>
      </c>
      <c r="H6">
        <v>6.9362820000000003</v>
      </c>
      <c r="I6">
        <v>0.52915000000000001</v>
      </c>
      <c r="J6">
        <v>7.2173910000000001</v>
      </c>
      <c r="K6">
        <v>5.4710340000000004</v>
      </c>
      <c r="L6">
        <v>0.40113599999999999</v>
      </c>
      <c r="M6">
        <v>0.28079999999999999</v>
      </c>
      <c r="N6">
        <v>4.3646240000000001</v>
      </c>
      <c r="O6">
        <v>0.32753700000000002</v>
      </c>
      <c r="P6" t="s">
        <v>90</v>
      </c>
    </row>
    <row r="7" spans="1:16" x14ac:dyDescent="0.6">
      <c r="A7" t="s">
        <v>179</v>
      </c>
      <c r="B7">
        <v>90</v>
      </c>
      <c r="C7" t="s">
        <v>6</v>
      </c>
      <c r="D7" t="s">
        <v>8</v>
      </c>
      <c r="E7">
        <v>1</v>
      </c>
      <c r="F7" t="s">
        <v>130</v>
      </c>
      <c r="G7" s="13">
        <v>7.1958020834312499</v>
      </c>
      <c r="H7" s="13">
        <v>5.6418420040246202</v>
      </c>
      <c r="I7" s="13">
        <v>0.43988792502686003</v>
      </c>
      <c r="J7" s="13">
        <v>7.2547915348356202</v>
      </c>
      <c r="K7" s="13">
        <v>5.5410415440389498</v>
      </c>
      <c r="L7" s="13">
        <v>0.40317481381355702</v>
      </c>
      <c r="M7">
        <v>0.28035698350448901</v>
      </c>
      <c r="N7">
        <v>4.28924560546875</v>
      </c>
      <c r="O7" s="13">
        <v>0.31656264755650998</v>
      </c>
      <c r="P7" t="s">
        <v>114</v>
      </c>
    </row>
    <row r="8" spans="1:16" x14ac:dyDescent="0.6">
      <c r="A8" t="s">
        <v>180</v>
      </c>
      <c r="B8">
        <v>20</v>
      </c>
      <c r="C8" t="s">
        <v>6</v>
      </c>
      <c r="D8" t="s">
        <v>181</v>
      </c>
      <c r="E8">
        <v>1</v>
      </c>
      <c r="F8" t="s">
        <v>182</v>
      </c>
      <c r="G8">
        <v>8.6919481031903398</v>
      </c>
      <c r="H8">
        <v>6.9749787469654096</v>
      </c>
      <c r="I8">
        <v>0.53229183688583204</v>
      </c>
      <c r="J8">
        <v>6.9435927074542096</v>
      </c>
      <c r="K8">
        <v>5.3097110324435697</v>
      </c>
      <c r="L8">
        <v>0.388974237218702</v>
      </c>
      <c r="M8">
        <v>0.259175430080338</v>
      </c>
      <c r="N8">
        <v>4.29132080078125</v>
      </c>
      <c r="O8">
        <v>0.31725101469900602</v>
      </c>
      <c r="P8" t="s">
        <v>90</v>
      </c>
    </row>
    <row r="9" spans="1:16" x14ac:dyDescent="0.6">
      <c r="A9" t="s">
        <v>183</v>
      </c>
      <c r="B9">
        <v>20</v>
      </c>
      <c r="C9" t="s">
        <v>9</v>
      </c>
      <c r="D9" t="s">
        <v>184</v>
      </c>
      <c r="E9">
        <v>1</v>
      </c>
      <c r="F9" t="s">
        <v>185</v>
      </c>
      <c r="G9">
        <v>8.7967645429101999</v>
      </c>
      <c r="H9">
        <v>6.9863437350143798</v>
      </c>
      <c r="I9">
        <v>0.53331587639113998</v>
      </c>
      <c r="J9">
        <v>7.0997707377708101</v>
      </c>
      <c r="K9">
        <v>5.4280830665870896</v>
      </c>
      <c r="L9">
        <v>0.39721298316679299</v>
      </c>
      <c r="M9">
        <v>0.27024348260411502</v>
      </c>
      <c r="N9">
        <v>4.31646728515625</v>
      </c>
      <c r="O9">
        <v>0.31541016535418598</v>
      </c>
      <c r="P9" t="s">
        <v>90</v>
      </c>
    </row>
    <row r="10" spans="1:16" x14ac:dyDescent="0.6">
      <c r="A10" t="s">
        <v>186</v>
      </c>
      <c r="B10">
        <v>20</v>
      </c>
      <c r="C10" t="s">
        <v>92</v>
      </c>
      <c r="D10" t="s">
        <v>8</v>
      </c>
      <c r="E10">
        <v>1</v>
      </c>
      <c r="F10" t="s">
        <v>95</v>
      </c>
      <c r="G10">
        <v>8.6638490000000008</v>
      </c>
      <c r="H10">
        <v>6.9750420000000002</v>
      </c>
      <c r="I10">
        <v>0.53221399999999996</v>
      </c>
      <c r="J10">
        <v>6.9888719999999998</v>
      </c>
      <c r="K10">
        <v>5.4186059999999996</v>
      </c>
      <c r="L10">
        <v>0.39645900000000001</v>
      </c>
      <c r="M10">
        <v>0.26180000000000003</v>
      </c>
      <c r="N10">
        <v>4.3173830000000004</v>
      </c>
      <c r="O10">
        <v>0.32121499999999997</v>
      </c>
      <c r="P10" t="s">
        <v>90</v>
      </c>
    </row>
    <row r="11" spans="1:16" x14ac:dyDescent="0.6">
      <c r="A11" t="s">
        <v>198</v>
      </c>
      <c r="B11">
        <v>5</v>
      </c>
      <c r="C11" t="s">
        <v>99</v>
      </c>
      <c r="D11" t="s">
        <v>167</v>
      </c>
      <c r="E11">
        <v>1</v>
      </c>
      <c r="F11" t="s">
        <v>199</v>
      </c>
      <c r="G11">
        <v>8.7247911563475409</v>
      </c>
      <c r="H11">
        <v>6.9525431970287599</v>
      </c>
      <c r="I11">
        <v>0.53056051307756702</v>
      </c>
      <c r="J11">
        <v>7.1365300338064896</v>
      </c>
      <c r="K11">
        <v>5.4294058399283003</v>
      </c>
      <c r="L11">
        <v>0.398458369097</v>
      </c>
      <c r="M11">
        <v>0.27521844113273503</v>
      </c>
      <c r="N11">
        <v>4.3968505859375</v>
      </c>
      <c r="O11">
        <v>0.321973645147895</v>
      </c>
      <c r="P11" t="s">
        <v>90</v>
      </c>
    </row>
    <row r="12" spans="1:16" x14ac:dyDescent="0.6">
      <c r="A12" t="s">
        <v>187</v>
      </c>
      <c r="B12">
        <v>90</v>
      </c>
      <c r="C12" t="s">
        <v>6</v>
      </c>
      <c r="D12" t="s">
        <v>177</v>
      </c>
      <c r="E12">
        <v>1</v>
      </c>
      <c r="F12" t="s">
        <v>188</v>
      </c>
      <c r="G12">
        <v>6.9105950210049798</v>
      </c>
      <c r="H12">
        <v>5.4315999348958304</v>
      </c>
      <c r="I12">
        <v>0.42392873153274102</v>
      </c>
      <c r="J12">
        <v>7.3706308774525597</v>
      </c>
      <c r="K12">
        <v>5.6304655728274797</v>
      </c>
      <c r="L12">
        <v>0.40968825201776299</v>
      </c>
      <c r="M12">
        <v>0.28937258874844596</v>
      </c>
      <c r="N12">
        <v>4.3602294921875</v>
      </c>
      <c r="O12">
        <v>0.32195832956184001</v>
      </c>
      <c r="P12" t="s">
        <v>114</v>
      </c>
    </row>
    <row r="13" spans="1:16" x14ac:dyDescent="0.6">
      <c r="A13" t="s">
        <v>218</v>
      </c>
      <c r="B13">
        <v>5</v>
      </c>
      <c r="C13" t="s">
        <v>99</v>
      </c>
      <c r="D13" t="s">
        <v>171</v>
      </c>
      <c r="E13">
        <v>1</v>
      </c>
      <c r="F13" t="s">
        <v>219</v>
      </c>
      <c r="G13">
        <v>8.7459571522012993</v>
      </c>
      <c r="H13">
        <v>6.9909401451087598</v>
      </c>
      <c r="I13">
        <v>0.53336153850328205</v>
      </c>
      <c r="J13">
        <v>7.14886393737555</v>
      </c>
      <c r="K13">
        <v>5.4371781782670396</v>
      </c>
      <c r="L13">
        <v>0.399022550841937</v>
      </c>
      <c r="M13">
        <v>0.27624827482195097</v>
      </c>
      <c r="N13">
        <v>4.427978515625</v>
      </c>
      <c r="O13">
        <v>0.3327080725596</v>
      </c>
      <c r="P13" t="s">
        <v>90</v>
      </c>
    </row>
    <row r="14" spans="1:16" x14ac:dyDescent="0.6">
      <c r="A14" t="s">
        <v>267</v>
      </c>
      <c r="B14">
        <v>5</v>
      </c>
      <c r="C14" t="s">
        <v>99</v>
      </c>
      <c r="D14" t="s">
        <v>174</v>
      </c>
      <c r="E14">
        <v>1</v>
      </c>
      <c r="F14" t="s">
        <v>268</v>
      </c>
      <c r="G14">
        <v>8.7156108936474102</v>
      </c>
      <c r="H14">
        <v>6.9706504056346503</v>
      </c>
      <c r="I14">
        <v>0.53188635258721395</v>
      </c>
      <c r="J14">
        <v>7.0922195035267599</v>
      </c>
      <c r="K14">
        <v>5.3916216433306197</v>
      </c>
      <c r="L14">
        <v>0.39572528994735801</v>
      </c>
      <c r="M14">
        <v>0.27181047538282599</v>
      </c>
      <c r="N14">
        <v>4.5201416015625</v>
      </c>
      <c r="O14">
        <v>0.32848809443545401</v>
      </c>
      <c r="P14" t="s">
        <v>90</v>
      </c>
    </row>
    <row r="15" spans="1:16" x14ac:dyDescent="0.6">
      <c r="A15" t="s">
        <v>190</v>
      </c>
      <c r="B15">
        <v>90</v>
      </c>
      <c r="C15" t="s">
        <v>9</v>
      </c>
      <c r="D15" t="s">
        <v>8</v>
      </c>
      <c r="E15">
        <v>1</v>
      </c>
      <c r="F15" t="s">
        <v>139</v>
      </c>
      <c r="G15" s="13">
        <v>6.96366010782336</v>
      </c>
      <c r="H15" s="13">
        <v>5.5858117305871202</v>
      </c>
      <c r="I15" s="13">
        <v>0.436744165825657</v>
      </c>
      <c r="J15" s="13">
        <v>7.3328223195886002</v>
      </c>
      <c r="K15" s="13">
        <v>5.6326327389233697</v>
      </c>
      <c r="L15" s="13">
        <v>0.40964829381471402</v>
      </c>
      <c r="M15">
        <v>0.28613758622900298</v>
      </c>
      <c r="N15">
        <v>4.36944580078125</v>
      </c>
      <c r="O15" s="13">
        <v>0.31713756380722002</v>
      </c>
      <c r="P15" t="s">
        <v>114</v>
      </c>
    </row>
    <row r="16" spans="1:16" x14ac:dyDescent="0.6">
      <c r="A16" t="s">
        <v>191</v>
      </c>
      <c r="B16">
        <v>10</v>
      </c>
      <c r="C16" t="s">
        <v>6</v>
      </c>
      <c r="D16" t="s">
        <v>177</v>
      </c>
      <c r="E16">
        <v>1</v>
      </c>
      <c r="F16" t="s">
        <v>192</v>
      </c>
      <c r="G16">
        <v>8.7163307150693594</v>
      </c>
      <c r="H16">
        <v>6.9551772495919897</v>
      </c>
      <c r="I16">
        <v>0.530428879387005</v>
      </c>
      <c r="J16">
        <v>7.1317229132935198</v>
      </c>
      <c r="K16">
        <v>5.4402314582757096</v>
      </c>
      <c r="L16">
        <v>0.399151392242516</v>
      </c>
      <c r="M16">
        <v>0.27480635247247498</v>
      </c>
      <c r="N16">
        <v>4.38189697265625</v>
      </c>
      <c r="O16">
        <v>0.320802489526541</v>
      </c>
      <c r="P16" t="s">
        <v>90</v>
      </c>
    </row>
    <row r="17" spans="1:16" x14ac:dyDescent="0.6">
      <c r="A17" t="s">
        <v>193</v>
      </c>
      <c r="B17">
        <v>20</v>
      </c>
      <c r="C17" t="s">
        <v>6</v>
      </c>
      <c r="D17" t="s">
        <v>7</v>
      </c>
      <c r="E17">
        <v>1</v>
      </c>
      <c r="F17" t="s">
        <v>91</v>
      </c>
      <c r="G17">
        <v>8.7130313918846696</v>
      </c>
      <c r="H17" s="13">
        <v>6.9552887626316204</v>
      </c>
      <c r="I17" s="13">
        <v>0.53077105769889898</v>
      </c>
      <c r="J17" s="13">
        <v>6.9281274884322803</v>
      </c>
      <c r="K17" s="13">
        <v>5.3343183729383599</v>
      </c>
      <c r="L17" s="13">
        <v>0.390580985948002</v>
      </c>
      <c r="M17">
        <v>0.25781232054696102</v>
      </c>
      <c r="N17">
        <v>4.38385009765625</v>
      </c>
      <c r="O17">
        <v>0.31687311333132101</v>
      </c>
      <c r="P17" t="s">
        <v>90</v>
      </c>
    </row>
    <row r="18" spans="1:16" x14ac:dyDescent="0.6">
      <c r="A18" t="s">
        <v>194</v>
      </c>
      <c r="B18">
        <v>60</v>
      </c>
      <c r="C18" t="s">
        <v>9</v>
      </c>
      <c r="D18" t="s">
        <v>184</v>
      </c>
      <c r="E18">
        <v>1</v>
      </c>
      <c r="F18" t="s">
        <v>195</v>
      </c>
      <c r="G18">
        <v>8.4774442974748201</v>
      </c>
      <c r="H18">
        <v>6.7612931806962502</v>
      </c>
      <c r="I18">
        <v>0.52289222824330195</v>
      </c>
      <c r="J18">
        <v>7.5078361106533196</v>
      </c>
      <c r="K18">
        <v>5.7300026633522698</v>
      </c>
      <c r="L18">
        <v>0.41750456334581398</v>
      </c>
      <c r="M18">
        <v>0.30042021607433</v>
      </c>
      <c r="N18">
        <v>4.38726806640625</v>
      </c>
      <c r="O18">
        <v>0.31816177918743699</v>
      </c>
      <c r="P18" t="s">
        <v>135</v>
      </c>
    </row>
    <row r="19" spans="1:16" x14ac:dyDescent="0.6">
      <c r="A19" t="s">
        <v>196</v>
      </c>
      <c r="B19">
        <v>30</v>
      </c>
      <c r="C19" t="s">
        <v>92</v>
      </c>
      <c r="D19" t="s">
        <v>177</v>
      </c>
      <c r="E19">
        <v>1</v>
      </c>
      <c r="F19" t="s">
        <v>197</v>
      </c>
      <c r="G19">
        <v>8.8781353372892404</v>
      </c>
      <c r="H19">
        <v>7.1046166448055699</v>
      </c>
      <c r="I19">
        <v>0.54276926811327897</v>
      </c>
      <c r="J19">
        <v>7.4298276872247104</v>
      </c>
      <c r="K19">
        <v>5.6015613148513301</v>
      </c>
      <c r="L19">
        <v>0.41004964274956102</v>
      </c>
      <c r="M19">
        <v>0.29682844096282301</v>
      </c>
      <c r="N19">
        <v>4.3900146484375</v>
      </c>
      <c r="O19">
        <v>0.324335943906358</v>
      </c>
      <c r="P19" t="s">
        <v>93</v>
      </c>
    </row>
    <row r="20" spans="1:16" x14ac:dyDescent="0.6">
      <c r="A20" t="s">
        <v>276</v>
      </c>
      <c r="B20">
        <v>5</v>
      </c>
      <c r="C20" t="s">
        <v>99</v>
      </c>
      <c r="D20" t="s">
        <v>177</v>
      </c>
      <c r="E20">
        <v>1</v>
      </c>
      <c r="F20" t="s">
        <v>277</v>
      </c>
      <c r="G20">
        <v>8.7351186054149892</v>
      </c>
      <c r="H20">
        <v>7.0069993531001904</v>
      </c>
      <c r="I20">
        <v>0.53452790223188795</v>
      </c>
      <c r="J20">
        <v>7.2457837160154996</v>
      </c>
      <c r="K20">
        <v>5.5456035663555197</v>
      </c>
      <c r="L20">
        <v>0.40650269275370299</v>
      </c>
      <c r="M20">
        <v>0.282809736509259</v>
      </c>
      <c r="N20">
        <v>4.5252685546875</v>
      </c>
      <c r="O20">
        <v>0.329299401626026</v>
      </c>
      <c r="P20" t="s">
        <v>90</v>
      </c>
    </row>
    <row r="21" spans="1:16" x14ac:dyDescent="0.6">
      <c r="A21" t="s">
        <v>200</v>
      </c>
      <c r="B21">
        <v>10</v>
      </c>
      <c r="C21" t="s">
        <v>99</v>
      </c>
      <c r="D21" t="s">
        <v>88</v>
      </c>
      <c r="E21">
        <v>1</v>
      </c>
      <c r="F21" t="s">
        <v>106</v>
      </c>
      <c r="G21">
        <v>8.659948</v>
      </c>
      <c r="H21">
        <v>6.9043580000000002</v>
      </c>
      <c r="I21">
        <v>0.52632100000000004</v>
      </c>
      <c r="J21">
        <v>7.0888549999999997</v>
      </c>
      <c r="K21">
        <v>5.4254749999999996</v>
      </c>
      <c r="L21">
        <v>0.39750799999999997</v>
      </c>
      <c r="M21">
        <v>0.27039999999999997</v>
      </c>
      <c r="N21">
        <v>4.3987429999999996</v>
      </c>
      <c r="O21">
        <v>0.32528800000000002</v>
      </c>
      <c r="P21" t="s">
        <v>90</v>
      </c>
    </row>
    <row r="22" spans="1:16" x14ac:dyDescent="0.6">
      <c r="A22" t="s">
        <v>201</v>
      </c>
      <c r="B22">
        <v>60</v>
      </c>
      <c r="C22" t="s">
        <v>9</v>
      </c>
      <c r="D22" t="s">
        <v>167</v>
      </c>
      <c r="E22">
        <v>1</v>
      </c>
      <c r="F22" t="s">
        <v>202</v>
      </c>
      <c r="G22">
        <v>8.6561489691669493</v>
      </c>
      <c r="H22">
        <v>6.9674649919782299</v>
      </c>
      <c r="I22">
        <v>0.53894274840005196</v>
      </c>
      <c r="J22">
        <v>7.4323322313487399</v>
      </c>
      <c r="K22">
        <v>5.6471321799538297</v>
      </c>
      <c r="L22">
        <v>0.41171675758454002</v>
      </c>
      <c r="M22">
        <v>0.295457442909631</v>
      </c>
      <c r="N22">
        <v>4.39886474609375</v>
      </c>
      <c r="O22">
        <v>0.310713147748022</v>
      </c>
      <c r="P22" t="s">
        <v>135</v>
      </c>
    </row>
    <row r="23" spans="1:16" x14ac:dyDescent="0.6">
      <c r="A23" t="s">
        <v>285</v>
      </c>
      <c r="B23">
        <v>5</v>
      </c>
      <c r="C23" t="s">
        <v>99</v>
      </c>
      <c r="D23" t="s">
        <v>7</v>
      </c>
      <c r="E23">
        <v>1</v>
      </c>
      <c r="F23" t="s">
        <v>118</v>
      </c>
      <c r="G23">
        <v>8.6862169999999992</v>
      </c>
      <c r="H23">
        <v>7.0010690000000002</v>
      </c>
      <c r="I23">
        <v>0.53403500000000004</v>
      </c>
      <c r="J23">
        <v>7.1601179999999998</v>
      </c>
      <c r="K23">
        <v>5.4565830000000002</v>
      </c>
      <c r="L23">
        <v>0.40040500000000001</v>
      </c>
      <c r="M23">
        <v>0.2772</v>
      </c>
      <c r="N23">
        <v>4.5373539999999997</v>
      </c>
      <c r="O23">
        <v>0.32225999999999999</v>
      </c>
      <c r="P23" t="s">
        <v>90</v>
      </c>
    </row>
    <row r="24" spans="1:16" x14ac:dyDescent="0.6">
      <c r="A24" t="s">
        <v>205</v>
      </c>
      <c r="B24">
        <v>10</v>
      </c>
      <c r="C24" t="s">
        <v>99</v>
      </c>
      <c r="D24" t="s">
        <v>7</v>
      </c>
      <c r="E24">
        <v>1</v>
      </c>
      <c r="F24" t="s">
        <v>136</v>
      </c>
      <c r="G24">
        <v>8.6307679999999998</v>
      </c>
      <c r="H24">
        <v>6.9221069999999996</v>
      </c>
      <c r="I24">
        <v>0.527922</v>
      </c>
      <c r="J24">
        <v>7.2915239999999999</v>
      </c>
      <c r="K24">
        <v>5.5767559999999996</v>
      </c>
      <c r="L24">
        <v>0.40916400000000003</v>
      </c>
      <c r="M24">
        <v>0.28720000000000001</v>
      </c>
      <c r="N24">
        <v>4.4080810000000001</v>
      </c>
      <c r="O24">
        <v>0.32418999999999998</v>
      </c>
      <c r="P24" t="s">
        <v>90</v>
      </c>
    </row>
    <row r="25" spans="1:16" x14ac:dyDescent="0.6">
      <c r="A25" t="s">
        <v>206</v>
      </c>
      <c r="B25">
        <v>90</v>
      </c>
      <c r="C25" t="s">
        <v>99</v>
      </c>
      <c r="D25" t="s">
        <v>171</v>
      </c>
      <c r="E25">
        <v>1</v>
      </c>
      <c r="F25" t="s">
        <v>207</v>
      </c>
      <c r="G25">
        <v>6.96678343044149</v>
      </c>
      <c r="H25">
        <v>5.49688720703125</v>
      </c>
      <c r="I25">
        <v>0.42840943443761598</v>
      </c>
      <c r="J25">
        <v>7.2289853856030604</v>
      </c>
      <c r="K25">
        <v>5.5359931841288503</v>
      </c>
      <c r="L25">
        <v>0.40285466636586098</v>
      </c>
      <c r="M25">
        <v>0.27868094154237</v>
      </c>
      <c r="N25">
        <v>4.40869140625</v>
      </c>
      <c r="O25">
        <v>0.318150252554734</v>
      </c>
      <c r="P25" t="s">
        <v>114</v>
      </c>
    </row>
    <row r="26" spans="1:16" x14ac:dyDescent="0.6">
      <c r="A26" t="s">
        <v>208</v>
      </c>
      <c r="B26">
        <v>90</v>
      </c>
      <c r="C26" t="s">
        <v>92</v>
      </c>
      <c r="D26" t="s">
        <v>8</v>
      </c>
      <c r="E26">
        <v>1</v>
      </c>
      <c r="F26" t="s">
        <v>160</v>
      </c>
      <c r="G26">
        <v>6.9823729999999999</v>
      </c>
      <c r="H26">
        <v>5.4585850000000002</v>
      </c>
      <c r="I26">
        <v>0.42615500000000001</v>
      </c>
      <c r="J26">
        <v>7.8758290000000004</v>
      </c>
      <c r="K26">
        <v>5.987158</v>
      </c>
      <c r="L26">
        <v>0.43723400000000001</v>
      </c>
      <c r="M26">
        <v>0.33429999999999999</v>
      </c>
      <c r="N26">
        <v>4.4137570000000004</v>
      </c>
      <c r="O26">
        <v>0.31723600000000002</v>
      </c>
      <c r="P26" t="s">
        <v>114</v>
      </c>
    </row>
    <row r="27" spans="1:16" x14ac:dyDescent="0.6">
      <c r="A27" t="s">
        <v>209</v>
      </c>
      <c r="B27">
        <v>20</v>
      </c>
      <c r="C27" t="s">
        <v>99</v>
      </c>
      <c r="D27" t="s">
        <v>210</v>
      </c>
      <c r="E27">
        <v>1</v>
      </c>
      <c r="F27" t="s">
        <v>211</v>
      </c>
      <c r="G27">
        <v>8.7100883473392301</v>
      </c>
      <c r="H27">
        <v>7.0094398635122701</v>
      </c>
      <c r="I27">
        <v>0.53512031280584305</v>
      </c>
      <c r="J27">
        <v>6.8747985261939704</v>
      </c>
      <c r="K27">
        <v>5.3039641203703702</v>
      </c>
      <c r="L27">
        <v>0.38824872459356102</v>
      </c>
      <c r="M27">
        <v>0.25359787741442003</v>
      </c>
      <c r="N27">
        <v>4.4156494140625</v>
      </c>
      <c r="O27">
        <v>0.32047466514452699</v>
      </c>
      <c r="P27" t="s">
        <v>90</v>
      </c>
    </row>
    <row r="28" spans="1:16" x14ac:dyDescent="0.6">
      <c r="A28" t="s">
        <v>212</v>
      </c>
      <c r="B28">
        <v>10</v>
      </c>
      <c r="C28" t="s">
        <v>92</v>
      </c>
      <c r="D28" t="s">
        <v>177</v>
      </c>
      <c r="E28">
        <v>1</v>
      </c>
      <c r="F28" t="s">
        <v>213</v>
      </c>
      <c r="G28">
        <v>8.7362216556952195</v>
      </c>
      <c r="H28">
        <v>7.0352588037919404</v>
      </c>
      <c r="I28">
        <v>0.53662371910331497</v>
      </c>
      <c r="J28">
        <v>7.1431431075978802</v>
      </c>
      <c r="K28">
        <v>5.5197159758711196</v>
      </c>
      <c r="L28">
        <v>0.40412142626686098</v>
      </c>
      <c r="M28">
        <v>0.27378740682967301</v>
      </c>
      <c r="N28">
        <v>4.41717529296875</v>
      </c>
      <c r="O28">
        <v>0.32674482651939801</v>
      </c>
      <c r="P28" t="s">
        <v>90</v>
      </c>
    </row>
    <row r="29" spans="1:16" x14ac:dyDescent="0.6">
      <c r="A29" t="s">
        <v>214</v>
      </c>
      <c r="B29">
        <v>30</v>
      </c>
      <c r="C29" t="s">
        <v>6</v>
      </c>
      <c r="D29" t="s">
        <v>181</v>
      </c>
      <c r="E29">
        <v>1</v>
      </c>
      <c r="F29" t="s">
        <v>215</v>
      </c>
      <c r="G29">
        <v>8.88119547143293</v>
      </c>
      <c r="H29">
        <v>7.1739417125037699</v>
      </c>
      <c r="I29">
        <v>0.54824016182711499</v>
      </c>
      <c r="J29">
        <v>7.16134862043317</v>
      </c>
      <c r="K29">
        <v>5.4657379446677696</v>
      </c>
      <c r="L29">
        <v>0.39960011205711199</v>
      </c>
      <c r="M29">
        <v>0.27464741652158503</v>
      </c>
      <c r="N29">
        <v>4.4232177734375</v>
      </c>
      <c r="O29">
        <v>0.32861493987000201</v>
      </c>
      <c r="P29" t="s">
        <v>93</v>
      </c>
    </row>
    <row r="30" spans="1:16" x14ac:dyDescent="0.6">
      <c r="A30" t="s">
        <v>216</v>
      </c>
      <c r="B30">
        <v>20</v>
      </c>
      <c r="C30" t="s">
        <v>92</v>
      </c>
      <c r="D30" t="s">
        <v>181</v>
      </c>
      <c r="E30">
        <v>1</v>
      </c>
      <c r="F30" t="s">
        <v>217</v>
      </c>
      <c r="G30">
        <v>8.7174169468631</v>
      </c>
      <c r="H30">
        <v>6.9989352018936799</v>
      </c>
      <c r="I30">
        <v>0.53406374156202696</v>
      </c>
      <c r="J30">
        <v>6.9520980264162597</v>
      </c>
      <c r="K30">
        <v>5.3379471390335604</v>
      </c>
      <c r="L30">
        <v>0.39084732281409901</v>
      </c>
      <c r="M30">
        <v>0.25962339982994898</v>
      </c>
      <c r="N30">
        <v>4.426025390625</v>
      </c>
      <c r="O30">
        <v>0.32643863680408203</v>
      </c>
      <c r="P30" t="s">
        <v>90</v>
      </c>
    </row>
    <row r="31" spans="1:16" x14ac:dyDescent="0.6">
      <c r="A31" t="s">
        <v>397</v>
      </c>
      <c r="B31">
        <v>5</v>
      </c>
      <c r="C31" t="s">
        <v>99</v>
      </c>
      <c r="D31" t="s">
        <v>88</v>
      </c>
      <c r="E31">
        <v>1</v>
      </c>
      <c r="F31" t="s">
        <v>144</v>
      </c>
      <c r="G31">
        <v>8.7276670000000003</v>
      </c>
      <c r="H31">
        <v>6.9826040000000003</v>
      </c>
      <c r="I31">
        <v>0.53261700000000001</v>
      </c>
      <c r="J31">
        <v>7.3812639999999998</v>
      </c>
      <c r="K31">
        <v>5.6595329999999997</v>
      </c>
      <c r="L31">
        <v>0.414576</v>
      </c>
      <c r="M31">
        <v>0.29289999999999999</v>
      </c>
      <c r="N31">
        <v>4.6522220000000001</v>
      </c>
      <c r="O31">
        <v>0.335337</v>
      </c>
      <c r="P31" t="s">
        <v>90</v>
      </c>
    </row>
    <row r="32" spans="1:16" x14ac:dyDescent="0.6">
      <c r="A32" t="s">
        <v>220</v>
      </c>
      <c r="B32">
        <v>20</v>
      </c>
      <c r="C32" t="s">
        <v>6</v>
      </c>
      <c r="D32" t="s">
        <v>8</v>
      </c>
      <c r="E32">
        <v>1</v>
      </c>
      <c r="F32" t="s">
        <v>120</v>
      </c>
      <c r="G32" s="13">
        <v>8.7212095813586199</v>
      </c>
      <c r="H32">
        <v>6.9902521704164</v>
      </c>
      <c r="I32">
        <v>0.533626616661943</v>
      </c>
      <c r="J32">
        <v>7.1777958405386597</v>
      </c>
      <c r="K32" s="13">
        <v>5.4973658808955399</v>
      </c>
      <c r="L32" s="13">
        <v>0.402926704755806</v>
      </c>
      <c r="M32">
        <v>0.27791071598327999</v>
      </c>
      <c r="N32">
        <v>4.43603515625</v>
      </c>
      <c r="O32" s="13">
        <v>0.32673135791585201</v>
      </c>
      <c r="P32" t="s">
        <v>90</v>
      </c>
    </row>
    <row r="33" spans="1:16" x14ac:dyDescent="0.6">
      <c r="A33" t="s">
        <v>223</v>
      </c>
      <c r="B33">
        <v>20</v>
      </c>
      <c r="C33" t="s">
        <v>6</v>
      </c>
      <c r="D33" t="s">
        <v>174</v>
      </c>
      <c r="E33">
        <v>1</v>
      </c>
      <c r="F33" t="s">
        <v>224</v>
      </c>
      <c r="G33">
        <v>8.7913129222236197</v>
      </c>
      <c r="H33">
        <v>7.04863629743571</v>
      </c>
      <c r="I33">
        <v>0.53808511665544301</v>
      </c>
      <c r="J33">
        <v>6.9747408758165603</v>
      </c>
      <c r="K33">
        <v>5.3762438738787601</v>
      </c>
      <c r="L33">
        <v>0.39363596302541798</v>
      </c>
      <c r="M33">
        <v>0.26134295523631901</v>
      </c>
      <c r="N33">
        <v>4.43780517578125</v>
      </c>
      <c r="O33">
        <v>0.32400996650654401</v>
      </c>
      <c r="P33" t="s">
        <v>90</v>
      </c>
    </row>
    <row r="34" spans="1:16" x14ac:dyDescent="0.6">
      <c r="A34" t="s">
        <v>225</v>
      </c>
      <c r="B34">
        <v>90</v>
      </c>
      <c r="C34" t="s">
        <v>6</v>
      </c>
      <c r="D34" t="s">
        <v>181</v>
      </c>
      <c r="E34">
        <v>1</v>
      </c>
      <c r="F34" t="s">
        <v>226</v>
      </c>
      <c r="G34">
        <v>6.9684478409376496</v>
      </c>
      <c r="H34">
        <v>5.5361494584516997</v>
      </c>
      <c r="I34">
        <v>0.43131612528741298</v>
      </c>
      <c r="J34">
        <v>7.25330241816713</v>
      </c>
      <c r="K34">
        <v>5.4647233518835598</v>
      </c>
      <c r="L34">
        <v>0.397966677529559</v>
      </c>
      <c r="M34">
        <v>0.28086431755179897</v>
      </c>
      <c r="N34">
        <v>4.4476318359375</v>
      </c>
      <c r="O34">
        <v>0.32151564280713602</v>
      </c>
      <c r="P34" t="s">
        <v>114</v>
      </c>
    </row>
    <row r="35" spans="1:16" x14ac:dyDescent="0.6">
      <c r="A35" t="s">
        <v>227</v>
      </c>
      <c r="B35">
        <v>30</v>
      </c>
      <c r="C35" t="s">
        <v>9</v>
      </c>
      <c r="D35" t="s">
        <v>171</v>
      </c>
      <c r="E35">
        <v>1</v>
      </c>
      <c r="F35" t="s">
        <v>228</v>
      </c>
      <c r="G35">
        <v>8.9645053356849296</v>
      </c>
      <c r="H35">
        <v>7.21503775093713</v>
      </c>
      <c r="I35">
        <v>0.551246822654197</v>
      </c>
      <c r="J35">
        <v>7.5494601922749904</v>
      </c>
      <c r="K35">
        <v>5.7602390918916804</v>
      </c>
      <c r="L35">
        <v>0.42193719397275498</v>
      </c>
      <c r="M35">
        <v>0.30704520414636399</v>
      </c>
      <c r="N35">
        <v>4.45001220703125</v>
      </c>
      <c r="O35">
        <v>0.32860352095671902</v>
      </c>
      <c r="P35" t="s">
        <v>93</v>
      </c>
    </row>
    <row r="36" spans="1:16" x14ac:dyDescent="0.6">
      <c r="A36" t="s">
        <v>229</v>
      </c>
      <c r="B36">
        <v>90</v>
      </c>
      <c r="C36" t="s">
        <v>92</v>
      </c>
      <c r="D36" t="s">
        <v>88</v>
      </c>
      <c r="E36">
        <v>1</v>
      </c>
      <c r="F36" t="s">
        <v>128</v>
      </c>
      <c r="G36">
        <v>7.0145809999999997</v>
      </c>
      <c r="H36">
        <v>5.5760540000000001</v>
      </c>
      <c r="I36">
        <v>0.435255</v>
      </c>
      <c r="J36">
        <v>7.2275549999999997</v>
      </c>
      <c r="K36">
        <v>5.5137689999999999</v>
      </c>
      <c r="L36">
        <v>0.40135700000000002</v>
      </c>
      <c r="M36">
        <v>0.27850000000000003</v>
      </c>
      <c r="N36">
        <v>4.4532470000000002</v>
      </c>
      <c r="O36">
        <v>0.32051600000000002</v>
      </c>
      <c r="P36" t="s">
        <v>114</v>
      </c>
    </row>
    <row r="37" spans="1:16" x14ac:dyDescent="0.6">
      <c r="A37" t="s">
        <v>230</v>
      </c>
      <c r="B37">
        <v>20</v>
      </c>
      <c r="C37" t="s">
        <v>99</v>
      </c>
      <c r="D37" t="s">
        <v>171</v>
      </c>
      <c r="E37">
        <v>1</v>
      </c>
      <c r="F37" t="s">
        <v>231</v>
      </c>
      <c r="G37">
        <v>8.6969041203063</v>
      </c>
      <c r="H37">
        <v>7.0400768387348096</v>
      </c>
      <c r="I37">
        <v>0.537478758215439</v>
      </c>
      <c r="J37">
        <v>6.96605526634516</v>
      </c>
      <c r="K37">
        <v>5.3270828812210604</v>
      </c>
      <c r="L37">
        <v>0.39003821670113398</v>
      </c>
      <c r="M37">
        <v>0.26092077600993496</v>
      </c>
      <c r="N37">
        <v>4.456787109375</v>
      </c>
      <c r="O37">
        <v>0.33384280235031599</v>
      </c>
      <c r="P37" t="s">
        <v>90</v>
      </c>
    </row>
    <row r="38" spans="1:16" x14ac:dyDescent="0.6">
      <c r="A38" t="s">
        <v>232</v>
      </c>
      <c r="B38">
        <v>30</v>
      </c>
      <c r="C38" t="s">
        <v>99</v>
      </c>
      <c r="D38" t="s">
        <v>184</v>
      </c>
      <c r="E38">
        <v>1</v>
      </c>
      <c r="F38" t="s">
        <v>233</v>
      </c>
      <c r="G38">
        <v>8.9599132368622705</v>
      </c>
      <c r="H38">
        <v>7.2110308108959398</v>
      </c>
      <c r="I38">
        <v>0.55100601705768304</v>
      </c>
      <c r="J38">
        <v>7.0746923752344202</v>
      </c>
      <c r="K38">
        <v>5.4036343768962301</v>
      </c>
      <c r="L38">
        <v>0.39516464047175898</v>
      </c>
      <c r="M38">
        <v>0.26837916375609</v>
      </c>
      <c r="N38">
        <v>4.46380615234375</v>
      </c>
      <c r="O38">
        <v>0.32595539820685598</v>
      </c>
      <c r="P38" t="s">
        <v>93</v>
      </c>
    </row>
    <row r="39" spans="1:16" x14ac:dyDescent="0.6">
      <c r="A39" t="s">
        <v>234</v>
      </c>
      <c r="B39">
        <v>90</v>
      </c>
      <c r="C39" t="s">
        <v>99</v>
      </c>
      <c r="D39" t="s">
        <v>8</v>
      </c>
      <c r="E39">
        <v>1</v>
      </c>
      <c r="F39" t="s">
        <v>126</v>
      </c>
      <c r="G39">
        <v>6.9404859999999999</v>
      </c>
      <c r="H39">
        <v>5.3550909999999998</v>
      </c>
      <c r="I39">
        <v>0.417993</v>
      </c>
      <c r="J39">
        <v>7.2208379999999996</v>
      </c>
      <c r="K39">
        <v>5.5475659999999998</v>
      </c>
      <c r="L39">
        <v>0.40374199999999999</v>
      </c>
      <c r="M39">
        <v>0.27789999999999998</v>
      </c>
      <c r="N39">
        <v>4.4656370000000001</v>
      </c>
      <c r="O39">
        <v>0.32366</v>
      </c>
      <c r="P39" t="s">
        <v>114</v>
      </c>
    </row>
    <row r="40" spans="1:16" x14ac:dyDescent="0.6">
      <c r="A40" t="s">
        <v>235</v>
      </c>
      <c r="B40">
        <v>90</v>
      </c>
      <c r="C40" t="s">
        <v>92</v>
      </c>
      <c r="D40" t="s">
        <v>7</v>
      </c>
      <c r="E40">
        <v>1</v>
      </c>
      <c r="F40" t="s">
        <v>113</v>
      </c>
      <c r="G40">
        <v>6.9550789999999996</v>
      </c>
      <c r="H40">
        <v>5.5282980000000004</v>
      </c>
      <c r="I40">
        <v>0.43144399999999999</v>
      </c>
      <c r="J40">
        <v>7.1349489999999998</v>
      </c>
      <c r="K40">
        <v>5.4568960000000004</v>
      </c>
      <c r="L40">
        <v>0.397374</v>
      </c>
      <c r="M40">
        <v>0.27160000000000001</v>
      </c>
      <c r="N40">
        <v>4.4688720000000002</v>
      </c>
      <c r="O40">
        <v>0.32714700000000002</v>
      </c>
      <c r="P40" t="s">
        <v>114</v>
      </c>
    </row>
    <row r="41" spans="1:16" x14ac:dyDescent="0.6">
      <c r="A41" t="s">
        <v>236</v>
      </c>
      <c r="B41">
        <v>60</v>
      </c>
      <c r="C41" t="s">
        <v>92</v>
      </c>
      <c r="D41" t="s">
        <v>167</v>
      </c>
      <c r="E41">
        <v>1</v>
      </c>
      <c r="F41" t="s">
        <v>237</v>
      </c>
      <c r="G41">
        <v>8.4234848228421804</v>
      </c>
      <c r="H41">
        <v>6.8762642996651699</v>
      </c>
      <c r="I41">
        <v>0.53171512207902205</v>
      </c>
      <c r="J41">
        <v>7.4105862167040399</v>
      </c>
      <c r="K41">
        <v>5.7145420421253501</v>
      </c>
      <c r="L41">
        <v>0.41594271941254002</v>
      </c>
      <c r="M41">
        <v>0.29231740512652599</v>
      </c>
      <c r="N41">
        <v>4.47119140625</v>
      </c>
      <c r="O41">
        <v>0.33018144868187999</v>
      </c>
      <c r="P41" t="s">
        <v>135</v>
      </c>
    </row>
    <row r="42" spans="1:16" x14ac:dyDescent="0.6">
      <c r="A42" t="s">
        <v>238</v>
      </c>
      <c r="B42">
        <v>20</v>
      </c>
      <c r="C42" t="s">
        <v>6</v>
      </c>
      <c r="D42" t="s">
        <v>167</v>
      </c>
      <c r="E42">
        <v>1</v>
      </c>
      <c r="F42" t="s">
        <v>239</v>
      </c>
      <c r="G42">
        <v>8.73956223564279</v>
      </c>
      <c r="H42">
        <v>7.0514969301345696</v>
      </c>
      <c r="I42">
        <v>0.53834291266406198</v>
      </c>
      <c r="J42">
        <v>6.9094331881194302</v>
      </c>
      <c r="K42">
        <v>5.3485276963975696</v>
      </c>
      <c r="L42">
        <v>0.39119348551821298</v>
      </c>
      <c r="M42">
        <v>0.25553018850190301</v>
      </c>
      <c r="N42">
        <v>4.47320556640625</v>
      </c>
      <c r="O42">
        <v>0.33340449798418897</v>
      </c>
      <c r="P42" t="s">
        <v>90</v>
      </c>
    </row>
    <row r="43" spans="1:16" x14ac:dyDescent="0.6">
      <c r="A43" t="s">
        <v>240</v>
      </c>
      <c r="B43">
        <v>60</v>
      </c>
      <c r="C43" t="s">
        <v>6</v>
      </c>
      <c r="D43" t="s">
        <v>167</v>
      </c>
      <c r="E43">
        <v>1</v>
      </c>
      <c r="F43" t="s">
        <v>241</v>
      </c>
      <c r="G43">
        <v>8.4845097797249007</v>
      </c>
      <c r="H43">
        <v>6.8333948156335804</v>
      </c>
      <c r="I43">
        <v>0.52829673005314504</v>
      </c>
      <c r="J43">
        <v>7.7816613534227503</v>
      </c>
      <c r="K43">
        <v>5.9491840709339403</v>
      </c>
      <c r="L43">
        <v>0.43443104377874298</v>
      </c>
      <c r="M43">
        <v>0.32546652773861301</v>
      </c>
      <c r="N43">
        <v>4.474609375</v>
      </c>
      <c r="O43">
        <v>0.32742282546845097</v>
      </c>
      <c r="P43" t="s">
        <v>135</v>
      </c>
    </row>
    <row r="44" spans="1:16" x14ac:dyDescent="0.6">
      <c r="A44" t="s">
        <v>242</v>
      </c>
      <c r="B44">
        <v>30</v>
      </c>
      <c r="C44" t="s">
        <v>6</v>
      </c>
      <c r="D44" t="s">
        <v>7</v>
      </c>
      <c r="E44">
        <v>1</v>
      </c>
      <c r="F44" t="s">
        <v>102</v>
      </c>
      <c r="G44" s="13">
        <v>8.8823086150320698</v>
      </c>
      <c r="H44" s="13">
        <v>7.1348947151254603</v>
      </c>
      <c r="I44" s="13">
        <v>0.54528725498835795</v>
      </c>
      <c r="J44" s="13">
        <v>7.0741044869479301</v>
      </c>
      <c r="K44" s="13">
        <v>5.39117490898058</v>
      </c>
      <c r="L44" s="13">
        <v>0.39437584931035502</v>
      </c>
      <c r="M44">
        <v>0.26864105538190697</v>
      </c>
      <c r="N44">
        <v>4.47637939453125</v>
      </c>
      <c r="O44" s="13">
        <v>0.31870420142372202</v>
      </c>
      <c r="P44" t="s">
        <v>93</v>
      </c>
    </row>
    <row r="45" spans="1:16" x14ac:dyDescent="0.6">
      <c r="A45" t="s">
        <v>243</v>
      </c>
      <c r="B45">
        <v>20</v>
      </c>
      <c r="C45" t="s">
        <v>99</v>
      </c>
      <c r="D45" t="s">
        <v>8</v>
      </c>
      <c r="E45">
        <v>1</v>
      </c>
      <c r="F45" t="s">
        <v>127</v>
      </c>
      <c r="G45">
        <v>8.7377050000000001</v>
      </c>
      <c r="H45">
        <v>6.9227350000000003</v>
      </c>
      <c r="I45">
        <v>0.528366</v>
      </c>
      <c r="J45">
        <v>7.224634</v>
      </c>
      <c r="K45">
        <v>5.581995</v>
      </c>
      <c r="L45">
        <v>0.40810000000000002</v>
      </c>
      <c r="M45">
        <v>0.27929999999999999</v>
      </c>
      <c r="N45">
        <v>4.4867549999999996</v>
      </c>
      <c r="O45">
        <v>0.32525700000000002</v>
      </c>
      <c r="P45" t="s">
        <v>90</v>
      </c>
    </row>
    <row r="46" spans="1:16" x14ac:dyDescent="0.6">
      <c r="A46" t="s">
        <v>244</v>
      </c>
      <c r="B46">
        <v>60</v>
      </c>
      <c r="C46" t="s">
        <v>99</v>
      </c>
      <c r="D46" t="s">
        <v>88</v>
      </c>
      <c r="E46">
        <v>1</v>
      </c>
      <c r="F46" t="s">
        <v>150</v>
      </c>
      <c r="G46">
        <v>8.3870319999999996</v>
      </c>
      <c r="H46">
        <v>6.8625210000000001</v>
      </c>
      <c r="I46">
        <v>0.53032900000000005</v>
      </c>
      <c r="J46">
        <v>7.4794070000000001</v>
      </c>
      <c r="K46">
        <v>5.6867190000000001</v>
      </c>
      <c r="L46">
        <v>0.41473599999999999</v>
      </c>
      <c r="M46">
        <v>0.2994</v>
      </c>
      <c r="N46">
        <v>4.4887079999999999</v>
      </c>
      <c r="O46">
        <v>0.33013799999999999</v>
      </c>
      <c r="P46" t="s">
        <v>135</v>
      </c>
    </row>
    <row r="47" spans="1:16" x14ac:dyDescent="0.6">
      <c r="A47" t="s">
        <v>245</v>
      </c>
      <c r="B47">
        <v>10</v>
      </c>
      <c r="C47" t="s">
        <v>99</v>
      </c>
      <c r="D47" t="s">
        <v>171</v>
      </c>
      <c r="E47">
        <v>1</v>
      </c>
      <c r="F47" t="s">
        <v>246</v>
      </c>
      <c r="G47">
        <v>8.7973791230451095</v>
      </c>
      <c r="H47">
        <v>6.9661100223592998</v>
      </c>
      <c r="I47">
        <v>0.53128192014350994</v>
      </c>
      <c r="J47">
        <v>7.1364558498293302</v>
      </c>
      <c r="K47">
        <v>5.4772344268528697</v>
      </c>
      <c r="L47">
        <v>0.40156658145480401</v>
      </c>
      <c r="M47">
        <v>0.27440496856316204</v>
      </c>
      <c r="N47">
        <v>4.4888916015625</v>
      </c>
      <c r="O47">
        <v>0.32502688811716302</v>
      </c>
      <c r="P47" t="s">
        <v>90</v>
      </c>
    </row>
    <row r="48" spans="1:16" x14ac:dyDescent="0.6">
      <c r="A48" t="s">
        <v>247</v>
      </c>
      <c r="B48">
        <v>10</v>
      </c>
      <c r="C48" t="s">
        <v>9</v>
      </c>
      <c r="D48" t="s">
        <v>88</v>
      </c>
      <c r="E48">
        <v>1</v>
      </c>
      <c r="F48" t="s">
        <v>98</v>
      </c>
      <c r="G48" s="13">
        <v>8.8035537469052798</v>
      </c>
      <c r="H48" s="13">
        <v>7.0949205309377303</v>
      </c>
      <c r="I48" s="13">
        <v>0.54150261559254398</v>
      </c>
      <c r="J48" s="13">
        <v>7.0142449105703699</v>
      </c>
      <c r="K48" s="13">
        <v>5.3826164313122202</v>
      </c>
      <c r="L48" s="13">
        <v>0.394732501653973</v>
      </c>
      <c r="M48">
        <v>0.26525875391023002</v>
      </c>
      <c r="N48">
        <v>4.49322509765625</v>
      </c>
      <c r="O48" s="13">
        <v>0.33505722785023201</v>
      </c>
      <c r="P48" t="s">
        <v>90</v>
      </c>
    </row>
    <row r="49" spans="1:16" x14ac:dyDescent="0.6">
      <c r="A49" t="s">
        <v>248</v>
      </c>
      <c r="B49">
        <v>10</v>
      </c>
      <c r="C49" t="s">
        <v>9</v>
      </c>
      <c r="D49" t="s">
        <v>184</v>
      </c>
      <c r="E49">
        <v>1</v>
      </c>
      <c r="F49" t="s">
        <v>185</v>
      </c>
      <c r="G49">
        <v>8.7751240824947292</v>
      </c>
      <c r="H49">
        <v>7.00674120872808</v>
      </c>
      <c r="I49">
        <v>0.53425735359302196</v>
      </c>
      <c r="J49">
        <v>7.20176695322552</v>
      </c>
      <c r="K49">
        <v>5.50022955700359</v>
      </c>
      <c r="L49">
        <v>0.40295960123583902</v>
      </c>
      <c r="M49">
        <v>0.278693409149886</v>
      </c>
      <c r="N49">
        <v>4.4947509765625</v>
      </c>
      <c r="O49">
        <v>0.32732746862628498</v>
      </c>
      <c r="P49" t="s">
        <v>90</v>
      </c>
    </row>
    <row r="50" spans="1:16" x14ac:dyDescent="0.6">
      <c r="A50" t="s">
        <v>249</v>
      </c>
      <c r="B50">
        <v>60</v>
      </c>
      <c r="C50" t="s">
        <v>92</v>
      </c>
      <c r="D50" t="s">
        <v>7</v>
      </c>
      <c r="E50">
        <v>1</v>
      </c>
      <c r="F50" t="s">
        <v>134</v>
      </c>
      <c r="G50">
        <v>8.4138420000000007</v>
      </c>
      <c r="H50">
        <v>6.8743990000000004</v>
      </c>
      <c r="I50">
        <v>0.53144800000000003</v>
      </c>
      <c r="J50">
        <v>7.2754630000000002</v>
      </c>
      <c r="K50">
        <v>5.5962430000000003</v>
      </c>
      <c r="L50">
        <v>0.40754000000000001</v>
      </c>
      <c r="M50">
        <v>0.28189999999999998</v>
      </c>
      <c r="N50">
        <v>4.4950559999999999</v>
      </c>
      <c r="O50">
        <v>0.33418700000000001</v>
      </c>
      <c r="P50" t="s">
        <v>135</v>
      </c>
    </row>
    <row r="51" spans="1:16" x14ac:dyDescent="0.6">
      <c r="A51" t="s">
        <v>250</v>
      </c>
      <c r="B51">
        <v>90</v>
      </c>
      <c r="C51" t="s">
        <v>99</v>
      </c>
      <c r="D51" t="s">
        <v>174</v>
      </c>
      <c r="E51">
        <v>1</v>
      </c>
      <c r="F51" t="s">
        <v>251</v>
      </c>
      <c r="G51">
        <v>6.9039978543747802</v>
      </c>
      <c r="H51">
        <v>5.5073815548058702</v>
      </c>
      <c r="I51">
        <v>0.429648682147038</v>
      </c>
      <c r="J51">
        <v>7.25942579966366</v>
      </c>
      <c r="K51">
        <v>5.5426719351990501</v>
      </c>
      <c r="L51">
        <v>0.40314418100601201</v>
      </c>
      <c r="M51">
        <v>0.28020475115933202</v>
      </c>
      <c r="N51">
        <v>4.49603271484375</v>
      </c>
      <c r="O51">
        <v>0.32887792502687402</v>
      </c>
      <c r="P51" t="s">
        <v>114</v>
      </c>
    </row>
    <row r="52" spans="1:16" x14ac:dyDescent="0.6">
      <c r="A52" t="s">
        <v>252</v>
      </c>
      <c r="B52">
        <v>30</v>
      </c>
      <c r="C52" t="s">
        <v>92</v>
      </c>
      <c r="D52" t="s">
        <v>171</v>
      </c>
      <c r="E52">
        <v>1</v>
      </c>
      <c r="F52" t="s">
        <v>253</v>
      </c>
      <c r="G52">
        <v>8.8551178953347396</v>
      </c>
      <c r="H52">
        <v>7.1247838487937898</v>
      </c>
      <c r="I52">
        <v>0.54428592920526997</v>
      </c>
      <c r="J52">
        <v>7.1621247613176102</v>
      </c>
      <c r="K52">
        <v>5.5567585472921701</v>
      </c>
      <c r="L52">
        <v>0.40637251245662498</v>
      </c>
      <c r="M52">
        <v>0.27511767742896198</v>
      </c>
      <c r="N52">
        <v>4.49969482421875</v>
      </c>
      <c r="O52">
        <v>0.32721326169611298</v>
      </c>
      <c r="P52" t="s">
        <v>93</v>
      </c>
    </row>
    <row r="53" spans="1:16" x14ac:dyDescent="0.6">
      <c r="A53" t="s">
        <v>254</v>
      </c>
      <c r="B53">
        <v>30</v>
      </c>
      <c r="C53" t="s">
        <v>6</v>
      </c>
      <c r="D53" t="s">
        <v>184</v>
      </c>
      <c r="E53">
        <v>1</v>
      </c>
      <c r="F53" t="s">
        <v>255</v>
      </c>
      <c r="G53">
        <v>8.9185876639425299</v>
      </c>
      <c r="H53">
        <v>7.1638236723595803</v>
      </c>
      <c r="I53">
        <v>0.54740665084654505</v>
      </c>
      <c r="J53">
        <v>6.9449210895727402</v>
      </c>
      <c r="K53">
        <v>5.3968339938561796</v>
      </c>
      <c r="L53">
        <v>0.39450969559335802</v>
      </c>
      <c r="M53">
        <v>0.25812409549544302</v>
      </c>
      <c r="N53">
        <v>4.5006103515625</v>
      </c>
      <c r="O53">
        <v>0.329599423447896</v>
      </c>
      <c r="P53" t="s">
        <v>93</v>
      </c>
    </row>
    <row r="54" spans="1:16" x14ac:dyDescent="0.6">
      <c r="A54" t="s">
        <v>256</v>
      </c>
      <c r="B54">
        <v>90</v>
      </c>
      <c r="C54" t="s">
        <v>92</v>
      </c>
      <c r="D54" t="s">
        <v>184</v>
      </c>
      <c r="E54">
        <v>1</v>
      </c>
      <c r="F54" t="s">
        <v>257</v>
      </c>
      <c r="G54">
        <v>6.9759734859665503</v>
      </c>
      <c r="H54">
        <v>5.5083507191051098</v>
      </c>
      <c r="I54">
        <v>0.42977070577689502</v>
      </c>
      <c r="J54">
        <v>7.4781059670419898</v>
      </c>
      <c r="K54">
        <v>5.7601468857020501</v>
      </c>
      <c r="L54">
        <v>0.41881793482940599</v>
      </c>
      <c r="M54">
        <v>0.297290778011298</v>
      </c>
      <c r="N54">
        <v>4.50250244140625</v>
      </c>
      <c r="O54">
        <v>0.32638429542382402</v>
      </c>
      <c r="P54" t="s">
        <v>114</v>
      </c>
    </row>
    <row r="55" spans="1:16" x14ac:dyDescent="0.6">
      <c r="A55" t="s">
        <v>258</v>
      </c>
      <c r="B55">
        <v>60</v>
      </c>
      <c r="C55" t="s">
        <v>92</v>
      </c>
      <c r="D55" t="s">
        <v>8</v>
      </c>
      <c r="E55">
        <v>1</v>
      </c>
      <c r="F55" t="s">
        <v>141</v>
      </c>
      <c r="G55">
        <v>8.4649870000000007</v>
      </c>
      <c r="H55">
        <v>6.9158369999999998</v>
      </c>
      <c r="I55">
        <v>0.53463700000000003</v>
      </c>
      <c r="J55">
        <v>7.3410529999999996</v>
      </c>
      <c r="K55">
        <v>5.6173570000000002</v>
      </c>
      <c r="L55">
        <v>0.40954499999999999</v>
      </c>
      <c r="M55">
        <v>0.28809999999999997</v>
      </c>
      <c r="N55">
        <v>4.5057980000000004</v>
      </c>
      <c r="O55">
        <v>0.330175</v>
      </c>
      <c r="P55" t="s">
        <v>135</v>
      </c>
    </row>
    <row r="56" spans="1:16" x14ac:dyDescent="0.6">
      <c r="A56" t="s">
        <v>259</v>
      </c>
      <c r="B56">
        <v>60</v>
      </c>
      <c r="C56" t="s">
        <v>9</v>
      </c>
      <c r="D56" t="s">
        <v>8</v>
      </c>
      <c r="E56">
        <v>1</v>
      </c>
      <c r="F56" t="s">
        <v>154</v>
      </c>
      <c r="G56" s="13">
        <v>8.2972098186660403</v>
      </c>
      <c r="H56" s="13">
        <v>6.7172210190322303</v>
      </c>
      <c r="I56" s="13">
        <v>0.51941760302013795</v>
      </c>
      <c r="J56" s="13">
        <v>7.5538931316901596</v>
      </c>
      <c r="K56" s="13">
        <v>5.7484637173739301</v>
      </c>
      <c r="L56" s="13">
        <v>0.41920186875356302</v>
      </c>
      <c r="M56">
        <v>0.30560981843080198</v>
      </c>
      <c r="N56">
        <v>4.50982666015625</v>
      </c>
      <c r="O56">
        <v>0.32744125759083598</v>
      </c>
      <c r="P56" t="s">
        <v>135</v>
      </c>
    </row>
    <row r="57" spans="1:16" x14ac:dyDescent="0.6">
      <c r="A57" t="s">
        <v>260</v>
      </c>
      <c r="B57">
        <v>20</v>
      </c>
      <c r="C57" t="s">
        <v>99</v>
      </c>
      <c r="D57" t="s">
        <v>184</v>
      </c>
      <c r="E57">
        <v>1</v>
      </c>
      <c r="F57" t="s">
        <v>261</v>
      </c>
      <c r="G57">
        <v>8.7093090934152997</v>
      </c>
      <c r="H57">
        <v>7.0535987014965604</v>
      </c>
      <c r="I57">
        <v>0.53813434703157903</v>
      </c>
      <c r="J57">
        <v>7.0615957708037298</v>
      </c>
      <c r="K57">
        <v>5.4926418728298598</v>
      </c>
      <c r="L57">
        <v>0.40174695545087202</v>
      </c>
      <c r="M57">
        <v>0.26684443350425996</v>
      </c>
      <c r="N57">
        <v>4.51336669921875</v>
      </c>
      <c r="O57">
        <v>0.335762069531989</v>
      </c>
      <c r="P57" t="s">
        <v>90</v>
      </c>
    </row>
    <row r="58" spans="1:16" x14ac:dyDescent="0.6">
      <c r="A58" t="s">
        <v>262</v>
      </c>
      <c r="B58">
        <v>20</v>
      </c>
      <c r="C58" t="s">
        <v>92</v>
      </c>
      <c r="D58" t="s">
        <v>184</v>
      </c>
      <c r="E58">
        <v>1</v>
      </c>
      <c r="F58" t="s">
        <v>263</v>
      </c>
      <c r="G58">
        <v>8.6676486743263403</v>
      </c>
      <c r="H58">
        <v>6.9470892513499498</v>
      </c>
      <c r="I58">
        <v>0.53011100934659405</v>
      </c>
      <c r="J58">
        <v>7.0743080183710898</v>
      </c>
      <c r="K58">
        <v>5.4778284143518503</v>
      </c>
      <c r="L58">
        <v>0.40065980589008998</v>
      </c>
      <c r="M58">
        <v>0.26794008720461598</v>
      </c>
      <c r="N58">
        <v>4.514892578125</v>
      </c>
      <c r="O58">
        <v>0.33447051699409902</v>
      </c>
      <c r="P58" t="s">
        <v>90</v>
      </c>
    </row>
    <row r="59" spans="1:16" x14ac:dyDescent="0.6">
      <c r="A59" t="s">
        <v>264</v>
      </c>
      <c r="B59">
        <v>90</v>
      </c>
      <c r="C59" t="s">
        <v>92</v>
      </c>
      <c r="D59" t="s">
        <v>177</v>
      </c>
      <c r="E59">
        <v>1</v>
      </c>
      <c r="F59" t="s">
        <v>265</v>
      </c>
      <c r="G59">
        <v>6.9648077654448501</v>
      </c>
      <c r="H59">
        <v>5.5270959102746202</v>
      </c>
      <c r="I59">
        <v>0.43079023863983001</v>
      </c>
      <c r="J59">
        <v>7.5670439126798703</v>
      </c>
      <c r="K59">
        <v>5.8278214964148098</v>
      </c>
      <c r="L59">
        <v>0.42337012666499602</v>
      </c>
      <c r="M59">
        <v>0.30344841242670501</v>
      </c>
      <c r="N59">
        <v>4.5177001953125</v>
      </c>
      <c r="O59">
        <v>0.33029998213330902</v>
      </c>
      <c r="P59" t="s">
        <v>114</v>
      </c>
    </row>
    <row r="60" spans="1:16" x14ac:dyDescent="0.6">
      <c r="A60" t="s">
        <v>266</v>
      </c>
      <c r="B60">
        <v>20</v>
      </c>
      <c r="C60" t="s">
        <v>99</v>
      </c>
      <c r="D60" t="s">
        <v>88</v>
      </c>
      <c r="E60">
        <v>1</v>
      </c>
      <c r="F60" t="s">
        <v>101</v>
      </c>
      <c r="G60">
        <v>8.6534899999999997</v>
      </c>
      <c r="H60">
        <v>7.0178289999999999</v>
      </c>
      <c r="I60">
        <v>0.53542100000000004</v>
      </c>
      <c r="J60">
        <v>7.072762</v>
      </c>
      <c r="K60">
        <v>5.4878910000000003</v>
      </c>
      <c r="L60">
        <v>0.401694</v>
      </c>
      <c r="M60">
        <v>0.26840000000000003</v>
      </c>
      <c r="N60">
        <v>4.5192259999999997</v>
      </c>
      <c r="O60">
        <v>0.33579300000000001</v>
      </c>
      <c r="P60" t="s">
        <v>90</v>
      </c>
    </row>
    <row r="61" spans="1:16" x14ac:dyDescent="0.6">
      <c r="A61" t="s">
        <v>416</v>
      </c>
      <c r="B61">
        <v>5</v>
      </c>
      <c r="C61" t="s">
        <v>99</v>
      </c>
      <c r="D61" t="s">
        <v>184</v>
      </c>
      <c r="E61">
        <v>1</v>
      </c>
      <c r="F61" t="s">
        <v>417</v>
      </c>
      <c r="G61">
        <v>8.72736280506615</v>
      </c>
      <c r="H61">
        <v>6.9393144815223904</v>
      </c>
      <c r="I61">
        <v>0.52955366903621204</v>
      </c>
      <c r="J61">
        <v>7.25306791124759</v>
      </c>
      <c r="K61">
        <v>5.5204914307697504</v>
      </c>
      <c r="L61">
        <v>0.40481444776612102</v>
      </c>
      <c r="M61">
        <v>0.28371624795300399</v>
      </c>
      <c r="N61">
        <v>4.6929931640625</v>
      </c>
      <c r="O61">
        <v>0.343381678549535</v>
      </c>
      <c r="P61" t="s">
        <v>90</v>
      </c>
    </row>
    <row r="62" spans="1:16" x14ac:dyDescent="0.6">
      <c r="A62" t="s">
        <v>269</v>
      </c>
      <c r="B62">
        <v>30</v>
      </c>
      <c r="C62" t="s">
        <v>99</v>
      </c>
      <c r="D62" t="s">
        <v>174</v>
      </c>
      <c r="E62">
        <v>1</v>
      </c>
      <c r="F62" t="s">
        <v>270</v>
      </c>
      <c r="G62">
        <v>9.0465831331260897</v>
      </c>
      <c r="H62">
        <v>7.2981439819849196</v>
      </c>
      <c r="I62">
        <v>0.55768695282298797</v>
      </c>
      <c r="J62">
        <v>7.2855276248303298</v>
      </c>
      <c r="K62">
        <v>5.5776900504399203</v>
      </c>
      <c r="L62">
        <v>0.408148622362841</v>
      </c>
      <c r="M62">
        <v>0.28530570667898103</v>
      </c>
      <c r="N62">
        <v>4.520751953125</v>
      </c>
      <c r="O62">
        <v>0.32368609900073497</v>
      </c>
      <c r="P62" t="s">
        <v>93</v>
      </c>
    </row>
    <row r="63" spans="1:16" x14ac:dyDescent="0.6">
      <c r="A63" t="s">
        <v>271</v>
      </c>
      <c r="B63">
        <v>10</v>
      </c>
      <c r="C63" t="s">
        <v>99</v>
      </c>
      <c r="D63" t="s">
        <v>184</v>
      </c>
      <c r="E63">
        <v>1</v>
      </c>
      <c r="F63" t="s">
        <v>272</v>
      </c>
      <c r="G63">
        <v>8.7671341515318808</v>
      </c>
      <c r="H63">
        <v>6.99640267718791</v>
      </c>
      <c r="I63">
        <v>0.53368879743952802</v>
      </c>
      <c r="J63">
        <v>7.0933020461992298</v>
      </c>
      <c r="K63">
        <v>5.4057876451880498</v>
      </c>
      <c r="L63">
        <v>0.396384793034188</v>
      </c>
      <c r="M63">
        <v>0.27127378457727097</v>
      </c>
      <c r="N63">
        <v>4.52130126953125</v>
      </c>
      <c r="O63">
        <v>0.32774827382439697</v>
      </c>
      <c r="P63" t="s">
        <v>90</v>
      </c>
    </row>
    <row r="64" spans="1:16" x14ac:dyDescent="0.6">
      <c r="A64" t="s">
        <v>427</v>
      </c>
      <c r="B64">
        <v>5</v>
      </c>
      <c r="C64" t="s">
        <v>99</v>
      </c>
      <c r="D64" t="s">
        <v>181</v>
      </c>
      <c r="E64">
        <v>1</v>
      </c>
      <c r="F64" t="s">
        <v>428</v>
      </c>
      <c r="G64">
        <v>8.7271697719243093</v>
      </c>
      <c r="H64">
        <v>7.0582875158453602</v>
      </c>
      <c r="I64">
        <v>0.53823454729656495</v>
      </c>
      <c r="J64">
        <v>7.3164643827257496</v>
      </c>
      <c r="K64">
        <v>5.5876005098417201</v>
      </c>
      <c r="L64">
        <v>0.40965368709128702</v>
      </c>
      <c r="M64">
        <v>0.28857901898050603</v>
      </c>
      <c r="N64">
        <v>4.7071533203125</v>
      </c>
      <c r="O64">
        <v>0.350443747561754</v>
      </c>
      <c r="P64" t="s">
        <v>90</v>
      </c>
    </row>
    <row r="65" spans="1:16" x14ac:dyDescent="0.6">
      <c r="A65" t="s">
        <v>273</v>
      </c>
      <c r="B65">
        <v>5</v>
      </c>
      <c r="C65" t="s">
        <v>92</v>
      </c>
      <c r="D65" t="s">
        <v>171</v>
      </c>
      <c r="E65">
        <v>1</v>
      </c>
      <c r="F65" t="s">
        <v>274</v>
      </c>
      <c r="G65">
        <v>8.73376775619451</v>
      </c>
      <c r="H65">
        <v>6.9745817782575203</v>
      </c>
      <c r="I65">
        <v>0.53212286594330205</v>
      </c>
      <c r="J65">
        <v>7.31808395842548</v>
      </c>
      <c r="K65">
        <v>5.6063993379667201</v>
      </c>
      <c r="L65">
        <v>0.41094933187583599</v>
      </c>
      <c r="M65">
        <v>0.28843989116406699</v>
      </c>
      <c r="N65">
        <v>4.5218505859375</v>
      </c>
      <c r="O65">
        <v>0.33376193248677</v>
      </c>
      <c r="P65" t="s">
        <v>90</v>
      </c>
    </row>
    <row r="66" spans="1:16" x14ac:dyDescent="0.6">
      <c r="A66" t="s">
        <v>278</v>
      </c>
      <c r="B66">
        <v>30</v>
      </c>
      <c r="C66" t="s">
        <v>9</v>
      </c>
      <c r="D66" t="s">
        <v>177</v>
      </c>
      <c r="E66">
        <v>1</v>
      </c>
      <c r="F66" t="s">
        <v>279</v>
      </c>
      <c r="G66">
        <v>8.9536093620515906</v>
      </c>
      <c r="H66">
        <v>7.1696677629039298</v>
      </c>
      <c r="I66">
        <v>0.54820028175822499</v>
      </c>
      <c r="J66">
        <v>7.0785406480977997</v>
      </c>
      <c r="K66">
        <v>5.3913911986119496</v>
      </c>
      <c r="L66">
        <v>0.394443503702266</v>
      </c>
      <c r="M66">
        <v>0.26886777306660098</v>
      </c>
      <c r="N66">
        <v>4.52740478515625</v>
      </c>
      <c r="O66">
        <v>0.32923683635846901</v>
      </c>
      <c r="P66" t="s">
        <v>93</v>
      </c>
    </row>
    <row r="67" spans="1:16" x14ac:dyDescent="0.6">
      <c r="A67" t="s">
        <v>280</v>
      </c>
      <c r="B67">
        <v>30</v>
      </c>
      <c r="C67" t="s">
        <v>6</v>
      </c>
      <c r="D67" t="s">
        <v>88</v>
      </c>
      <c r="E67">
        <v>1</v>
      </c>
      <c r="F67" t="s">
        <v>94</v>
      </c>
      <c r="G67">
        <v>8.8322457835879398</v>
      </c>
      <c r="H67" s="13">
        <v>7.1152062700815399</v>
      </c>
      <c r="I67">
        <v>0.54368540026102397</v>
      </c>
      <c r="J67" s="13">
        <v>6.9718347171281696</v>
      </c>
      <c r="K67" s="13">
        <v>5.3544643365063704</v>
      </c>
      <c r="L67" s="13">
        <v>0.39158716586970299</v>
      </c>
      <c r="M67">
        <v>0.26048837702643801</v>
      </c>
      <c r="N67">
        <v>4.52813720703125</v>
      </c>
      <c r="O67" s="13">
        <v>0.33064387364049003</v>
      </c>
      <c r="P67" t="s">
        <v>93</v>
      </c>
    </row>
    <row r="68" spans="1:16" x14ac:dyDescent="0.6">
      <c r="A68" t="s">
        <v>281</v>
      </c>
      <c r="B68">
        <v>30</v>
      </c>
      <c r="C68" t="s">
        <v>92</v>
      </c>
      <c r="D68" t="s">
        <v>7</v>
      </c>
      <c r="E68">
        <v>1</v>
      </c>
      <c r="F68" t="s">
        <v>107</v>
      </c>
      <c r="G68">
        <v>8.8445169999999997</v>
      </c>
      <c r="H68">
        <v>7.1684669999999997</v>
      </c>
      <c r="I68">
        <v>0.54779999999999995</v>
      </c>
      <c r="J68">
        <v>7.102481</v>
      </c>
      <c r="K68">
        <v>5.5047560000000004</v>
      </c>
      <c r="L68">
        <v>0.402221</v>
      </c>
      <c r="M68">
        <v>0.26960000000000001</v>
      </c>
      <c r="N68">
        <v>4.533569</v>
      </c>
      <c r="O68">
        <v>0.33159</v>
      </c>
      <c r="P68" t="s">
        <v>93</v>
      </c>
    </row>
    <row r="69" spans="1:16" x14ac:dyDescent="0.6">
      <c r="A69" t="s">
        <v>282</v>
      </c>
      <c r="B69">
        <v>30</v>
      </c>
      <c r="C69" t="s">
        <v>99</v>
      </c>
      <c r="D69" t="s">
        <v>7</v>
      </c>
      <c r="E69">
        <v>1</v>
      </c>
      <c r="F69" t="s">
        <v>133</v>
      </c>
      <c r="G69">
        <v>8.8176419999999993</v>
      </c>
      <c r="H69">
        <v>7.1333419999999998</v>
      </c>
      <c r="I69">
        <v>0.54507499999999998</v>
      </c>
      <c r="J69">
        <v>7.2696249999999996</v>
      </c>
      <c r="K69">
        <v>5.5980309999999998</v>
      </c>
      <c r="L69">
        <v>0.40990300000000002</v>
      </c>
      <c r="M69">
        <v>0.28449999999999998</v>
      </c>
      <c r="N69">
        <v>4.5358890000000001</v>
      </c>
      <c r="O69">
        <v>0.332318</v>
      </c>
      <c r="P69" t="s">
        <v>93</v>
      </c>
    </row>
    <row r="70" spans="1:16" x14ac:dyDescent="0.6">
      <c r="A70" t="s">
        <v>283</v>
      </c>
      <c r="B70">
        <v>90</v>
      </c>
      <c r="C70" t="s">
        <v>6</v>
      </c>
      <c r="D70" t="s">
        <v>184</v>
      </c>
      <c r="E70">
        <v>1</v>
      </c>
      <c r="F70" t="s">
        <v>284</v>
      </c>
      <c r="G70">
        <v>6.9900824762899099</v>
      </c>
      <c r="H70">
        <v>5.5448922821969697</v>
      </c>
      <c r="I70">
        <v>0.43208221004040598</v>
      </c>
      <c r="J70">
        <v>7.5520015170068699</v>
      </c>
      <c r="K70">
        <v>5.7659092733304798</v>
      </c>
      <c r="L70">
        <v>0.41896272071794399</v>
      </c>
      <c r="M70">
        <v>0.30249248850452704</v>
      </c>
      <c r="N70">
        <v>4.53607177734375</v>
      </c>
      <c r="O70">
        <v>0.33432554993896901</v>
      </c>
      <c r="P70" t="s">
        <v>114</v>
      </c>
    </row>
    <row r="71" spans="1:16" x14ac:dyDescent="0.6">
      <c r="A71" t="s">
        <v>326</v>
      </c>
      <c r="B71">
        <v>5</v>
      </c>
      <c r="C71" t="s">
        <v>92</v>
      </c>
      <c r="D71" t="s">
        <v>174</v>
      </c>
      <c r="E71">
        <v>1</v>
      </c>
      <c r="F71" t="s">
        <v>327</v>
      </c>
      <c r="G71">
        <v>8.7010188031686404</v>
      </c>
      <c r="H71">
        <v>6.92827637900829</v>
      </c>
      <c r="I71">
        <v>0.528763146314432</v>
      </c>
      <c r="J71">
        <v>7.1141418810141799</v>
      </c>
      <c r="K71">
        <v>5.41463374678706</v>
      </c>
      <c r="L71">
        <v>0.39730070136442702</v>
      </c>
      <c r="M71">
        <v>0.273386748032167</v>
      </c>
      <c r="N71">
        <v>4.57861328125</v>
      </c>
      <c r="O71">
        <v>0.337547252488202</v>
      </c>
      <c r="P71" t="s">
        <v>90</v>
      </c>
    </row>
    <row r="72" spans="1:16" x14ac:dyDescent="0.6">
      <c r="A72" t="s">
        <v>286</v>
      </c>
      <c r="B72">
        <v>10</v>
      </c>
      <c r="C72" t="s">
        <v>92</v>
      </c>
      <c r="D72" t="s">
        <v>181</v>
      </c>
      <c r="E72">
        <v>1</v>
      </c>
      <c r="F72" t="s">
        <v>287</v>
      </c>
      <c r="G72">
        <v>8.7417267816007804</v>
      </c>
      <c r="H72">
        <v>7.0436178354116503</v>
      </c>
      <c r="I72">
        <v>0.53711320218132896</v>
      </c>
      <c r="J72">
        <v>7.3240493936454198</v>
      </c>
      <c r="K72">
        <v>5.6368057115942998</v>
      </c>
      <c r="L72">
        <v>0.412695655369684</v>
      </c>
      <c r="M72">
        <v>0.28785570432778401</v>
      </c>
      <c r="N72">
        <v>4.53826904296875</v>
      </c>
      <c r="O72">
        <v>0.33392464952547701</v>
      </c>
      <c r="P72" t="s">
        <v>90</v>
      </c>
    </row>
    <row r="73" spans="1:16" x14ac:dyDescent="0.6">
      <c r="A73" t="s">
        <v>288</v>
      </c>
      <c r="B73">
        <v>10</v>
      </c>
      <c r="C73" t="s">
        <v>92</v>
      </c>
      <c r="D73" t="s">
        <v>184</v>
      </c>
      <c r="E73">
        <v>1</v>
      </c>
      <c r="F73" t="s">
        <v>289</v>
      </c>
      <c r="G73">
        <v>8.6892678331759594</v>
      </c>
      <c r="H73">
        <v>6.9507208546542101</v>
      </c>
      <c r="I73">
        <v>0.53019032485938</v>
      </c>
      <c r="J73">
        <v>7.1144293692079899</v>
      </c>
      <c r="K73">
        <v>5.4626734910812997</v>
      </c>
      <c r="L73">
        <v>0.40014168768384201</v>
      </c>
      <c r="M73">
        <v>0.27191211582091102</v>
      </c>
      <c r="N73">
        <v>4.538330078125</v>
      </c>
      <c r="O73">
        <v>0.33446566785680998</v>
      </c>
      <c r="P73" t="s">
        <v>90</v>
      </c>
    </row>
    <row r="74" spans="1:16" x14ac:dyDescent="0.6">
      <c r="A74" t="s">
        <v>290</v>
      </c>
      <c r="B74">
        <v>10</v>
      </c>
      <c r="C74" t="s">
        <v>99</v>
      </c>
      <c r="D74" t="s">
        <v>174</v>
      </c>
      <c r="E74">
        <v>1</v>
      </c>
      <c r="F74" t="s">
        <v>291</v>
      </c>
      <c r="G74">
        <v>8.6969158325653009</v>
      </c>
      <c r="H74">
        <v>6.9835352372619699</v>
      </c>
      <c r="I74">
        <v>0.53245905782361003</v>
      </c>
      <c r="J74">
        <v>7.1505132348518501</v>
      </c>
      <c r="K74">
        <v>5.4828005090224003</v>
      </c>
      <c r="L74">
        <v>0.40173450713105502</v>
      </c>
      <c r="M74">
        <v>0.27492379312021997</v>
      </c>
      <c r="N74">
        <v>4.5423583984375</v>
      </c>
      <c r="O74">
        <v>0.33483871097600898</v>
      </c>
      <c r="P74" t="s">
        <v>90</v>
      </c>
    </row>
    <row r="75" spans="1:16" x14ac:dyDescent="0.6">
      <c r="A75" t="s">
        <v>292</v>
      </c>
      <c r="B75">
        <v>60</v>
      </c>
      <c r="C75" t="s">
        <v>92</v>
      </c>
      <c r="D75" t="s">
        <v>174</v>
      </c>
      <c r="E75">
        <v>1</v>
      </c>
      <c r="F75" t="s">
        <v>293</v>
      </c>
      <c r="G75">
        <v>8.49040396667273</v>
      </c>
      <c r="H75">
        <v>6.8740471640785898</v>
      </c>
      <c r="I75">
        <v>0.53151831782648795</v>
      </c>
      <c r="J75">
        <v>7.2218359378050501</v>
      </c>
      <c r="K75">
        <v>5.5552395907315297</v>
      </c>
      <c r="L75">
        <v>0.40468382117809298</v>
      </c>
      <c r="M75">
        <v>0.27811566327297099</v>
      </c>
      <c r="N75">
        <v>4.5439453125</v>
      </c>
      <c r="O75">
        <v>0.32296682360331902</v>
      </c>
      <c r="P75" t="s">
        <v>135</v>
      </c>
    </row>
    <row r="76" spans="1:16" x14ac:dyDescent="0.6">
      <c r="A76" t="s">
        <v>294</v>
      </c>
      <c r="B76">
        <v>30</v>
      </c>
      <c r="C76" t="s">
        <v>99</v>
      </c>
      <c r="D76" t="s">
        <v>88</v>
      </c>
      <c r="E76">
        <v>1</v>
      </c>
      <c r="F76" t="s">
        <v>122</v>
      </c>
      <c r="G76">
        <v>8.9580760000000001</v>
      </c>
      <c r="H76">
        <v>7.1996510000000002</v>
      </c>
      <c r="I76">
        <v>0.55013800000000002</v>
      </c>
      <c r="J76">
        <v>7.1920529999999996</v>
      </c>
      <c r="K76">
        <v>5.4625450000000004</v>
      </c>
      <c r="L76">
        <v>0.39982099999999998</v>
      </c>
      <c r="M76">
        <v>0.27810000000000001</v>
      </c>
      <c r="N76">
        <v>4.546265</v>
      </c>
      <c r="O76">
        <v>0.327484</v>
      </c>
      <c r="P76" t="s">
        <v>93</v>
      </c>
    </row>
    <row r="77" spans="1:16" x14ac:dyDescent="0.6">
      <c r="A77" t="s">
        <v>295</v>
      </c>
      <c r="B77">
        <v>60</v>
      </c>
      <c r="C77" t="s">
        <v>99</v>
      </c>
      <c r="D77" t="s">
        <v>167</v>
      </c>
      <c r="E77">
        <v>1</v>
      </c>
      <c r="F77" t="s">
        <v>296</v>
      </c>
      <c r="G77">
        <v>8.4716959841539907</v>
      </c>
      <c r="H77">
        <v>6.9035548954219603</v>
      </c>
      <c r="I77">
        <v>0.53369907078776402</v>
      </c>
      <c r="J77">
        <v>7.5261966030566798</v>
      </c>
      <c r="K77">
        <v>5.8170013427734304</v>
      </c>
      <c r="L77">
        <v>0.42313114491598802</v>
      </c>
      <c r="M77">
        <v>0.30075816706513203</v>
      </c>
      <c r="N77">
        <v>4.54693603515625</v>
      </c>
      <c r="O77">
        <v>0.333240543257804</v>
      </c>
      <c r="P77" t="s">
        <v>135</v>
      </c>
    </row>
    <row r="78" spans="1:16" x14ac:dyDescent="0.6">
      <c r="A78" t="s">
        <v>297</v>
      </c>
      <c r="B78">
        <v>90</v>
      </c>
      <c r="C78" t="s">
        <v>99</v>
      </c>
      <c r="D78" t="s">
        <v>177</v>
      </c>
      <c r="E78">
        <v>1</v>
      </c>
      <c r="F78" t="s">
        <v>298</v>
      </c>
      <c r="G78">
        <v>6.8478510732589397</v>
      </c>
      <c r="H78">
        <v>5.4573197798295396</v>
      </c>
      <c r="I78">
        <v>0.42557160301583902</v>
      </c>
      <c r="J78">
        <v>7.27547183561824</v>
      </c>
      <c r="K78">
        <v>5.5001103649400598</v>
      </c>
      <c r="L78">
        <v>0.40045828507755399</v>
      </c>
      <c r="M78">
        <v>0.282565962582701</v>
      </c>
      <c r="N78">
        <v>4.55108642578125</v>
      </c>
      <c r="O78">
        <v>0.33052569690646999</v>
      </c>
      <c r="P78" t="s">
        <v>114</v>
      </c>
    </row>
    <row r="79" spans="1:16" x14ac:dyDescent="0.6">
      <c r="A79" t="s">
        <v>299</v>
      </c>
      <c r="B79">
        <v>10</v>
      </c>
      <c r="C79" t="s">
        <v>6</v>
      </c>
      <c r="D79" t="s">
        <v>8</v>
      </c>
      <c r="E79">
        <v>1</v>
      </c>
      <c r="F79" t="s">
        <v>119</v>
      </c>
      <c r="G79" s="13">
        <v>8.6998498845051593</v>
      </c>
      <c r="H79" s="13">
        <v>6.9260883129919604</v>
      </c>
      <c r="I79" s="13">
        <v>0.528211974005666</v>
      </c>
      <c r="J79" s="13">
        <v>7.1650203889964903</v>
      </c>
      <c r="K79" s="13">
        <v>5.4374060166620497</v>
      </c>
      <c r="L79" s="13">
        <v>0.39856606711291298</v>
      </c>
      <c r="M79">
        <v>0.27673687531393298</v>
      </c>
      <c r="N79">
        <v>4.5518798828125</v>
      </c>
      <c r="O79" s="13">
        <v>0.340928896822143</v>
      </c>
      <c r="P79" t="s">
        <v>90</v>
      </c>
    </row>
    <row r="80" spans="1:16" x14ac:dyDescent="0.6">
      <c r="A80" t="s">
        <v>300</v>
      </c>
      <c r="B80">
        <v>20</v>
      </c>
      <c r="C80" t="s">
        <v>99</v>
      </c>
      <c r="D80" t="s">
        <v>167</v>
      </c>
      <c r="E80">
        <v>1</v>
      </c>
      <c r="F80" t="s">
        <v>301</v>
      </c>
      <c r="G80">
        <v>8.6363696308858504</v>
      </c>
      <c r="H80">
        <v>6.8875861789869202</v>
      </c>
      <c r="I80">
        <v>0.52511405477070205</v>
      </c>
      <c r="J80">
        <v>7.1612871983724</v>
      </c>
      <c r="K80">
        <v>5.4898941605179399</v>
      </c>
      <c r="L80">
        <v>0.40188889105581199</v>
      </c>
      <c r="M80">
        <v>0.27517145078420396</v>
      </c>
      <c r="N80">
        <v>4.55364990234375</v>
      </c>
      <c r="O80">
        <v>0.33393389987949201</v>
      </c>
      <c r="P80" t="s">
        <v>90</v>
      </c>
    </row>
    <row r="81" spans="1:16" x14ac:dyDescent="0.6">
      <c r="A81" t="s">
        <v>302</v>
      </c>
      <c r="B81">
        <v>10</v>
      </c>
      <c r="C81" t="s">
        <v>99</v>
      </c>
      <c r="D81" t="s">
        <v>177</v>
      </c>
      <c r="E81">
        <v>1</v>
      </c>
      <c r="F81" t="s">
        <v>303</v>
      </c>
      <c r="G81">
        <v>8.7796463880079099</v>
      </c>
      <c r="H81">
        <v>7.02080106663308</v>
      </c>
      <c r="I81">
        <v>0.535381899828684</v>
      </c>
      <c r="J81">
        <v>7.0347555566359796</v>
      </c>
      <c r="K81">
        <v>5.4116259549571302</v>
      </c>
      <c r="L81">
        <v>0.39669362694722199</v>
      </c>
      <c r="M81">
        <v>0.26633654876893803</v>
      </c>
      <c r="N81">
        <v>4.5540771484375</v>
      </c>
      <c r="O81">
        <v>0.34145180350545601</v>
      </c>
      <c r="P81" t="s">
        <v>90</v>
      </c>
    </row>
    <row r="82" spans="1:16" x14ac:dyDescent="0.6">
      <c r="A82" t="s">
        <v>304</v>
      </c>
      <c r="B82">
        <v>60</v>
      </c>
      <c r="C82" t="s">
        <v>6</v>
      </c>
      <c r="D82" t="s">
        <v>171</v>
      </c>
      <c r="E82">
        <v>1</v>
      </c>
      <c r="F82" t="s">
        <v>305</v>
      </c>
      <c r="G82">
        <v>8.4940685447783704</v>
      </c>
      <c r="H82">
        <v>6.8555690220424097</v>
      </c>
      <c r="I82">
        <v>0.53014016009416098</v>
      </c>
      <c r="J82">
        <v>7.2983879602909001</v>
      </c>
      <c r="K82">
        <v>5.5746695778586597</v>
      </c>
      <c r="L82">
        <v>0.40629008060014399</v>
      </c>
      <c r="M82">
        <v>0.28452423644074898</v>
      </c>
      <c r="N82">
        <v>4.55950927734375</v>
      </c>
      <c r="O82">
        <v>0.32931139820038002</v>
      </c>
      <c r="P82" t="s">
        <v>135</v>
      </c>
    </row>
    <row r="83" spans="1:16" x14ac:dyDescent="0.6">
      <c r="A83" t="s">
        <v>306</v>
      </c>
      <c r="B83">
        <v>20</v>
      </c>
      <c r="C83" t="s">
        <v>92</v>
      </c>
      <c r="D83" t="s">
        <v>171</v>
      </c>
      <c r="E83">
        <v>1</v>
      </c>
      <c r="F83" t="s">
        <v>307</v>
      </c>
      <c r="G83">
        <v>8.7480509366573997</v>
      </c>
      <c r="H83">
        <v>7.0606225055197003</v>
      </c>
      <c r="I83">
        <v>0.53903426797945297</v>
      </c>
      <c r="J83">
        <v>7.11102264362958</v>
      </c>
      <c r="K83">
        <v>5.5107970061125497</v>
      </c>
      <c r="L83">
        <v>0.40300740674883101</v>
      </c>
      <c r="M83">
        <v>0.27045961098927301</v>
      </c>
      <c r="N83">
        <v>4.56024169921875</v>
      </c>
      <c r="O83">
        <v>0.33683021487401099</v>
      </c>
      <c r="P83" t="s">
        <v>90</v>
      </c>
    </row>
    <row r="84" spans="1:16" x14ac:dyDescent="0.6">
      <c r="A84" t="s">
        <v>328</v>
      </c>
      <c r="B84">
        <v>5</v>
      </c>
      <c r="C84" t="s">
        <v>92</v>
      </c>
      <c r="D84" t="s">
        <v>167</v>
      </c>
      <c r="E84">
        <v>1</v>
      </c>
      <c r="F84" t="s">
        <v>329</v>
      </c>
      <c r="G84">
        <v>8.7106011131815908</v>
      </c>
      <c r="H84">
        <v>6.9257101465514497</v>
      </c>
      <c r="I84">
        <v>0.52840618990675503</v>
      </c>
      <c r="J84">
        <v>7.2003101793619901</v>
      </c>
      <c r="K84">
        <v>5.5028461935200204</v>
      </c>
      <c r="L84">
        <v>0.40349583544158601</v>
      </c>
      <c r="M84">
        <v>0.279518293146295</v>
      </c>
      <c r="N84">
        <v>4.5789794921875</v>
      </c>
      <c r="O84">
        <v>0.33384713386783299</v>
      </c>
      <c r="P84" t="s">
        <v>90</v>
      </c>
    </row>
    <row r="85" spans="1:16" x14ac:dyDescent="0.6">
      <c r="A85" t="s">
        <v>309</v>
      </c>
      <c r="B85">
        <v>20</v>
      </c>
      <c r="C85" t="s">
        <v>9</v>
      </c>
      <c r="D85" t="s">
        <v>167</v>
      </c>
      <c r="E85">
        <v>1</v>
      </c>
      <c r="F85" t="s">
        <v>222</v>
      </c>
      <c r="G85">
        <v>8.8094905218660902</v>
      </c>
      <c r="H85">
        <v>7.0368936836262099</v>
      </c>
      <c r="I85">
        <v>0.53704858585729298</v>
      </c>
      <c r="J85">
        <v>7.11096777510273</v>
      </c>
      <c r="K85">
        <v>5.4359684696903896</v>
      </c>
      <c r="L85">
        <v>0.39841509470096897</v>
      </c>
      <c r="M85">
        <v>0.27237505233505299</v>
      </c>
      <c r="N85">
        <v>4.56512451171875</v>
      </c>
      <c r="O85">
        <v>0.33613208379807002</v>
      </c>
      <c r="P85" t="s">
        <v>90</v>
      </c>
    </row>
    <row r="86" spans="1:16" x14ac:dyDescent="0.6">
      <c r="A86" t="s">
        <v>310</v>
      </c>
      <c r="B86">
        <v>30</v>
      </c>
      <c r="C86" t="s">
        <v>92</v>
      </c>
      <c r="D86" t="s">
        <v>184</v>
      </c>
      <c r="E86">
        <v>1</v>
      </c>
      <c r="F86" t="s">
        <v>311</v>
      </c>
      <c r="G86">
        <v>8.8876052006916098</v>
      </c>
      <c r="H86">
        <v>7.1266485652169598</v>
      </c>
      <c r="I86">
        <v>0.54456591613799299</v>
      </c>
      <c r="J86">
        <v>7.1172234829598802</v>
      </c>
      <c r="K86">
        <v>5.52747707922481</v>
      </c>
      <c r="L86">
        <v>0.40387515896133003</v>
      </c>
      <c r="M86">
        <v>0.27072464319089101</v>
      </c>
      <c r="N86">
        <v>4.5657958984375</v>
      </c>
      <c r="O86">
        <v>0.33906506811703802</v>
      </c>
      <c r="P86" t="s">
        <v>93</v>
      </c>
    </row>
    <row r="87" spans="1:16" x14ac:dyDescent="0.6">
      <c r="A87" t="s">
        <v>335</v>
      </c>
      <c r="B87">
        <v>5</v>
      </c>
      <c r="C87" t="s">
        <v>92</v>
      </c>
      <c r="D87" t="s">
        <v>184</v>
      </c>
      <c r="E87">
        <v>1</v>
      </c>
      <c r="F87" t="s">
        <v>336</v>
      </c>
      <c r="G87">
        <v>8.7201510159699005</v>
      </c>
      <c r="H87">
        <v>6.9923395140323201</v>
      </c>
      <c r="I87">
        <v>0.53357635086669797</v>
      </c>
      <c r="J87">
        <v>7.1642622091801202</v>
      </c>
      <c r="K87">
        <v>5.4519497429653603</v>
      </c>
      <c r="L87">
        <v>0.399856116622542</v>
      </c>
      <c r="M87">
        <v>0.27686743245772699</v>
      </c>
      <c r="N87">
        <v>4.584228515625</v>
      </c>
      <c r="O87">
        <v>0.33526829187583401</v>
      </c>
      <c r="P87" t="s">
        <v>90</v>
      </c>
    </row>
    <row r="88" spans="1:16" x14ac:dyDescent="0.6">
      <c r="A88" t="s">
        <v>313</v>
      </c>
      <c r="B88">
        <v>20</v>
      </c>
      <c r="C88" t="s">
        <v>92</v>
      </c>
      <c r="D88" t="s">
        <v>167</v>
      </c>
      <c r="E88">
        <v>1</v>
      </c>
      <c r="F88" t="s">
        <v>314</v>
      </c>
      <c r="G88">
        <v>8.7462042517339906</v>
      </c>
      <c r="H88">
        <v>7.0215200048578303</v>
      </c>
      <c r="I88">
        <v>0.53594185558896901</v>
      </c>
      <c r="J88">
        <v>7.14243675510592</v>
      </c>
      <c r="K88">
        <v>5.4602005570023104</v>
      </c>
      <c r="L88">
        <v>0.40006828213264201</v>
      </c>
      <c r="M88">
        <v>0.27479675092599704</v>
      </c>
      <c r="N88">
        <v>4.569091796875</v>
      </c>
      <c r="O88">
        <v>0.33754101867953701</v>
      </c>
      <c r="P88" t="s">
        <v>90</v>
      </c>
    </row>
    <row r="89" spans="1:16" x14ac:dyDescent="0.6">
      <c r="A89" t="s">
        <v>315</v>
      </c>
      <c r="B89">
        <v>60</v>
      </c>
      <c r="C89" t="s">
        <v>92</v>
      </c>
      <c r="D89" t="s">
        <v>181</v>
      </c>
      <c r="E89">
        <v>1</v>
      </c>
      <c r="F89" t="s">
        <v>316</v>
      </c>
      <c r="G89">
        <v>8.4018568857261702</v>
      </c>
      <c r="H89">
        <v>6.7900419968825103</v>
      </c>
      <c r="I89">
        <v>0.525017514556535</v>
      </c>
      <c r="J89">
        <v>7.2727806369377204</v>
      </c>
      <c r="K89">
        <v>5.5981438376686699</v>
      </c>
      <c r="L89">
        <v>0.40785071761014302</v>
      </c>
      <c r="M89">
        <v>0.28212038522991301</v>
      </c>
      <c r="N89">
        <v>4.57183837890625</v>
      </c>
      <c r="O89">
        <v>0.32702967170194602</v>
      </c>
      <c r="P89" t="s">
        <v>135</v>
      </c>
    </row>
    <row r="90" spans="1:16" x14ac:dyDescent="0.6">
      <c r="A90" t="s">
        <v>317</v>
      </c>
      <c r="B90">
        <v>20</v>
      </c>
      <c r="C90" t="s">
        <v>92</v>
      </c>
      <c r="D90" t="s">
        <v>7</v>
      </c>
      <c r="E90">
        <v>1</v>
      </c>
      <c r="F90" t="s">
        <v>96</v>
      </c>
      <c r="G90">
        <v>8.6380149999999993</v>
      </c>
      <c r="H90">
        <v>6.9175190000000004</v>
      </c>
      <c r="I90">
        <v>0.52787499999999998</v>
      </c>
      <c r="J90">
        <v>6.9952860000000001</v>
      </c>
      <c r="K90">
        <v>5.434768</v>
      </c>
      <c r="L90">
        <v>0.39750799999999997</v>
      </c>
      <c r="M90">
        <v>0.26189999999999997</v>
      </c>
      <c r="N90">
        <v>4.5741579999999997</v>
      </c>
      <c r="O90">
        <v>0.33750200000000002</v>
      </c>
      <c r="P90" t="s">
        <v>90</v>
      </c>
    </row>
    <row r="91" spans="1:16" x14ac:dyDescent="0.6">
      <c r="A91" t="s">
        <v>318</v>
      </c>
      <c r="B91">
        <v>30</v>
      </c>
      <c r="C91" t="s">
        <v>92</v>
      </c>
      <c r="D91" t="s">
        <v>181</v>
      </c>
      <c r="E91">
        <v>1</v>
      </c>
      <c r="F91" t="s">
        <v>319</v>
      </c>
      <c r="G91">
        <v>8.8286384769697701</v>
      </c>
      <c r="H91">
        <v>7.1123927752444196</v>
      </c>
      <c r="I91">
        <v>0.54354837608127304</v>
      </c>
      <c r="J91">
        <v>7.0190722212188703</v>
      </c>
      <c r="K91">
        <v>5.4377097713137097</v>
      </c>
      <c r="L91">
        <v>0.39732566509155598</v>
      </c>
      <c r="M91">
        <v>0.26330249171709502</v>
      </c>
      <c r="N91">
        <v>4.574951171875</v>
      </c>
      <c r="O91">
        <v>0.33985430337163303</v>
      </c>
      <c r="P91" t="s">
        <v>93</v>
      </c>
    </row>
    <row r="92" spans="1:16" x14ac:dyDescent="0.6">
      <c r="A92" t="s">
        <v>320</v>
      </c>
      <c r="B92">
        <v>30</v>
      </c>
      <c r="C92" t="s">
        <v>92</v>
      </c>
      <c r="D92" t="s">
        <v>174</v>
      </c>
      <c r="E92">
        <v>1</v>
      </c>
      <c r="F92" t="s">
        <v>321</v>
      </c>
      <c r="G92">
        <v>8.8781800499383596</v>
      </c>
      <c r="H92">
        <v>7.0758887083215596</v>
      </c>
      <c r="I92">
        <v>0.54072546738471206</v>
      </c>
      <c r="J92">
        <v>7.1899717330638797</v>
      </c>
      <c r="K92">
        <v>5.5557754664745103</v>
      </c>
      <c r="L92">
        <v>0.40580977528451001</v>
      </c>
      <c r="M92">
        <v>0.27610018474900799</v>
      </c>
      <c r="N92">
        <v>4.5750732421875</v>
      </c>
      <c r="O92">
        <v>0.33253939713965402</v>
      </c>
      <c r="P92" t="s">
        <v>93</v>
      </c>
    </row>
    <row r="93" spans="1:16" x14ac:dyDescent="0.6">
      <c r="A93" t="s">
        <v>322</v>
      </c>
      <c r="B93">
        <v>10</v>
      </c>
      <c r="C93" t="s">
        <v>6</v>
      </c>
      <c r="D93" t="s">
        <v>171</v>
      </c>
      <c r="E93">
        <v>1</v>
      </c>
      <c r="F93" t="s">
        <v>323</v>
      </c>
      <c r="G93">
        <v>8.6859667825487197</v>
      </c>
      <c r="H93">
        <v>7.0093179878246303</v>
      </c>
      <c r="I93">
        <v>0.534257365771031</v>
      </c>
      <c r="J93">
        <v>7.1183904958475903</v>
      </c>
      <c r="K93">
        <v>5.4122206426299702</v>
      </c>
      <c r="L93">
        <v>0.39672678093519198</v>
      </c>
      <c r="M93">
        <v>0.27302164530911099</v>
      </c>
      <c r="N93">
        <v>4.5758056640625</v>
      </c>
      <c r="O93">
        <v>0.33306774829501401</v>
      </c>
      <c r="P93" t="s">
        <v>90</v>
      </c>
    </row>
    <row r="94" spans="1:16" x14ac:dyDescent="0.6">
      <c r="A94" t="s">
        <v>324</v>
      </c>
      <c r="B94">
        <v>90</v>
      </c>
      <c r="C94" t="s">
        <v>9</v>
      </c>
      <c r="D94" t="s">
        <v>181</v>
      </c>
      <c r="E94">
        <v>1</v>
      </c>
      <c r="F94" t="s">
        <v>325</v>
      </c>
      <c r="G94">
        <v>6.8540104788679903</v>
      </c>
      <c r="H94">
        <v>5.4921227657433702</v>
      </c>
      <c r="I94">
        <v>0.42855585400815499</v>
      </c>
      <c r="J94">
        <v>7.3002686812319801</v>
      </c>
      <c r="K94">
        <v>5.6132185426476804</v>
      </c>
      <c r="L94">
        <v>0.40838073431003002</v>
      </c>
      <c r="M94">
        <v>0.28381473938234897</v>
      </c>
      <c r="N94">
        <v>4.57684326171875</v>
      </c>
      <c r="O94">
        <v>0.33887917514724097</v>
      </c>
      <c r="P94" t="s">
        <v>114</v>
      </c>
    </row>
    <row r="95" spans="1:16" x14ac:dyDescent="0.6">
      <c r="A95" t="s">
        <v>344</v>
      </c>
      <c r="B95">
        <v>5</v>
      </c>
      <c r="C95" t="s">
        <v>92</v>
      </c>
      <c r="D95" t="s">
        <v>181</v>
      </c>
      <c r="E95">
        <v>1</v>
      </c>
      <c r="F95" t="s">
        <v>345</v>
      </c>
      <c r="G95">
        <v>8.7027375804305702</v>
      </c>
      <c r="H95">
        <v>6.9667092464942204</v>
      </c>
      <c r="I95">
        <v>0.531494873515858</v>
      </c>
      <c r="J95">
        <v>7.1550957418073704</v>
      </c>
      <c r="K95">
        <v>5.4251307367762402</v>
      </c>
      <c r="L95">
        <v>0.39810931920072501</v>
      </c>
      <c r="M95">
        <v>0.276606947889251</v>
      </c>
      <c r="N95">
        <v>4.591796875</v>
      </c>
      <c r="O95">
        <v>0.338867475828802</v>
      </c>
      <c r="P95" t="s">
        <v>90</v>
      </c>
    </row>
    <row r="96" spans="1:16" x14ac:dyDescent="0.6">
      <c r="A96" t="s">
        <v>346</v>
      </c>
      <c r="B96">
        <v>5</v>
      </c>
      <c r="C96" t="s">
        <v>92</v>
      </c>
      <c r="D96" t="s">
        <v>88</v>
      </c>
      <c r="E96">
        <v>1</v>
      </c>
      <c r="F96" t="s">
        <v>112</v>
      </c>
      <c r="G96">
        <v>8.7163679999999992</v>
      </c>
      <c r="H96">
        <v>6.9471379999999998</v>
      </c>
      <c r="I96">
        <v>0.53001200000000004</v>
      </c>
      <c r="J96">
        <v>7.1286649999999998</v>
      </c>
      <c r="K96">
        <v>5.4028590000000003</v>
      </c>
      <c r="L96">
        <v>0.39662399999999998</v>
      </c>
      <c r="M96">
        <v>0.27490000000000003</v>
      </c>
      <c r="N96">
        <v>4.5946040000000004</v>
      </c>
      <c r="O96">
        <v>0.33372499999999999</v>
      </c>
      <c r="P96" t="s">
        <v>90</v>
      </c>
    </row>
    <row r="97" spans="1:16" x14ac:dyDescent="0.6">
      <c r="A97" t="s">
        <v>330</v>
      </c>
      <c r="B97">
        <v>20</v>
      </c>
      <c r="C97" t="s">
        <v>6</v>
      </c>
      <c r="D97" t="s">
        <v>177</v>
      </c>
      <c r="E97">
        <v>1</v>
      </c>
      <c r="F97" t="s">
        <v>241</v>
      </c>
      <c r="G97">
        <v>8.62597069525774</v>
      </c>
      <c r="H97">
        <v>6.9867054580727501</v>
      </c>
      <c r="I97">
        <v>0.533187913773151</v>
      </c>
      <c r="J97">
        <v>7.0982164798794098</v>
      </c>
      <c r="K97">
        <v>5.4513521547670702</v>
      </c>
      <c r="L97">
        <v>0.39902484939343502</v>
      </c>
      <c r="M97">
        <v>0.27056113563087503</v>
      </c>
      <c r="N97">
        <v>4.579345703125</v>
      </c>
      <c r="O97">
        <v>0.33867770544092501</v>
      </c>
      <c r="P97" t="s">
        <v>90</v>
      </c>
    </row>
    <row r="98" spans="1:16" x14ac:dyDescent="0.6">
      <c r="A98" t="s">
        <v>331</v>
      </c>
      <c r="B98">
        <v>60</v>
      </c>
      <c r="C98" t="s">
        <v>6</v>
      </c>
      <c r="D98" t="s">
        <v>174</v>
      </c>
      <c r="E98">
        <v>1</v>
      </c>
      <c r="F98" t="s">
        <v>332</v>
      </c>
      <c r="G98">
        <v>8.4311464323307206</v>
      </c>
      <c r="H98">
        <v>6.8278109372317104</v>
      </c>
      <c r="I98">
        <v>0.52782900384500098</v>
      </c>
      <c r="J98">
        <v>7.2240690135218202</v>
      </c>
      <c r="K98">
        <v>5.5348531549627102</v>
      </c>
      <c r="L98">
        <v>0.40327618146645799</v>
      </c>
      <c r="M98">
        <v>0.27833894285856098</v>
      </c>
      <c r="N98">
        <v>4.58013916015625</v>
      </c>
      <c r="O98">
        <v>0.33618222172953</v>
      </c>
      <c r="P98" t="s">
        <v>135</v>
      </c>
    </row>
    <row r="99" spans="1:16" x14ac:dyDescent="0.6">
      <c r="A99" t="s">
        <v>333</v>
      </c>
      <c r="B99">
        <v>10</v>
      </c>
      <c r="C99" t="s">
        <v>9</v>
      </c>
      <c r="D99" t="s">
        <v>7</v>
      </c>
      <c r="E99">
        <v>1</v>
      </c>
      <c r="F99" t="s">
        <v>121</v>
      </c>
      <c r="G99" s="13">
        <v>8.7049245325305602</v>
      </c>
      <c r="H99" s="13">
        <v>6.9094022632903798</v>
      </c>
      <c r="I99" s="13">
        <v>0.52690443855720204</v>
      </c>
      <c r="J99" s="13">
        <v>7.1804869378807403</v>
      </c>
      <c r="K99" s="13">
        <v>5.4466844406802997</v>
      </c>
      <c r="L99" s="13">
        <v>0.39956306720509099</v>
      </c>
      <c r="M99">
        <v>0.27834729912177703</v>
      </c>
      <c r="N99">
        <v>4.5809326171875</v>
      </c>
      <c r="O99" s="13">
        <v>0.33484432489892202</v>
      </c>
      <c r="P99" t="s">
        <v>90</v>
      </c>
    </row>
    <row r="100" spans="1:16" x14ac:dyDescent="0.6">
      <c r="A100" t="s">
        <v>334</v>
      </c>
      <c r="B100">
        <v>30</v>
      </c>
      <c r="C100" t="s">
        <v>9</v>
      </c>
      <c r="D100" t="s">
        <v>88</v>
      </c>
      <c r="E100">
        <v>1</v>
      </c>
      <c r="F100" t="s">
        <v>137</v>
      </c>
      <c r="G100">
        <v>8.8962374999247107</v>
      </c>
      <c r="H100" s="13">
        <v>7.1862785268772296</v>
      </c>
      <c r="I100" s="13">
        <v>0.54889679437861105</v>
      </c>
      <c r="J100" s="13">
        <v>7.3052304439284397</v>
      </c>
      <c r="K100" s="13">
        <v>5.6872961544296103</v>
      </c>
      <c r="L100">
        <v>0.41507311278542303</v>
      </c>
      <c r="M100">
        <v>0.28401633670786602</v>
      </c>
      <c r="N100">
        <v>4.5816650390625</v>
      </c>
      <c r="O100" s="13">
        <v>0.33531632982638598</v>
      </c>
      <c r="P100" t="s">
        <v>93</v>
      </c>
    </row>
    <row r="101" spans="1:16" x14ac:dyDescent="0.6">
      <c r="A101" t="s">
        <v>384</v>
      </c>
      <c r="B101">
        <v>5</v>
      </c>
      <c r="C101" t="s">
        <v>92</v>
      </c>
      <c r="D101" t="s">
        <v>177</v>
      </c>
      <c r="E101">
        <v>1</v>
      </c>
      <c r="F101" t="s">
        <v>385</v>
      </c>
      <c r="G101">
        <v>8.7379989577400003</v>
      </c>
      <c r="H101">
        <v>6.9731691899754296</v>
      </c>
      <c r="I101">
        <v>0.53208160843939301</v>
      </c>
      <c r="J101">
        <v>7.1763460210166397</v>
      </c>
      <c r="K101">
        <v>5.4718112697849</v>
      </c>
      <c r="L101">
        <v>0.401332013174858</v>
      </c>
      <c r="M101">
        <v>0.27783581162850801</v>
      </c>
      <c r="N101">
        <v>4.6424560546875</v>
      </c>
      <c r="O101">
        <v>0.33895199298620399</v>
      </c>
      <c r="P101" t="s">
        <v>90</v>
      </c>
    </row>
    <row r="102" spans="1:16" x14ac:dyDescent="0.6">
      <c r="A102" t="s">
        <v>388</v>
      </c>
      <c r="B102">
        <v>5</v>
      </c>
      <c r="C102" t="s">
        <v>92</v>
      </c>
      <c r="D102" t="s">
        <v>8</v>
      </c>
      <c r="E102">
        <v>1</v>
      </c>
      <c r="F102" t="s">
        <v>117</v>
      </c>
      <c r="G102">
        <v>8.7020579999999992</v>
      </c>
      <c r="H102">
        <v>6.9538469999999997</v>
      </c>
      <c r="I102">
        <v>0.53055399999999997</v>
      </c>
      <c r="J102">
        <v>7.1516469999999996</v>
      </c>
      <c r="K102">
        <v>5.4203900000000003</v>
      </c>
      <c r="L102">
        <v>0.397868</v>
      </c>
      <c r="M102">
        <v>0.27659999999999996</v>
      </c>
      <c r="N102">
        <v>4.642944</v>
      </c>
      <c r="O102">
        <v>0.33465699999999998</v>
      </c>
      <c r="P102" t="s">
        <v>90</v>
      </c>
    </row>
    <row r="103" spans="1:16" x14ac:dyDescent="0.6">
      <c r="A103" t="s">
        <v>339</v>
      </c>
      <c r="B103">
        <v>90</v>
      </c>
      <c r="C103" t="s">
        <v>99</v>
      </c>
      <c r="D103" t="s">
        <v>184</v>
      </c>
      <c r="E103">
        <v>1</v>
      </c>
      <c r="F103" t="s">
        <v>340</v>
      </c>
      <c r="G103">
        <v>6.9923286285821904</v>
      </c>
      <c r="H103">
        <v>5.5405791311553001</v>
      </c>
      <c r="I103">
        <v>0.432063225794315</v>
      </c>
      <c r="J103">
        <v>7.4856228089276797</v>
      </c>
      <c r="K103">
        <v>5.7703765451091602</v>
      </c>
      <c r="L103">
        <v>0.41945157428680402</v>
      </c>
      <c r="M103">
        <v>0.29739613142697802</v>
      </c>
      <c r="N103">
        <v>4.5849609375</v>
      </c>
      <c r="O103">
        <v>0.331845705798479</v>
      </c>
      <c r="P103" t="s">
        <v>114</v>
      </c>
    </row>
    <row r="104" spans="1:16" x14ac:dyDescent="0.6">
      <c r="A104" t="s">
        <v>341</v>
      </c>
      <c r="B104">
        <v>20</v>
      </c>
      <c r="C104" t="s">
        <v>92</v>
      </c>
      <c r="D104" t="s">
        <v>177</v>
      </c>
      <c r="E104">
        <v>1</v>
      </c>
      <c r="F104" t="s">
        <v>342</v>
      </c>
      <c r="G104">
        <v>8.6778312930772206</v>
      </c>
      <c r="H104">
        <v>6.9673632453469603</v>
      </c>
      <c r="I104">
        <v>0.53165618109395896</v>
      </c>
      <c r="J104">
        <v>7.0545336862258701</v>
      </c>
      <c r="K104">
        <v>5.4904400860821703</v>
      </c>
      <c r="L104">
        <v>0.40153060887244801</v>
      </c>
      <c r="M104">
        <v>0.266284738251296</v>
      </c>
      <c r="N104">
        <v>4.5888671875</v>
      </c>
      <c r="O104">
        <v>0.33780606759429299</v>
      </c>
      <c r="P104" t="s">
        <v>90</v>
      </c>
    </row>
    <row r="105" spans="1:16" x14ac:dyDescent="0.6">
      <c r="A105" t="s">
        <v>343</v>
      </c>
      <c r="B105">
        <v>30</v>
      </c>
      <c r="C105" t="s">
        <v>92</v>
      </c>
      <c r="D105" t="s">
        <v>88</v>
      </c>
      <c r="E105">
        <v>1</v>
      </c>
      <c r="F105" t="s">
        <v>105</v>
      </c>
      <c r="G105">
        <v>8.8698530000000009</v>
      </c>
      <c r="H105">
        <v>7.1660959999999996</v>
      </c>
      <c r="I105">
        <v>0.54752800000000001</v>
      </c>
      <c r="J105">
        <v>7.0879009999999996</v>
      </c>
      <c r="K105">
        <v>5.4787720000000002</v>
      </c>
      <c r="L105">
        <v>0.400393</v>
      </c>
      <c r="M105">
        <v>0.26869999999999999</v>
      </c>
      <c r="N105">
        <v>4.5903320000000001</v>
      </c>
      <c r="O105">
        <v>0.33632800000000002</v>
      </c>
      <c r="P105" t="s">
        <v>93</v>
      </c>
    </row>
    <row r="106" spans="1:16" x14ac:dyDescent="0.6">
      <c r="A106" t="s">
        <v>514</v>
      </c>
      <c r="B106">
        <v>5</v>
      </c>
      <c r="C106" t="s">
        <v>92</v>
      </c>
      <c r="D106" t="s">
        <v>7</v>
      </c>
      <c r="E106">
        <v>1</v>
      </c>
      <c r="F106" t="s">
        <v>161</v>
      </c>
      <c r="G106">
        <v>8.7052849999999999</v>
      </c>
      <c r="H106">
        <v>6.9406249999999998</v>
      </c>
      <c r="I106">
        <v>0.52950699999999995</v>
      </c>
      <c r="J106">
        <v>7.942977</v>
      </c>
      <c r="K106">
        <v>6.1162039999999998</v>
      </c>
      <c r="L106">
        <v>0.44723200000000002</v>
      </c>
      <c r="M106">
        <v>0.3372</v>
      </c>
      <c r="N106">
        <v>5.09314</v>
      </c>
      <c r="O106">
        <v>0.36770399999999998</v>
      </c>
      <c r="P106" t="s">
        <v>90</v>
      </c>
    </row>
    <row r="107" spans="1:16" x14ac:dyDescent="0.6">
      <c r="A107" t="s">
        <v>176</v>
      </c>
      <c r="B107">
        <v>5</v>
      </c>
      <c r="C107" t="s">
        <v>9</v>
      </c>
      <c r="D107" t="s">
        <v>177</v>
      </c>
      <c r="E107">
        <v>1</v>
      </c>
      <c r="F107" t="s">
        <v>178</v>
      </c>
      <c r="G107">
        <v>8.7954485201332098</v>
      </c>
      <c r="H107">
        <v>7.0340671528568199</v>
      </c>
      <c r="I107">
        <v>0.53653239287976995</v>
      </c>
      <c r="J107">
        <v>7.1823392070672698</v>
      </c>
      <c r="K107">
        <v>5.4315624154491298</v>
      </c>
      <c r="L107">
        <v>0.39875422311042202</v>
      </c>
      <c r="M107">
        <v>0.279066380249964</v>
      </c>
      <c r="N107">
        <v>4.271484375</v>
      </c>
      <c r="O107">
        <v>0.31387967396660199</v>
      </c>
      <c r="P107" t="s">
        <v>90</v>
      </c>
    </row>
    <row r="108" spans="1:16" x14ac:dyDescent="0.6">
      <c r="A108" t="s">
        <v>347</v>
      </c>
      <c r="B108">
        <v>20</v>
      </c>
      <c r="C108" t="s">
        <v>6</v>
      </c>
      <c r="D108" t="s">
        <v>171</v>
      </c>
      <c r="E108">
        <v>1</v>
      </c>
      <c r="F108" t="s">
        <v>348</v>
      </c>
      <c r="G108">
        <v>8.6563440098153794</v>
      </c>
      <c r="H108">
        <v>6.9959102152558499</v>
      </c>
      <c r="I108">
        <v>0.53384571083729304</v>
      </c>
      <c r="J108">
        <v>6.9405278475153596</v>
      </c>
      <c r="K108">
        <v>5.3529685691550899</v>
      </c>
      <c r="L108">
        <v>0.391818458960002</v>
      </c>
      <c r="M108">
        <v>0.25834558266251001</v>
      </c>
      <c r="N108">
        <v>4.5950927734375</v>
      </c>
      <c r="O108">
        <v>0.33699677842472803</v>
      </c>
      <c r="P108" t="s">
        <v>90</v>
      </c>
    </row>
    <row r="109" spans="1:16" x14ac:dyDescent="0.6">
      <c r="A109" t="s">
        <v>349</v>
      </c>
      <c r="B109">
        <v>30</v>
      </c>
      <c r="C109" t="s">
        <v>99</v>
      </c>
      <c r="D109" t="s">
        <v>177</v>
      </c>
      <c r="E109">
        <v>1</v>
      </c>
      <c r="F109" t="s">
        <v>350</v>
      </c>
      <c r="G109">
        <v>8.8890903154136307</v>
      </c>
      <c r="H109">
        <v>7.1892312758103198</v>
      </c>
      <c r="I109">
        <v>0.54933692930748201</v>
      </c>
      <c r="J109">
        <v>7.0389696100155197</v>
      </c>
      <c r="K109">
        <v>5.4290623340791804</v>
      </c>
      <c r="L109">
        <v>0.39695362614912999</v>
      </c>
      <c r="M109">
        <v>0.26562296626681697</v>
      </c>
      <c r="N109">
        <v>4.595703125</v>
      </c>
      <c r="O109">
        <v>0.33182676581592102</v>
      </c>
      <c r="P109" t="s">
        <v>93</v>
      </c>
    </row>
    <row r="110" spans="1:16" x14ac:dyDescent="0.6">
      <c r="A110" t="s">
        <v>351</v>
      </c>
      <c r="B110">
        <v>90</v>
      </c>
      <c r="C110" t="s">
        <v>99</v>
      </c>
      <c r="D110" t="s">
        <v>167</v>
      </c>
      <c r="E110">
        <v>1</v>
      </c>
      <c r="F110" t="s">
        <v>352</v>
      </c>
      <c r="G110">
        <v>6.9782731030253498</v>
      </c>
      <c r="H110">
        <v>5.5843283913352204</v>
      </c>
      <c r="I110">
        <v>0.43533793074797</v>
      </c>
      <c r="J110">
        <v>7.3829863182899098</v>
      </c>
      <c r="K110">
        <v>5.6978801570526496</v>
      </c>
      <c r="L110">
        <v>0.41419384309034801</v>
      </c>
      <c r="M110">
        <v>0.28935656533454701</v>
      </c>
      <c r="N110">
        <v>4.59844970703125</v>
      </c>
      <c r="O110">
        <v>0.34079479247799399</v>
      </c>
      <c r="P110" t="s">
        <v>114</v>
      </c>
    </row>
    <row r="111" spans="1:16" x14ac:dyDescent="0.6">
      <c r="A111" t="s">
        <v>353</v>
      </c>
      <c r="B111">
        <v>10</v>
      </c>
      <c r="C111" t="s">
        <v>6</v>
      </c>
      <c r="D111" t="s">
        <v>7</v>
      </c>
      <c r="E111">
        <v>1</v>
      </c>
      <c r="F111" t="s">
        <v>132</v>
      </c>
      <c r="G111" s="13">
        <v>8.7002373541890794</v>
      </c>
      <c r="H111">
        <v>6.9711880460943396</v>
      </c>
      <c r="I111" s="13">
        <v>0.53148353868904796</v>
      </c>
      <c r="J111" s="13">
        <v>7.2635887135389696</v>
      </c>
      <c r="K111" s="13">
        <v>5.6067413060011004</v>
      </c>
      <c r="L111" s="13">
        <v>0.41041722261715402</v>
      </c>
      <c r="M111">
        <v>0.28290686131512799</v>
      </c>
      <c r="N111">
        <v>4.60052490234375</v>
      </c>
      <c r="O111" s="13">
        <v>0.34298178101701499</v>
      </c>
      <c r="P111" t="s">
        <v>90</v>
      </c>
    </row>
    <row r="112" spans="1:16" x14ac:dyDescent="0.6">
      <c r="A112" t="s">
        <v>354</v>
      </c>
      <c r="B112">
        <v>20</v>
      </c>
      <c r="C112" t="s">
        <v>6</v>
      </c>
      <c r="D112" t="s">
        <v>184</v>
      </c>
      <c r="E112">
        <v>1</v>
      </c>
      <c r="F112" t="s">
        <v>355</v>
      </c>
      <c r="G112">
        <v>8.6404812587646695</v>
      </c>
      <c r="H112">
        <v>6.9578148141846299</v>
      </c>
      <c r="I112">
        <v>0.53093684253981799</v>
      </c>
      <c r="J112">
        <v>6.9648967058183997</v>
      </c>
      <c r="K112">
        <v>5.3860321044921804</v>
      </c>
      <c r="L112">
        <v>0.39412579394716901</v>
      </c>
      <c r="M112">
        <v>0.25993715366877501</v>
      </c>
      <c r="N112">
        <v>4.601806640625</v>
      </c>
      <c r="O112">
        <v>0.340299341191103</v>
      </c>
      <c r="P112" t="s">
        <v>90</v>
      </c>
    </row>
    <row r="113" spans="1:16" x14ac:dyDescent="0.6">
      <c r="A113" t="s">
        <v>358</v>
      </c>
      <c r="B113">
        <v>30</v>
      </c>
      <c r="C113" t="s">
        <v>6</v>
      </c>
      <c r="D113" t="s">
        <v>167</v>
      </c>
      <c r="E113">
        <v>1</v>
      </c>
      <c r="F113" t="s">
        <v>359</v>
      </c>
      <c r="G113">
        <v>8.8832643768561592</v>
      </c>
      <c r="H113">
        <v>7.2110687076193196</v>
      </c>
      <c r="I113">
        <v>0.55103126799380198</v>
      </c>
      <c r="J113">
        <v>7.0867419252618697</v>
      </c>
      <c r="K113">
        <v>5.4375284435679596</v>
      </c>
      <c r="L113">
        <v>0.39761129456209099</v>
      </c>
      <c r="M113">
        <v>0.26887227627917104</v>
      </c>
      <c r="N113">
        <v>4.60833740234375</v>
      </c>
      <c r="O113">
        <v>0.33992134923824702</v>
      </c>
      <c r="P113" t="s">
        <v>93</v>
      </c>
    </row>
    <row r="114" spans="1:16" x14ac:dyDescent="0.6">
      <c r="A114" t="s">
        <v>360</v>
      </c>
      <c r="B114">
        <v>90</v>
      </c>
      <c r="C114" t="s">
        <v>6</v>
      </c>
      <c r="D114" t="s">
        <v>167</v>
      </c>
      <c r="E114">
        <v>1</v>
      </c>
      <c r="F114" t="s">
        <v>239</v>
      </c>
      <c r="G114">
        <v>6.9893201971297003</v>
      </c>
      <c r="H114">
        <v>5.5132261334043502</v>
      </c>
      <c r="I114">
        <v>0.43011161643824702</v>
      </c>
      <c r="J114">
        <v>7.3061403396874196</v>
      </c>
      <c r="K114">
        <v>5.5949656865368098</v>
      </c>
      <c r="L114">
        <v>0.40689484089529598</v>
      </c>
      <c r="M114">
        <v>0.283822174896595</v>
      </c>
      <c r="N114">
        <v>4.6087646484375</v>
      </c>
      <c r="O114">
        <v>0.34112878437538502</v>
      </c>
      <c r="P114" t="s">
        <v>114</v>
      </c>
    </row>
    <row r="115" spans="1:16" x14ac:dyDescent="0.6">
      <c r="A115" t="s">
        <v>361</v>
      </c>
      <c r="B115">
        <v>10</v>
      </c>
      <c r="C115" t="s">
        <v>6</v>
      </c>
      <c r="D115" t="s">
        <v>167</v>
      </c>
      <c r="E115">
        <v>1</v>
      </c>
      <c r="F115" t="s">
        <v>362</v>
      </c>
      <c r="G115">
        <v>8.7629513185049603</v>
      </c>
      <c r="H115">
        <v>7.0205296535117903</v>
      </c>
      <c r="I115">
        <v>0.53525075868077998</v>
      </c>
      <c r="J115">
        <v>7.0570886358482197</v>
      </c>
      <c r="K115">
        <v>5.4104095729051398</v>
      </c>
      <c r="L115">
        <v>0.39643145372688199</v>
      </c>
      <c r="M115">
        <v>0.26787085977325803</v>
      </c>
      <c r="N115">
        <v>4.61297607421875</v>
      </c>
      <c r="O115">
        <v>0.33730529614363303</v>
      </c>
      <c r="P115" t="s">
        <v>90</v>
      </c>
    </row>
    <row r="116" spans="1:16" x14ac:dyDescent="0.6">
      <c r="A116" t="s">
        <v>363</v>
      </c>
      <c r="B116">
        <v>10</v>
      </c>
      <c r="C116" t="s">
        <v>6</v>
      </c>
      <c r="D116" t="s">
        <v>184</v>
      </c>
      <c r="E116">
        <v>1</v>
      </c>
      <c r="F116" t="s">
        <v>364</v>
      </c>
      <c r="G116">
        <v>8.7251677758871509</v>
      </c>
      <c r="H116">
        <v>7.0351538794792203</v>
      </c>
      <c r="I116">
        <v>0.53629518913296803</v>
      </c>
      <c r="J116">
        <v>7.1531664457308999</v>
      </c>
      <c r="K116">
        <v>5.42493864076327</v>
      </c>
      <c r="L116">
        <v>0.39757794597645502</v>
      </c>
      <c r="M116">
        <v>0.27550402328531398</v>
      </c>
      <c r="N116">
        <v>4.613037109375</v>
      </c>
      <c r="O116">
        <v>0.33746517820618499</v>
      </c>
      <c r="P116" t="s">
        <v>90</v>
      </c>
    </row>
    <row r="117" spans="1:16" x14ac:dyDescent="0.6">
      <c r="A117" t="s">
        <v>308</v>
      </c>
      <c r="B117">
        <v>5</v>
      </c>
      <c r="C117" t="s">
        <v>9</v>
      </c>
      <c r="D117" t="s">
        <v>8</v>
      </c>
      <c r="E117">
        <v>1</v>
      </c>
      <c r="F117" t="s">
        <v>149</v>
      </c>
      <c r="G117">
        <v>8.7686811137446092</v>
      </c>
      <c r="H117" s="13">
        <v>7.10564446403641</v>
      </c>
      <c r="I117">
        <v>0.54185787204528801</v>
      </c>
      <c r="J117" s="13">
        <v>7.4566945306430696</v>
      </c>
      <c r="K117" s="13">
        <v>5.6596484163622804</v>
      </c>
      <c r="L117" s="13">
        <v>0.41482800306756601</v>
      </c>
      <c r="M117">
        <v>0.29974140145656802</v>
      </c>
      <c r="N117">
        <v>4.5623779296875</v>
      </c>
      <c r="O117" s="13">
        <v>0.33639218466642101</v>
      </c>
      <c r="P117" t="s">
        <v>90</v>
      </c>
    </row>
    <row r="118" spans="1:16" x14ac:dyDescent="0.6">
      <c r="A118" t="s">
        <v>366</v>
      </c>
      <c r="B118">
        <v>5</v>
      </c>
      <c r="C118" t="s">
        <v>9</v>
      </c>
      <c r="D118" t="s">
        <v>184</v>
      </c>
      <c r="E118">
        <v>1</v>
      </c>
      <c r="F118" t="s">
        <v>367</v>
      </c>
      <c r="G118">
        <v>8.79904595730018</v>
      </c>
      <c r="H118">
        <v>7.0300426639934397</v>
      </c>
      <c r="I118">
        <v>0.53629964514922501</v>
      </c>
      <c r="J118">
        <v>7.32452175217992</v>
      </c>
      <c r="K118">
        <v>5.5709968335700699</v>
      </c>
      <c r="L118">
        <v>0.40837718293624697</v>
      </c>
      <c r="M118">
        <v>0.289092425150067</v>
      </c>
      <c r="N118">
        <v>4.6185302734375</v>
      </c>
      <c r="O118">
        <v>0.34320772136493599</v>
      </c>
      <c r="P118" t="s">
        <v>90</v>
      </c>
    </row>
    <row r="119" spans="1:16" x14ac:dyDescent="0.6">
      <c r="A119" t="s">
        <v>368</v>
      </c>
      <c r="B119">
        <v>60</v>
      </c>
      <c r="C119" t="s">
        <v>99</v>
      </c>
      <c r="D119" t="s">
        <v>171</v>
      </c>
      <c r="E119">
        <v>1</v>
      </c>
      <c r="F119" t="s">
        <v>369</v>
      </c>
      <c r="G119">
        <v>8.4713589175148591</v>
      </c>
      <c r="H119">
        <v>6.8693348811222901</v>
      </c>
      <c r="I119">
        <v>0.53131671209533504</v>
      </c>
      <c r="J119">
        <v>7.3593117391534602</v>
      </c>
      <c r="K119">
        <v>5.70770749178799</v>
      </c>
      <c r="L119">
        <v>0.41535426094452599</v>
      </c>
      <c r="M119">
        <v>0.287788257485387</v>
      </c>
      <c r="N119">
        <v>4.62445068359375</v>
      </c>
      <c r="O119">
        <v>0.33636452091615499</v>
      </c>
      <c r="P119" t="s">
        <v>135</v>
      </c>
    </row>
    <row r="120" spans="1:16" x14ac:dyDescent="0.6">
      <c r="A120" t="s">
        <v>370</v>
      </c>
      <c r="B120">
        <v>10</v>
      </c>
      <c r="C120" t="s">
        <v>99</v>
      </c>
      <c r="D120" t="s">
        <v>8</v>
      </c>
      <c r="E120">
        <v>1</v>
      </c>
      <c r="F120" t="s">
        <v>108</v>
      </c>
      <c r="G120">
        <v>8.6456389999999992</v>
      </c>
      <c r="H120">
        <v>6.8323669999999996</v>
      </c>
      <c r="I120">
        <v>0.52072099999999999</v>
      </c>
      <c r="J120">
        <v>7.1114889999999997</v>
      </c>
      <c r="K120">
        <v>5.431991</v>
      </c>
      <c r="L120">
        <v>0.39815299999999998</v>
      </c>
      <c r="M120">
        <v>0.2722</v>
      </c>
      <c r="N120">
        <v>4.627014</v>
      </c>
      <c r="O120">
        <v>0.34491699999999997</v>
      </c>
      <c r="P120" t="s">
        <v>90</v>
      </c>
    </row>
    <row r="121" spans="1:16" x14ac:dyDescent="0.6">
      <c r="A121" t="s">
        <v>371</v>
      </c>
      <c r="B121">
        <v>10</v>
      </c>
      <c r="C121" t="s">
        <v>99</v>
      </c>
      <c r="D121" t="s">
        <v>181</v>
      </c>
      <c r="E121">
        <v>1</v>
      </c>
      <c r="F121" t="s">
        <v>372</v>
      </c>
      <c r="G121">
        <v>8.7444066450674001</v>
      </c>
      <c r="H121">
        <v>7.0166131159119196</v>
      </c>
      <c r="I121">
        <v>0.53503135592738005</v>
      </c>
      <c r="J121">
        <v>7.2158739814816801</v>
      </c>
      <c r="K121">
        <v>5.5692090059803601</v>
      </c>
      <c r="L121">
        <v>0.40756084704942902</v>
      </c>
      <c r="M121">
        <v>0.278922230648532</v>
      </c>
      <c r="N121">
        <v>4.6282958984375</v>
      </c>
      <c r="O121">
        <v>0.34074605390534402</v>
      </c>
      <c r="P121" t="s">
        <v>90</v>
      </c>
    </row>
    <row r="122" spans="1:16" x14ac:dyDescent="0.6">
      <c r="A122" t="s">
        <v>373</v>
      </c>
      <c r="B122">
        <v>90</v>
      </c>
      <c r="C122" t="s">
        <v>9</v>
      </c>
      <c r="D122" t="s">
        <v>177</v>
      </c>
      <c r="E122">
        <v>1</v>
      </c>
      <c r="F122" t="s">
        <v>374</v>
      </c>
      <c r="G122">
        <v>7.1161071875797699</v>
      </c>
      <c r="H122">
        <v>5.48372210878314</v>
      </c>
      <c r="I122">
        <v>0.42806987767764298</v>
      </c>
      <c r="J122">
        <v>7.7585138058188603</v>
      </c>
      <c r="K122">
        <v>6.0094596131207103</v>
      </c>
      <c r="L122">
        <v>0.43744283511870902</v>
      </c>
      <c r="M122">
        <v>0.32037516698767898</v>
      </c>
      <c r="N122">
        <v>4.63336181640625</v>
      </c>
      <c r="O122">
        <v>0.32960342413779697</v>
      </c>
      <c r="P122" t="s">
        <v>114</v>
      </c>
    </row>
    <row r="123" spans="1:16" x14ac:dyDescent="0.6">
      <c r="A123" t="s">
        <v>375</v>
      </c>
      <c r="B123">
        <v>30</v>
      </c>
      <c r="C123" t="s">
        <v>9</v>
      </c>
      <c r="D123" t="s">
        <v>174</v>
      </c>
      <c r="E123">
        <v>1</v>
      </c>
      <c r="F123" t="s">
        <v>376</v>
      </c>
      <c r="G123">
        <v>8.8986155270151706</v>
      </c>
      <c r="H123">
        <v>7.1844565581633697</v>
      </c>
      <c r="I123">
        <v>0.54872979038542402</v>
      </c>
      <c r="J123">
        <v>7.3205897261233801</v>
      </c>
      <c r="K123">
        <v>5.7015777884177696</v>
      </c>
      <c r="L123">
        <v>0.41610052073683601</v>
      </c>
      <c r="M123">
        <v>0.28517133306265602</v>
      </c>
      <c r="N123">
        <v>4.63372802734375</v>
      </c>
      <c r="O123">
        <v>0.33984132753114499</v>
      </c>
      <c r="P123" t="s">
        <v>93</v>
      </c>
    </row>
    <row r="124" spans="1:16" x14ac:dyDescent="0.6">
      <c r="A124" t="s">
        <v>377</v>
      </c>
      <c r="B124">
        <v>90</v>
      </c>
      <c r="C124" t="s">
        <v>99</v>
      </c>
      <c r="D124" t="s">
        <v>7</v>
      </c>
      <c r="E124">
        <v>1</v>
      </c>
      <c r="F124" t="s">
        <v>143</v>
      </c>
      <c r="G124">
        <v>6.9688939999999997</v>
      </c>
      <c r="H124">
        <v>5.5165740000000003</v>
      </c>
      <c r="I124">
        <v>0.43058000000000002</v>
      </c>
      <c r="J124">
        <v>7.3648809999999996</v>
      </c>
      <c r="K124">
        <v>5.6419259999999998</v>
      </c>
      <c r="L124">
        <v>0.41033900000000001</v>
      </c>
      <c r="M124">
        <v>0.28849999999999998</v>
      </c>
      <c r="N124">
        <v>4.6347659999999999</v>
      </c>
      <c r="O124">
        <v>0.33742</v>
      </c>
      <c r="P124" t="s">
        <v>114</v>
      </c>
    </row>
    <row r="125" spans="1:16" x14ac:dyDescent="0.6">
      <c r="A125" t="s">
        <v>412</v>
      </c>
      <c r="B125">
        <v>5</v>
      </c>
      <c r="C125" t="s">
        <v>9</v>
      </c>
      <c r="D125" t="s">
        <v>171</v>
      </c>
      <c r="E125">
        <v>1</v>
      </c>
      <c r="F125" t="s">
        <v>413</v>
      </c>
      <c r="G125">
        <v>8.8539301507731594</v>
      </c>
      <c r="H125">
        <v>7.03611180997353</v>
      </c>
      <c r="I125">
        <v>0.53661881079271101</v>
      </c>
      <c r="J125">
        <v>7.5553119917067004</v>
      </c>
      <c r="K125">
        <v>5.8581225903003196</v>
      </c>
      <c r="L125">
        <v>0.42890978603382401</v>
      </c>
      <c r="M125">
        <v>0.30639942705391204</v>
      </c>
      <c r="N125">
        <v>4.6826171875</v>
      </c>
      <c r="O125">
        <v>0.344150553041143</v>
      </c>
      <c r="P125" t="s">
        <v>90</v>
      </c>
    </row>
    <row r="126" spans="1:16" x14ac:dyDescent="0.6">
      <c r="A126" t="s">
        <v>379</v>
      </c>
      <c r="B126">
        <v>90</v>
      </c>
      <c r="C126" t="s">
        <v>92</v>
      </c>
      <c r="D126" t="s">
        <v>167</v>
      </c>
      <c r="E126">
        <v>1</v>
      </c>
      <c r="F126" t="s">
        <v>380</v>
      </c>
      <c r="G126">
        <v>6.9366745123253502</v>
      </c>
      <c r="H126">
        <v>5.5578058416193103</v>
      </c>
      <c r="I126">
        <v>0.43383743933817198</v>
      </c>
      <c r="J126">
        <v>7.2921080689461002</v>
      </c>
      <c r="K126">
        <v>5.55034647902397</v>
      </c>
      <c r="L126">
        <v>0.40400552717175803</v>
      </c>
      <c r="M126">
        <v>0.28358121502351796</v>
      </c>
      <c r="N126">
        <v>4.6378173828125</v>
      </c>
      <c r="O126">
        <v>0.33613716261034199</v>
      </c>
      <c r="P126" t="s">
        <v>114</v>
      </c>
    </row>
    <row r="127" spans="1:16" x14ac:dyDescent="0.6">
      <c r="A127" t="s">
        <v>381</v>
      </c>
      <c r="B127">
        <v>90</v>
      </c>
      <c r="C127" t="s">
        <v>9</v>
      </c>
      <c r="D127" t="s">
        <v>7</v>
      </c>
      <c r="E127">
        <v>1</v>
      </c>
      <c r="F127" t="s">
        <v>157</v>
      </c>
      <c r="G127" s="13">
        <v>6.8653947856092001</v>
      </c>
      <c r="H127" s="13">
        <v>5.4196222478693103</v>
      </c>
      <c r="I127" s="13">
        <v>0.422612175926948</v>
      </c>
      <c r="J127" s="13">
        <v>7.6237277753961603</v>
      </c>
      <c r="K127" s="13">
        <v>5.9513658497431496</v>
      </c>
      <c r="L127">
        <v>0.43191930452456301</v>
      </c>
      <c r="M127">
        <v>0.30664734052742898</v>
      </c>
      <c r="N127">
        <v>4.63812255859375</v>
      </c>
      <c r="O127" s="13">
        <v>0.33464390093780699</v>
      </c>
      <c r="P127" t="s">
        <v>114</v>
      </c>
    </row>
    <row r="128" spans="1:16" x14ac:dyDescent="0.6">
      <c r="A128" t="s">
        <v>382</v>
      </c>
      <c r="B128">
        <v>10</v>
      </c>
      <c r="C128" t="s">
        <v>92</v>
      </c>
      <c r="D128" t="s">
        <v>171</v>
      </c>
      <c r="E128">
        <v>1</v>
      </c>
      <c r="F128" t="s">
        <v>383</v>
      </c>
      <c r="G128">
        <v>8.7002416321835607</v>
      </c>
      <c r="H128">
        <v>6.9171266857854903</v>
      </c>
      <c r="I128">
        <v>0.52753113084332304</v>
      </c>
      <c r="J128">
        <v>7.0525043958054798</v>
      </c>
      <c r="K128">
        <v>5.3917528000552997</v>
      </c>
      <c r="L128">
        <v>0.39514547581331499</v>
      </c>
      <c r="M128">
        <v>0.26778474446574302</v>
      </c>
      <c r="N128">
        <v>4.6395263671875</v>
      </c>
      <c r="O128">
        <v>0.33735504092539498</v>
      </c>
      <c r="P128" t="s">
        <v>90</v>
      </c>
    </row>
    <row r="129" spans="1:16" x14ac:dyDescent="0.6">
      <c r="A129" t="s">
        <v>432</v>
      </c>
      <c r="B129">
        <v>5</v>
      </c>
      <c r="C129" t="s">
        <v>9</v>
      </c>
      <c r="D129" t="s">
        <v>7</v>
      </c>
      <c r="E129">
        <v>1</v>
      </c>
      <c r="F129" t="s">
        <v>111</v>
      </c>
      <c r="G129" s="13">
        <v>8.7253390382096292</v>
      </c>
      <c r="H129" s="13">
        <v>7.0337735848200698</v>
      </c>
      <c r="I129" s="13">
        <v>0.53622051354803102</v>
      </c>
      <c r="J129" s="13">
        <v>7.9057553230941702</v>
      </c>
      <c r="K129">
        <v>6.2034996660240802</v>
      </c>
      <c r="L129" s="13">
        <v>0.45389565388400499</v>
      </c>
      <c r="M129">
        <v>0.33435530630523297</v>
      </c>
      <c r="N129">
        <v>4.714599609375</v>
      </c>
      <c r="O129" s="13">
        <v>0.34957932121485502</v>
      </c>
      <c r="P129" t="s">
        <v>90</v>
      </c>
    </row>
    <row r="130" spans="1:16" x14ac:dyDescent="0.6">
      <c r="A130" t="s">
        <v>386</v>
      </c>
      <c r="B130">
        <v>10</v>
      </c>
      <c r="C130" t="s">
        <v>92</v>
      </c>
      <c r="D130" t="s">
        <v>174</v>
      </c>
      <c r="E130">
        <v>1</v>
      </c>
      <c r="F130" t="s">
        <v>387</v>
      </c>
      <c r="G130">
        <v>8.6939082871343096</v>
      </c>
      <c r="H130">
        <v>6.9945714383822901</v>
      </c>
      <c r="I130">
        <v>0.53323873582341197</v>
      </c>
      <c r="J130">
        <v>7.2145968803774698</v>
      </c>
      <c r="K130">
        <v>5.5742862667657596</v>
      </c>
      <c r="L130">
        <v>0.40792730383599002</v>
      </c>
      <c r="M130">
        <v>0.27885130186110502</v>
      </c>
      <c r="N130">
        <v>4.642822265625</v>
      </c>
      <c r="O130">
        <v>0.33711135341323101</v>
      </c>
      <c r="P130" t="s">
        <v>90</v>
      </c>
    </row>
    <row r="131" spans="1:16" x14ac:dyDescent="0.6">
      <c r="A131" t="s">
        <v>467</v>
      </c>
      <c r="B131">
        <v>5</v>
      </c>
      <c r="C131" t="s">
        <v>9</v>
      </c>
      <c r="D131" t="s">
        <v>88</v>
      </c>
      <c r="E131">
        <v>1</v>
      </c>
      <c r="F131" t="s">
        <v>138</v>
      </c>
      <c r="G131" s="13">
        <v>8.8351072816589795</v>
      </c>
      <c r="H131" s="13">
        <v>7.0694780103822801</v>
      </c>
      <c r="I131" s="13">
        <v>0.53956887468716797</v>
      </c>
      <c r="J131" s="13">
        <v>7.3325710918834899</v>
      </c>
      <c r="K131" s="13">
        <v>5.6081220618574097</v>
      </c>
      <c r="L131">
        <v>0.411520670803107</v>
      </c>
      <c r="M131">
        <v>0.29046865405218203</v>
      </c>
      <c r="N131">
        <v>4.8148193359375</v>
      </c>
      <c r="O131" s="13">
        <v>0.35828804138801001</v>
      </c>
      <c r="P131" t="s">
        <v>90</v>
      </c>
    </row>
    <row r="132" spans="1:16" x14ac:dyDescent="0.6">
      <c r="A132" t="s">
        <v>389</v>
      </c>
      <c r="B132">
        <v>90</v>
      </c>
      <c r="C132" t="s">
        <v>9</v>
      </c>
      <c r="D132" t="s">
        <v>167</v>
      </c>
      <c r="E132">
        <v>1</v>
      </c>
      <c r="F132" t="s">
        <v>390</v>
      </c>
      <c r="G132">
        <v>7.1019632840401297</v>
      </c>
      <c r="H132">
        <v>5.7325328480113598</v>
      </c>
      <c r="I132">
        <v>0.447586383810049</v>
      </c>
      <c r="J132">
        <v>7.6604377884602401</v>
      </c>
      <c r="K132">
        <v>5.7231328258775598</v>
      </c>
      <c r="L132">
        <v>0.41705939307897899</v>
      </c>
      <c r="M132">
        <v>0.31437827924956602</v>
      </c>
      <c r="N132">
        <v>4.64361572265625</v>
      </c>
      <c r="O132">
        <v>0.33006569205092501</v>
      </c>
      <c r="P132" t="s">
        <v>114</v>
      </c>
    </row>
    <row r="133" spans="1:16" x14ac:dyDescent="0.6">
      <c r="A133" t="s">
        <v>391</v>
      </c>
      <c r="B133">
        <v>30</v>
      </c>
      <c r="C133" t="s">
        <v>6</v>
      </c>
      <c r="D133" t="s">
        <v>174</v>
      </c>
      <c r="E133">
        <v>1</v>
      </c>
      <c r="F133" t="s">
        <v>392</v>
      </c>
      <c r="G133">
        <v>8.9526549049167308</v>
      </c>
      <c r="H133">
        <v>7.1989741987095197</v>
      </c>
      <c r="I133">
        <v>0.55005995402508301</v>
      </c>
      <c r="J133">
        <v>7.3132836038622404</v>
      </c>
      <c r="K133">
        <v>5.6368722267521196</v>
      </c>
      <c r="L133">
        <v>0.41241311872768599</v>
      </c>
      <c r="M133">
        <v>0.28748316913089</v>
      </c>
      <c r="N133">
        <v>4.64453125</v>
      </c>
      <c r="O133">
        <v>0.33701328351869497</v>
      </c>
      <c r="P133" t="s">
        <v>93</v>
      </c>
    </row>
    <row r="134" spans="1:16" x14ac:dyDescent="0.6">
      <c r="A134" t="s">
        <v>393</v>
      </c>
      <c r="B134">
        <v>10</v>
      </c>
      <c r="C134" t="s">
        <v>92</v>
      </c>
      <c r="D134" t="s">
        <v>167</v>
      </c>
      <c r="E134">
        <v>1</v>
      </c>
      <c r="F134" t="s">
        <v>394</v>
      </c>
      <c r="G134">
        <v>8.7385722848447607</v>
      </c>
      <c r="H134">
        <v>6.9592882619544199</v>
      </c>
      <c r="I134">
        <v>0.530693077211977</v>
      </c>
      <c r="J134">
        <v>7.0659314553125601</v>
      </c>
      <c r="K134">
        <v>5.4309805810978897</v>
      </c>
      <c r="L134">
        <v>0.39783717526518497</v>
      </c>
      <c r="M134">
        <v>0.26829408486026002</v>
      </c>
      <c r="N134">
        <v>4.646484375</v>
      </c>
      <c r="O134">
        <v>0.34405323508373897</v>
      </c>
      <c r="P134" t="s">
        <v>90</v>
      </c>
    </row>
    <row r="135" spans="1:16" x14ac:dyDescent="0.6">
      <c r="A135" t="s">
        <v>488</v>
      </c>
      <c r="B135">
        <v>5</v>
      </c>
      <c r="C135" t="s">
        <v>9</v>
      </c>
      <c r="D135" t="s">
        <v>181</v>
      </c>
      <c r="E135">
        <v>1</v>
      </c>
      <c r="F135" t="s">
        <v>489</v>
      </c>
      <c r="G135">
        <v>8.8131852468105496</v>
      </c>
      <c r="H135">
        <v>7.1070443724555004</v>
      </c>
      <c r="I135">
        <v>0.54216563981148902</v>
      </c>
      <c r="J135">
        <v>7.8153564668495701</v>
      </c>
      <c r="K135">
        <v>6.0984082242627098</v>
      </c>
      <c r="L135">
        <v>0.44620880016050501</v>
      </c>
      <c r="M135">
        <v>0.32665605654852503</v>
      </c>
      <c r="N135">
        <v>4.8770751953125</v>
      </c>
      <c r="O135">
        <v>0.35800665112229002</v>
      </c>
      <c r="P135" t="s">
        <v>90</v>
      </c>
    </row>
    <row r="136" spans="1:16" x14ac:dyDescent="0.6">
      <c r="A136" t="s">
        <v>395</v>
      </c>
      <c r="B136">
        <v>90</v>
      </c>
      <c r="C136" t="s">
        <v>92</v>
      </c>
      <c r="D136" t="s">
        <v>174</v>
      </c>
      <c r="E136">
        <v>1</v>
      </c>
      <c r="F136" t="s">
        <v>396</v>
      </c>
      <c r="G136">
        <v>6.9824003421249197</v>
      </c>
      <c r="H136">
        <v>5.6009336529356002</v>
      </c>
      <c r="I136">
        <v>0.43738369804145</v>
      </c>
      <c r="J136">
        <v>7.3084167625205403</v>
      </c>
      <c r="K136">
        <v>5.5689722348565898</v>
      </c>
      <c r="L136">
        <v>0.40508889316400898</v>
      </c>
      <c r="M136">
        <v>0.28416694373596202</v>
      </c>
      <c r="N136">
        <v>4.64886474609375</v>
      </c>
      <c r="O136">
        <v>0.34294493929323899</v>
      </c>
      <c r="P136" t="s">
        <v>114</v>
      </c>
    </row>
    <row r="137" spans="1:16" x14ac:dyDescent="0.6">
      <c r="A137" t="s">
        <v>506</v>
      </c>
      <c r="B137">
        <v>5</v>
      </c>
      <c r="C137" t="s">
        <v>9</v>
      </c>
      <c r="D137" t="s">
        <v>174</v>
      </c>
      <c r="E137">
        <v>1</v>
      </c>
      <c r="F137" t="s">
        <v>507</v>
      </c>
      <c r="G137">
        <v>8.8475952623840097</v>
      </c>
      <c r="H137">
        <v>7.1050947971298797</v>
      </c>
      <c r="I137">
        <v>0.54179603130251897</v>
      </c>
      <c r="J137">
        <v>7.5260731211752496</v>
      </c>
      <c r="K137">
        <v>5.8091787363027496</v>
      </c>
      <c r="L137">
        <v>0.425661662904531</v>
      </c>
      <c r="M137">
        <v>0.30478380704257502</v>
      </c>
      <c r="N137">
        <v>4.9931640625</v>
      </c>
      <c r="O137">
        <v>0.36733003602327102</v>
      </c>
      <c r="P137" t="s">
        <v>90</v>
      </c>
    </row>
    <row r="138" spans="1:16" x14ac:dyDescent="0.6">
      <c r="A138" t="s">
        <v>519</v>
      </c>
      <c r="B138">
        <v>5</v>
      </c>
      <c r="C138" t="s">
        <v>9</v>
      </c>
      <c r="D138" t="s">
        <v>167</v>
      </c>
      <c r="E138">
        <v>1</v>
      </c>
      <c r="F138" t="s">
        <v>520</v>
      </c>
      <c r="G138">
        <v>8.8106496881332603</v>
      </c>
      <c r="H138">
        <v>7.1220133596410999</v>
      </c>
      <c r="I138">
        <v>0.54329429447225097</v>
      </c>
      <c r="J138">
        <v>8.4645931985328904</v>
      </c>
      <c r="K138">
        <v>6.6893971100513996</v>
      </c>
      <c r="L138">
        <v>0.489208471328962</v>
      </c>
      <c r="M138">
        <v>0.38259773982981798</v>
      </c>
      <c r="N138">
        <v>5.6036376953125</v>
      </c>
      <c r="O138">
        <v>0.41343295075061198</v>
      </c>
      <c r="P138" t="s">
        <v>90</v>
      </c>
    </row>
    <row r="139" spans="1:16" x14ac:dyDescent="0.6">
      <c r="A139" t="s">
        <v>398</v>
      </c>
      <c r="B139">
        <v>90</v>
      </c>
      <c r="C139" t="s">
        <v>9</v>
      </c>
      <c r="D139" t="s">
        <v>88</v>
      </c>
      <c r="E139">
        <v>1</v>
      </c>
      <c r="F139" t="s">
        <v>156</v>
      </c>
      <c r="G139">
        <v>6.6759537159477</v>
      </c>
      <c r="H139" s="13">
        <v>5.4448131214488598</v>
      </c>
      <c r="I139" s="13">
        <v>0.42489933078599401</v>
      </c>
      <c r="J139" s="13">
        <v>7.5994227765418696</v>
      </c>
      <c r="K139" s="13">
        <v>5.7968616224314999</v>
      </c>
      <c r="L139" s="13">
        <v>0.42226395848126103</v>
      </c>
      <c r="M139">
        <v>0.30849102457509403</v>
      </c>
      <c r="N139">
        <v>4.65606689453125</v>
      </c>
      <c r="O139">
        <v>0.34097527650461101</v>
      </c>
      <c r="P139" t="s">
        <v>114</v>
      </c>
    </row>
    <row r="140" spans="1:16" x14ac:dyDescent="0.6">
      <c r="A140" t="s">
        <v>399</v>
      </c>
      <c r="B140">
        <v>90</v>
      </c>
      <c r="C140" t="s">
        <v>6</v>
      </c>
      <c r="D140" t="s">
        <v>171</v>
      </c>
      <c r="E140">
        <v>1</v>
      </c>
      <c r="F140" t="s">
        <v>400</v>
      </c>
      <c r="G140">
        <v>6.9410422607662596</v>
      </c>
      <c r="H140">
        <v>5.4809311375473397</v>
      </c>
      <c r="I140">
        <v>0.42763767218452298</v>
      </c>
      <c r="J140">
        <v>7.3749232163488596</v>
      </c>
      <c r="K140">
        <v>5.6479124304366399</v>
      </c>
      <c r="L140">
        <v>0.41086609026426701</v>
      </c>
      <c r="M140">
        <v>0.28960662887310001</v>
      </c>
      <c r="N140">
        <v>4.65625</v>
      </c>
      <c r="O140">
        <v>0.34347582789745301</v>
      </c>
      <c r="P140" t="s">
        <v>114</v>
      </c>
    </row>
    <row r="141" spans="1:16" x14ac:dyDescent="0.6">
      <c r="A141" t="s">
        <v>203</v>
      </c>
      <c r="B141">
        <v>5</v>
      </c>
      <c r="C141" t="s">
        <v>6</v>
      </c>
      <c r="D141" t="s">
        <v>177</v>
      </c>
      <c r="E141">
        <v>1</v>
      </c>
      <c r="F141" t="s">
        <v>204</v>
      </c>
      <c r="G141">
        <v>8.75199142985546</v>
      </c>
      <c r="H141">
        <v>7.0115329985977697</v>
      </c>
      <c r="I141">
        <v>0.53499437882714695</v>
      </c>
      <c r="J141">
        <v>7.1274443939320804</v>
      </c>
      <c r="K141">
        <v>5.4261025432900398</v>
      </c>
      <c r="L141">
        <v>0.398301829049511</v>
      </c>
      <c r="M141">
        <v>0.274993229322678</v>
      </c>
      <c r="N141">
        <v>4.4005126953125</v>
      </c>
      <c r="O141">
        <v>0.33017576980083702</v>
      </c>
      <c r="P141" t="s">
        <v>90</v>
      </c>
    </row>
    <row r="142" spans="1:16" x14ac:dyDescent="0.6">
      <c r="A142" t="s">
        <v>403</v>
      </c>
      <c r="B142">
        <v>20</v>
      </c>
      <c r="C142" t="s">
        <v>9</v>
      </c>
      <c r="D142" t="s">
        <v>7</v>
      </c>
      <c r="E142">
        <v>1</v>
      </c>
      <c r="F142" t="s">
        <v>129</v>
      </c>
      <c r="G142" s="13">
        <v>8.7757982914965407</v>
      </c>
      <c r="H142" s="13">
        <v>7.0594505251520996</v>
      </c>
      <c r="I142" s="13">
        <v>0.53841825360541395</v>
      </c>
      <c r="J142">
        <v>7.2321264129907004</v>
      </c>
      <c r="K142" s="13">
        <v>5.5785319010416599</v>
      </c>
      <c r="L142" s="13">
        <v>0.40792258672520099</v>
      </c>
      <c r="M142">
        <v>0.27998303400910501</v>
      </c>
      <c r="N142">
        <v>4.66253662109375</v>
      </c>
      <c r="O142" s="13">
        <v>0.34455413704927101</v>
      </c>
      <c r="P142" t="s">
        <v>90</v>
      </c>
    </row>
    <row r="143" spans="1:16" x14ac:dyDescent="0.6">
      <c r="A143" t="s">
        <v>404</v>
      </c>
      <c r="B143">
        <v>20</v>
      </c>
      <c r="C143" t="s">
        <v>9</v>
      </c>
      <c r="D143" t="s">
        <v>171</v>
      </c>
      <c r="E143">
        <v>1</v>
      </c>
      <c r="F143" t="s">
        <v>405</v>
      </c>
      <c r="G143">
        <v>8.6926324931409908</v>
      </c>
      <c r="H143">
        <v>7.03764173502812</v>
      </c>
      <c r="I143">
        <v>0.53698618847993396</v>
      </c>
      <c r="J143">
        <v>7.0147425107692998</v>
      </c>
      <c r="K143">
        <v>5.3937383581090801</v>
      </c>
      <c r="L143">
        <v>0.394918445637228</v>
      </c>
      <c r="M143">
        <v>0.26422597280589799</v>
      </c>
      <c r="N143">
        <v>4.666259765625</v>
      </c>
      <c r="O143">
        <v>0.345290657902106</v>
      </c>
      <c r="P143" t="s">
        <v>90</v>
      </c>
    </row>
    <row r="144" spans="1:16" x14ac:dyDescent="0.6">
      <c r="A144" t="s">
        <v>406</v>
      </c>
      <c r="B144">
        <v>20</v>
      </c>
      <c r="C144" t="s">
        <v>6</v>
      </c>
      <c r="D144" t="s">
        <v>88</v>
      </c>
      <c r="E144">
        <v>1</v>
      </c>
      <c r="F144" t="s">
        <v>89</v>
      </c>
      <c r="G144" s="13">
        <v>8.6783813515881096</v>
      </c>
      <c r="H144" s="13">
        <v>6.9783926571116703</v>
      </c>
      <c r="I144" s="13">
        <v>0.53238123502110701</v>
      </c>
      <c r="J144" s="13">
        <v>6.8881908498624496</v>
      </c>
      <c r="K144" s="13">
        <v>5.3294564706307801</v>
      </c>
      <c r="L144" s="13">
        <v>0.39007840166920299</v>
      </c>
      <c r="M144">
        <v>0.254372860049494</v>
      </c>
      <c r="N144">
        <v>4.6673583984375</v>
      </c>
      <c r="O144" s="13">
        <v>0.342286514697697</v>
      </c>
      <c r="P144" t="s">
        <v>90</v>
      </c>
    </row>
    <row r="145" spans="1:16" x14ac:dyDescent="0.6">
      <c r="A145" t="s">
        <v>407</v>
      </c>
      <c r="B145">
        <v>10</v>
      </c>
      <c r="C145" t="s">
        <v>92</v>
      </c>
      <c r="D145" t="s">
        <v>7</v>
      </c>
      <c r="E145">
        <v>1</v>
      </c>
      <c r="F145" t="s">
        <v>110</v>
      </c>
      <c r="G145">
        <v>8.69163</v>
      </c>
      <c r="H145">
        <v>6.9685360000000003</v>
      </c>
      <c r="I145">
        <v>0.53141499999999997</v>
      </c>
      <c r="J145">
        <v>7.1164800000000001</v>
      </c>
      <c r="K145">
        <v>5.4687929999999998</v>
      </c>
      <c r="L145">
        <v>0.40054499999999998</v>
      </c>
      <c r="M145">
        <v>0.27200000000000002</v>
      </c>
      <c r="N145">
        <v>4.6674189999999998</v>
      </c>
      <c r="O145">
        <v>0.34352199999999999</v>
      </c>
      <c r="P145" t="s">
        <v>90</v>
      </c>
    </row>
    <row r="146" spans="1:16" x14ac:dyDescent="0.6">
      <c r="A146" t="s">
        <v>408</v>
      </c>
      <c r="B146">
        <v>60</v>
      </c>
      <c r="C146" t="s">
        <v>92</v>
      </c>
      <c r="D146" t="s">
        <v>171</v>
      </c>
      <c r="E146">
        <v>1</v>
      </c>
      <c r="F146" t="s">
        <v>409</v>
      </c>
      <c r="G146">
        <v>8.4628294451149202</v>
      </c>
      <c r="H146">
        <v>6.8429747361403201</v>
      </c>
      <c r="I146">
        <v>0.52908364317769996</v>
      </c>
      <c r="J146">
        <v>7.3124180179365199</v>
      </c>
      <c r="K146">
        <v>5.6562527743252797</v>
      </c>
      <c r="L146">
        <v>0.41188939315374401</v>
      </c>
      <c r="M146">
        <v>0.284874932503275</v>
      </c>
      <c r="N146">
        <v>4.67230224609375</v>
      </c>
      <c r="O146">
        <v>0.34119604253692298</v>
      </c>
      <c r="P146" t="s">
        <v>135</v>
      </c>
    </row>
    <row r="147" spans="1:16" x14ac:dyDescent="0.6">
      <c r="A147" t="s">
        <v>410</v>
      </c>
      <c r="B147">
        <v>30</v>
      </c>
      <c r="C147" t="s">
        <v>92</v>
      </c>
      <c r="D147" t="s">
        <v>167</v>
      </c>
      <c r="E147">
        <v>1</v>
      </c>
      <c r="F147" t="s">
        <v>411</v>
      </c>
      <c r="G147">
        <v>8.8844292708784494</v>
      </c>
      <c r="H147">
        <v>7.1715495476109101</v>
      </c>
      <c r="I147">
        <v>0.548031525480285</v>
      </c>
      <c r="J147">
        <v>7.3448530398125502</v>
      </c>
      <c r="K147">
        <v>5.7409259092460498</v>
      </c>
      <c r="L147">
        <v>0.41901546465815598</v>
      </c>
      <c r="M147">
        <v>0.28724003228810197</v>
      </c>
      <c r="N147">
        <v>4.67449951171875</v>
      </c>
      <c r="O147">
        <v>0.34660005144541101</v>
      </c>
      <c r="P147" t="s">
        <v>93</v>
      </c>
    </row>
    <row r="148" spans="1:16" x14ac:dyDescent="0.6">
      <c r="A148" t="s">
        <v>221</v>
      </c>
      <c r="B148">
        <v>5</v>
      </c>
      <c r="C148" t="s">
        <v>6</v>
      </c>
      <c r="D148" t="s">
        <v>171</v>
      </c>
      <c r="E148">
        <v>1</v>
      </c>
      <c r="F148" t="s">
        <v>222</v>
      </c>
      <c r="G148">
        <v>8.7542738217530793</v>
      </c>
      <c r="H148">
        <v>7.0426677561681403</v>
      </c>
      <c r="I148">
        <v>0.53717401394466102</v>
      </c>
      <c r="J148">
        <v>7.2455522397631702</v>
      </c>
      <c r="K148">
        <v>5.5436261329815997</v>
      </c>
      <c r="L148">
        <v>0.40654590542004498</v>
      </c>
      <c r="M148">
        <v>0.283180280203852</v>
      </c>
      <c r="N148">
        <v>4.436767578125</v>
      </c>
      <c r="O148">
        <v>0.33768952762023602</v>
      </c>
      <c r="P148" t="s">
        <v>90</v>
      </c>
    </row>
    <row r="149" spans="1:16" x14ac:dyDescent="0.6">
      <c r="A149" t="s">
        <v>414</v>
      </c>
      <c r="B149">
        <v>10</v>
      </c>
      <c r="C149" t="s">
        <v>6</v>
      </c>
      <c r="D149" t="s">
        <v>174</v>
      </c>
      <c r="E149">
        <v>1</v>
      </c>
      <c r="F149" t="s">
        <v>415</v>
      </c>
      <c r="G149">
        <v>8.7035584878290795</v>
      </c>
      <c r="H149">
        <v>6.99040233675351</v>
      </c>
      <c r="I149">
        <v>0.53305700436503001</v>
      </c>
      <c r="J149">
        <v>7.2660344151961498</v>
      </c>
      <c r="K149">
        <v>5.5441462423949099</v>
      </c>
      <c r="L149">
        <v>0.40684344699911601</v>
      </c>
      <c r="M149">
        <v>0.28537178353830001</v>
      </c>
      <c r="N149">
        <v>4.69000244140625</v>
      </c>
      <c r="O149">
        <v>0.34720037359139599</v>
      </c>
      <c r="P149" t="s">
        <v>90</v>
      </c>
    </row>
    <row r="150" spans="1:16" x14ac:dyDescent="0.6">
      <c r="A150" t="s">
        <v>275</v>
      </c>
      <c r="B150">
        <v>5</v>
      </c>
      <c r="C150" t="s">
        <v>6</v>
      </c>
      <c r="D150" t="s">
        <v>7</v>
      </c>
      <c r="E150">
        <v>1</v>
      </c>
      <c r="F150" t="s">
        <v>124</v>
      </c>
      <c r="G150" s="13">
        <v>8.6922131329482308</v>
      </c>
      <c r="H150" s="13">
        <v>6.9978791915434799</v>
      </c>
      <c r="I150" s="13">
        <v>0.53388464913963296</v>
      </c>
      <c r="J150">
        <v>7.2118313209826104</v>
      </c>
      <c r="K150" s="13">
        <v>5.5325652944061101</v>
      </c>
      <c r="L150" s="13">
        <v>0.40542799991422601</v>
      </c>
      <c r="M150">
        <v>0.27969763887461402</v>
      </c>
      <c r="N150">
        <v>4.523193359375</v>
      </c>
      <c r="O150" s="13">
        <v>0.33638539514433902</v>
      </c>
      <c r="P150" t="s">
        <v>90</v>
      </c>
    </row>
    <row r="151" spans="1:16" x14ac:dyDescent="0.6">
      <c r="A151" t="s">
        <v>418</v>
      </c>
      <c r="B151">
        <v>60</v>
      </c>
      <c r="C151" t="s">
        <v>6</v>
      </c>
      <c r="D151" t="s">
        <v>88</v>
      </c>
      <c r="E151">
        <v>1</v>
      </c>
      <c r="F151" t="s">
        <v>153</v>
      </c>
      <c r="G151" s="13">
        <v>8.4624834686603005</v>
      </c>
      <c r="H151" s="13">
        <v>6.8987900450989397</v>
      </c>
      <c r="I151" s="13">
        <v>0.53339425898286497</v>
      </c>
      <c r="J151" s="13">
        <v>7.5239068287530602</v>
      </c>
      <c r="K151" s="13">
        <v>5.7743017023259897</v>
      </c>
      <c r="L151">
        <v>0.421312826030042</v>
      </c>
      <c r="M151">
        <v>0.30341223214458801</v>
      </c>
      <c r="N151">
        <v>4.69329833984375</v>
      </c>
      <c r="O151" s="13">
        <v>0.342182534395848</v>
      </c>
      <c r="P151" t="s">
        <v>135</v>
      </c>
    </row>
    <row r="152" spans="1:16" x14ac:dyDescent="0.6">
      <c r="A152" t="s">
        <v>419</v>
      </c>
      <c r="B152">
        <v>90</v>
      </c>
      <c r="C152" t="s">
        <v>9</v>
      </c>
      <c r="D152" t="s">
        <v>171</v>
      </c>
      <c r="E152">
        <v>1</v>
      </c>
      <c r="F152" t="s">
        <v>420</v>
      </c>
      <c r="G152">
        <v>6.90360057954216</v>
      </c>
      <c r="H152">
        <v>5.4312984582149602</v>
      </c>
      <c r="I152">
        <v>0.423955671485375</v>
      </c>
      <c r="J152">
        <v>7.6994646796775896</v>
      </c>
      <c r="K152">
        <v>6.0165756434610396</v>
      </c>
      <c r="L152">
        <v>0.43660273249015702</v>
      </c>
      <c r="M152">
        <v>0.312974443410244</v>
      </c>
      <c r="N152">
        <v>4.69482421875</v>
      </c>
      <c r="O152">
        <v>0.34256580186311397</v>
      </c>
      <c r="P152" t="s">
        <v>114</v>
      </c>
    </row>
    <row r="153" spans="1:16" x14ac:dyDescent="0.6">
      <c r="A153" t="s">
        <v>421</v>
      </c>
      <c r="B153">
        <v>10</v>
      </c>
      <c r="C153" t="s">
        <v>6</v>
      </c>
      <c r="D153" t="s">
        <v>88</v>
      </c>
      <c r="E153">
        <v>1</v>
      </c>
      <c r="F153" t="s">
        <v>111</v>
      </c>
      <c r="G153" s="13">
        <v>8.7510526967028408</v>
      </c>
      <c r="H153">
        <v>7.0463331633923101</v>
      </c>
      <c r="I153" s="13">
        <v>0.53728140356800802</v>
      </c>
      <c r="J153">
        <v>7.12726758717778</v>
      </c>
      <c r="K153" s="13">
        <v>5.5489361518252203</v>
      </c>
      <c r="L153" s="13">
        <v>0.40615376344681398</v>
      </c>
      <c r="M153">
        <v>0.27202697693296696</v>
      </c>
      <c r="N153">
        <v>4.69781494140625</v>
      </c>
      <c r="O153" s="13">
        <v>0.34369776764759602</v>
      </c>
      <c r="P153" t="s">
        <v>90</v>
      </c>
    </row>
    <row r="154" spans="1:16" x14ac:dyDescent="0.6">
      <c r="A154" t="s">
        <v>422</v>
      </c>
      <c r="B154">
        <v>90</v>
      </c>
      <c r="C154" t="s">
        <v>99</v>
      </c>
      <c r="D154" t="s">
        <v>181</v>
      </c>
      <c r="E154">
        <v>1</v>
      </c>
      <c r="F154" t="s">
        <v>423</v>
      </c>
      <c r="G154">
        <v>6.9234935603607504</v>
      </c>
      <c r="H154">
        <v>5.4822517163825699</v>
      </c>
      <c r="I154">
        <v>0.42746514338577302</v>
      </c>
      <c r="J154">
        <v>7.6098460562832901</v>
      </c>
      <c r="K154">
        <v>5.8823024802011901</v>
      </c>
      <c r="L154">
        <v>0.427302608746081</v>
      </c>
      <c r="M154">
        <v>0.30686392654026901</v>
      </c>
      <c r="N154">
        <v>4.699462890625</v>
      </c>
      <c r="O154">
        <v>0.336130694753147</v>
      </c>
      <c r="P154" t="s">
        <v>114</v>
      </c>
    </row>
    <row r="155" spans="1:16" x14ac:dyDescent="0.6">
      <c r="A155" t="s">
        <v>424</v>
      </c>
      <c r="B155">
        <v>60</v>
      </c>
      <c r="C155" t="s">
        <v>99</v>
      </c>
      <c r="D155" t="s">
        <v>174</v>
      </c>
      <c r="E155">
        <v>1</v>
      </c>
      <c r="F155" t="s">
        <v>425</v>
      </c>
      <c r="G155">
        <v>8.4553001834462798</v>
      </c>
      <c r="H155">
        <v>6.8362669053968403</v>
      </c>
      <c r="I155">
        <v>0.528597292038536</v>
      </c>
      <c r="J155">
        <v>7.32781605705659</v>
      </c>
      <c r="K155">
        <v>5.5937832919034003</v>
      </c>
      <c r="L155">
        <v>0.40741885551096702</v>
      </c>
      <c r="M155">
        <v>0.28613997452560097</v>
      </c>
      <c r="N155">
        <v>4.70294189453125</v>
      </c>
      <c r="O155">
        <v>0.34730410517617699</v>
      </c>
      <c r="P155" t="s">
        <v>135</v>
      </c>
    </row>
    <row r="156" spans="1:16" x14ac:dyDescent="0.6">
      <c r="A156" t="s">
        <v>426</v>
      </c>
      <c r="B156">
        <v>60</v>
      </c>
      <c r="C156" t="s">
        <v>6</v>
      </c>
      <c r="D156" t="s">
        <v>177</v>
      </c>
      <c r="E156">
        <v>1</v>
      </c>
      <c r="F156" t="s">
        <v>357</v>
      </c>
      <c r="G156">
        <v>8.5184613368889508</v>
      </c>
      <c r="H156">
        <v>6.8522136813991601</v>
      </c>
      <c r="I156">
        <v>0.52986344317604495</v>
      </c>
      <c r="J156">
        <v>7.2612476137220998</v>
      </c>
      <c r="K156">
        <v>5.6495160189541904</v>
      </c>
      <c r="L156">
        <v>0.41121107275218399</v>
      </c>
      <c r="M156">
        <v>0.28027560940291302</v>
      </c>
      <c r="N156">
        <v>4.7030029296875</v>
      </c>
      <c r="O156">
        <v>0.345495597480868</v>
      </c>
      <c r="P156" t="s">
        <v>135</v>
      </c>
    </row>
    <row r="157" spans="1:16" x14ac:dyDescent="0.6">
      <c r="A157" t="s">
        <v>312</v>
      </c>
      <c r="B157">
        <v>5</v>
      </c>
      <c r="C157" t="s">
        <v>6</v>
      </c>
      <c r="D157" t="s">
        <v>88</v>
      </c>
      <c r="E157">
        <v>1</v>
      </c>
      <c r="F157" t="s">
        <v>109</v>
      </c>
      <c r="G157" s="13">
        <v>8.7281372972559499</v>
      </c>
      <c r="H157">
        <v>6.9915363082825603</v>
      </c>
      <c r="I157" s="13">
        <v>0.53338542474259898</v>
      </c>
      <c r="J157" s="13">
        <v>7.1959661176296699</v>
      </c>
      <c r="K157" s="13">
        <v>5.5506528383725602</v>
      </c>
      <c r="L157" s="13">
        <v>0.40683450336588101</v>
      </c>
      <c r="M157">
        <v>0.27856673564490098</v>
      </c>
      <c r="N157">
        <v>4.5689697265625</v>
      </c>
      <c r="O157" s="13">
        <v>0.340649860177346</v>
      </c>
      <c r="P157" t="s">
        <v>90</v>
      </c>
    </row>
    <row r="158" spans="1:16" x14ac:dyDescent="0.6">
      <c r="A158" t="s">
        <v>429</v>
      </c>
      <c r="B158">
        <v>60</v>
      </c>
      <c r="C158" t="s">
        <v>92</v>
      </c>
      <c r="D158" t="s">
        <v>184</v>
      </c>
      <c r="E158">
        <v>1</v>
      </c>
      <c r="F158" t="s">
        <v>430</v>
      </c>
      <c r="G158">
        <v>8.4727671494430492</v>
      </c>
      <c r="H158">
        <v>6.8421861418000898</v>
      </c>
      <c r="I158">
        <v>0.52923504658030696</v>
      </c>
      <c r="J158">
        <v>7.3560864645286204</v>
      </c>
      <c r="K158">
        <v>5.6902049671519803</v>
      </c>
      <c r="L158">
        <v>0.41428189162756601</v>
      </c>
      <c r="M158">
        <v>0.288087678727379</v>
      </c>
      <c r="N158">
        <v>4.71270751953125</v>
      </c>
      <c r="O158">
        <v>0.34084819087610102</v>
      </c>
      <c r="P158" t="s">
        <v>135</v>
      </c>
    </row>
    <row r="159" spans="1:16" x14ac:dyDescent="0.6">
      <c r="A159" t="s">
        <v>431</v>
      </c>
      <c r="B159">
        <v>10</v>
      </c>
      <c r="C159" t="s">
        <v>9</v>
      </c>
      <c r="D159" t="s">
        <v>8</v>
      </c>
      <c r="E159">
        <v>1</v>
      </c>
      <c r="F159" t="s">
        <v>155</v>
      </c>
      <c r="G159" s="13">
        <v>8.7932978914653397</v>
      </c>
      <c r="H159">
        <v>6.9862463305259004</v>
      </c>
      <c r="I159" s="13">
        <v>0.53310595664150895</v>
      </c>
      <c r="J159" s="13">
        <v>7.5700876998084103</v>
      </c>
      <c r="K159" s="13">
        <v>5.8563513291620497</v>
      </c>
      <c r="L159" s="13">
        <v>0.42847433538913698</v>
      </c>
      <c r="M159">
        <v>0.30700049499795001</v>
      </c>
      <c r="N159">
        <v>4.71337890625</v>
      </c>
      <c r="O159" s="13">
        <v>0.34797289463790698</v>
      </c>
      <c r="P159" t="s">
        <v>90</v>
      </c>
    </row>
    <row r="160" spans="1:16" x14ac:dyDescent="0.6">
      <c r="A160" t="s">
        <v>337</v>
      </c>
      <c r="B160">
        <v>5</v>
      </c>
      <c r="C160" t="s">
        <v>6</v>
      </c>
      <c r="D160" t="s">
        <v>174</v>
      </c>
      <c r="E160">
        <v>1</v>
      </c>
      <c r="F160" t="s">
        <v>338</v>
      </c>
      <c r="G160">
        <v>8.7132447647258306</v>
      </c>
      <c r="H160">
        <v>6.9792566925485202</v>
      </c>
      <c r="I160">
        <v>0.53241565917077505</v>
      </c>
      <c r="J160">
        <v>7.1018774055388798</v>
      </c>
      <c r="K160">
        <v>5.4605311274012402</v>
      </c>
      <c r="L160">
        <v>0.40031509518429098</v>
      </c>
      <c r="M160">
        <v>0.271599973188346</v>
      </c>
      <c r="N160">
        <v>4.5845947265625</v>
      </c>
      <c r="O160">
        <v>0.34339883370237401</v>
      </c>
      <c r="P160" t="s">
        <v>90</v>
      </c>
    </row>
    <row r="161" spans="1:16" x14ac:dyDescent="0.6">
      <c r="A161" t="s">
        <v>433</v>
      </c>
      <c r="B161">
        <v>10</v>
      </c>
      <c r="C161" t="s">
        <v>99</v>
      </c>
      <c r="D161" t="s">
        <v>167</v>
      </c>
      <c r="E161">
        <v>1</v>
      </c>
      <c r="F161" t="s">
        <v>434</v>
      </c>
      <c r="G161">
        <v>8.7321515687643494</v>
      </c>
      <c r="H161">
        <v>7.0009971837292602</v>
      </c>
      <c r="I161">
        <v>0.53398862333053998</v>
      </c>
      <c r="J161">
        <v>7.2947859071142096</v>
      </c>
      <c r="K161">
        <v>5.6279102426714598</v>
      </c>
      <c r="L161">
        <v>0.41199564832081398</v>
      </c>
      <c r="M161">
        <v>0.28531513066619801</v>
      </c>
      <c r="N161">
        <v>4.71820068359375</v>
      </c>
      <c r="O161">
        <v>0.34966537937533598</v>
      </c>
      <c r="P161" t="s">
        <v>90</v>
      </c>
    </row>
    <row r="162" spans="1:16" x14ac:dyDescent="0.6">
      <c r="A162" t="s">
        <v>435</v>
      </c>
      <c r="B162">
        <v>10</v>
      </c>
      <c r="C162" t="s">
        <v>9</v>
      </c>
      <c r="D162" t="s">
        <v>171</v>
      </c>
      <c r="E162">
        <v>1</v>
      </c>
      <c r="F162" t="s">
        <v>436</v>
      </c>
      <c r="G162">
        <v>8.8153238358967894</v>
      </c>
      <c r="H162">
        <v>7.15273391930765</v>
      </c>
      <c r="I162">
        <v>0.54543639759102802</v>
      </c>
      <c r="J162">
        <v>7.4226188948973304</v>
      </c>
      <c r="K162">
        <v>5.6574318134679196</v>
      </c>
      <c r="L162">
        <v>0.415083236640442</v>
      </c>
      <c r="M162">
        <v>0.29761907976365903</v>
      </c>
      <c r="N162">
        <v>4.72760009765625</v>
      </c>
      <c r="O162">
        <v>0.34143272820905801</v>
      </c>
      <c r="P162" t="s">
        <v>90</v>
      </c>
    </row>
    <row r="163" spans="1:16" x14ac:dyDescent="0.6">
      <c r="A163" t="s">
        <v>437</v>
      </c>
      <c r="B163">
        <v>90</v>
      </c>
      <c r="C163" t="s">
        <v>92</v>
      </c>
      <c r="D163" t="s">
        <v>171</v>
      </c>
      <c r="E163">
        <v>1</v>
      </c>
      <c r="F163" t="s">
        <v>438</v>
      </c>
      <c r="G163">
        <v>6.9968880096354704</v>
      </c>
      <c r="H163">
        <v>5.52183578953598</v>
      </c>
      <c r="I163">
        <v>0.43076675559257899</v>
      </c>
      <c r="J163">
        <v>7.1651081293329399</v>
      </c>
      <c r="K163">
        <v>5.48529052734375</v>
      </c>
      <c r="L163">
        <v>0.39905069176362601</v>
      </c>
      <c r="M163">
        <v>0.27321265498536901</v>
      </c>
      <c r="N163">
        <v>4.73004150390625</v>
      </c>
      <c r="O163">
        <v>0.34808540527424098</v>
      </c>
      <c r="P163" t="s">
        <v>114</v>
      </c>
    </row>
    <row r="164" spans="1:16" x14ac:dyDescent="0.6">
      <c r="A164" t="s">
        <v>439</v>
      </c>
      <c r="B164">
        <v>10</v>
      </c>
      <c r="C164" t="s">
        <v>9</v>
      </c>
      <c r="D164" t="s">
        <v>181</v>
      </c>
      <c r="E164">
        <v>1</v>
      </c>
      <c r="F164" t="s">
        <v>440</v>
      </c>
      <c r="G164">
        <v>8.7274215588814492</v>
      </c>
      <c r="H164">
        <v>7.0301428517245199</v>
      </c>
      <c r="I164">
        <v>0.53621518552584801</v>
      </c>
      <c r="J164">
        <v>7.6736323930710002</v>
      </c>
      <c r="K164">
        <v>6.0577279149958496</v>
      </c>
      <c r="L164">
        <v>0.44286991923153401</v>
      </c>
      <c r="M164">
        <v>0.31451542714890002</v>
      </c>
      <c r="N164">
        <v>4.73223876953125</v>
      </c>
      <c r="O164">
        <v>0.35045555498921899</v>
      </c>
      <c r="P164" t="s">
        <v>90</v>
      </c>
    </row>
    <row r="165" spans="1:16" x14ac:dyDescent="0.6">
      <c r="A165" t="s">
        <v>441</v>
      </c>
      <c r="B165">
        <v>30</v>
      </c>
      <c r="C165" t="s">
        <v>6</v>
      </c>
      <c r="D165" t="s">
        <v>177</v>
      </c>
      <c r="E165">
        <v>1</v>
      </c>
      <c r="F165" t="s">
        <v>442</v>
      </c>
      <c r="G165">
        <v>8.9872580356921397</v>
      </c>
      <c r="H165">
        <v>7.2062455314462897</v>
      </c>
      <c r="I165">
        <v>0.55084200822204898</v>
      </c>
      <c r="J165">
        <v>6.9798013124620901</v>
      </c>
      <c r="K165">
        <v>5.4144891535194102</v>
      </c>
      <c r="L165">
        <v>0.39583638770285101</v>
      </c>
      <c r="M165">
        <v>0.26082164329086599</v>
      </c>
      <c r="N165">
        <v>4.73431396484375</v>
      </c>
      <c r="O165">
        <v>0.34857923244910199</v>
      </c>
      <c r="P165" t="s">
        <v>93</v>
      </c>
    </row>
    <row r="166" spans="1:16" x14ac:dyDescent="0.6">
      <c r="A166" t="s">
        <v>443</v>
      </c>
      <c r="B166">
        <v>10</v>
      </c>
      <c r="C166" t="s">
        <v>6</v>
      </c>
      <c r="D166" t="s">
        <v>181</v>
      </c>
      <c r="E166">
        <v>1</v>
      </c>
      <c r="F166" t="s">
        <v>444</v>
      </c>
      <c r="G166">
        <v>8.7928004292582091</v>
      </c>
      <c r="H166">
        <v>7.0328106312010901</v>
      </c>
      <c r="I166">
        <v>0.53645452196939503</v>
      </c>
      <c r="J166">
        <v>7.1184178013132504</v>
      </c>
      <c r="K166">
        <v>5.4285737434319596</v>
      </c>
      <c r="L166">
        <v>0.39803273332605699</v>
      </c>
      <c r="M166">
        <v>0.27318807543470303</v>
      </c>
      <c r="N166">
        <v>4.74505615234375</v>
      </c>
      <c r="O166">
        <v>0.34974935026482301</v>
      </c>
      <c r="P166" t="s">
        <v>90</v>
      </c>
    </row>
    <row r="167" spans="1:16" x14ac:dyDescent="0.6">
      <c r="A167" t="s">
        <v>445</v>
      </c>
      <c r="B167">
        <v>90</v>
      </c>
      <c r="C167" t="s">
        <v>6</v>
      </c>
      <c r="D167" t="s">
        <v>7</v>
      </c>
      <c r="E167">
        <v>1</v>
      </c>
      <c r="F167" t="s">
        <v>142</v>
      </c>
      <c r="G167" s="13">
        <v>7.1817983365045803</v>
      </c>
      <c r="H167" s="13">
        <v>5.6679317589962102</v>
      </c>
      <c r="I167" s="13">
        <v>0.44214617009805801</v>
      </c>
      <c r="J167" s="13">
        <v>7.3646177135076796</v>
      </c>
      <c r="K167" s="13">
        <v>5.6495085415774797</v>
      </c>
      <c r="L167" s="13">
        <v>0.41088423851464601</v>
      </c>
      <c r="M167">
        <v>0.28858870310324397</v>
      </c>
      <c r="N167">
        <v>4.7451171875</v>
      </c>
      <c r="O167" s="13">
        <v>0.34456918415495102</v>
      </c>
      <c r="P167" t="s">
        <v>114</v>
      </c>
    </row>
    <row r="168" spans="1:16" x14ac:dyDescent="0.6">
      <c r="A168" t="s">
        <v>446</v>
      </c>
      <c r="B168">
        <v>20</v>
      </c>
      <c r="C168" t="s">
        <v>92</v>
      </c>
      <c r="D168" t="s">
        <v>88</v>
      </c>
      <c r="E168">
        <v>1</v>
      </c>
      <c r="F168" t="s">
        <v>103</v>
      </c>
      <c r="G168">
        <v>8.6972710000000006</v>
      </c>
      <c r="H168">
        <v>6.9969169999999998</v>
      </c>
      <c r="I168">
        <v>0.53404499999999999</v>
      </c>
      <c r="J168">
        <v>7.0836389999999998</v>
      </c>
      <c r="K168">
        <v>5.4940230000000003</v>
      </c>
      <c r="L168">
        <v>0.40163100000000002</v>
      </c>
      <c r="M168">
        <v>0.2681</v>
      </c>
      <c r="N168">
        <v>4.7504270000000002</v>
      </c>
      <c r="O168">
        <v>0.34342899999999998</v>
      </c>
      <c r="P168" t="s">
        <v>90</v>
      </c>
    </row>
    <row r="169" spans="1:16" x14ac:dyDescent="0.6">
      <c r="A169" t="s">
        <v>447</v>
      </c>
      <c r="B169">
        <v>10</v>
      </c>
      <c r="C169" t="s">
        <v>9</v>
      </c>
      <c r="D169" t="s">
        <v>174</v>
      </c>
      <c r="E169">
        <v>1</v>
      </c>
      <c r="F169" t="s">
        <v>448</v>
      </c>
      <c r="G169">
        <v>8.7251405323963596</v>
      </c>
      <c r="H169">
        <v>7.0472062745245303</v>
      </c>
      <c r="I169">
        <v>0.53754359428424003</v>
      </c>
      <c r="J169">
        <v>7.3395361896145204</v>
      </c>
      <c r="K169">
        <v>5.7080726285951302</v>
      </c>
      <c r="L169">
        <v>0.417446536240352</v>
      </c>
      <c r="M169">
        <v>0.28775461404457303</v>
      </c>
      <c r="N169">
        <v>4.7537841796875</v>
      </c>
      <c r="O169">
        <v>0.35221969897114402</v>
      </c>
      <c r="P169" t="s">
        <v>90</v>
      </c>
    </row>
    <row r="170" spans="1:16" x14ac:dyDescent="0.6">
      <c r="A170" t="s">
        <v>449</v>
      </c>
      <c r="B170">
        <v>90</v>
      </c>
      <c r="C170" t="s">
        <v>6</v>
      </c>
      <c r="D170" t="s">
        <v>174</v>
      </c>
      <c r="E170">
        <v>1</v>
      </c>
      <c r="F170" t="s">
        <v>450</v>
      </c>
      <c r="G170">
        <v>6.9787853750523796</v>
      </c>
      <c r="H170">
        <v>5.5637502959280303</v>
      </c>
      <c r="I170">
        <v>0.43382506901921503</v>
      </c>
      <c r="J170">
        <v>7.2350759899235904</v>
      </c>
      <c r="K170">
        <v>5.5138156838613002</v>
      </c>
      <c r="L170">
        <v>0.40101829345992102</v>
      </c>
      <c r="M170">
        <v>0.27836455007248201</v>
      </c>
      <c r="N170">
        <v>4.75689697265625</v>
      </c>
      <c r="O170">
        <v>0.34506292345711898</v>
      </c>
      <c r="P170" t="s">
        <v>114</v>
      </c>
    </row>
    <row r="171" spans="1:16" x14ac:dyDescent="0.6">
      <c r="A171" t="s">
        <v>451</v>
      </c>
      <c r="B171">
        <v>60</v>
      </c>
      <c r="C171" t="s">
        <v>6</v>
      </c>
      <c r="D171" t="s">
        <v>7</v>
      </c>
      <c r="E171">
        <v>1</v>
      </c>
      <c r="F171" t="s">
        <v>159</v>
      </c>
      <c r="G171" s="13">
        <v>8.4227743809161897</v>
      </c>
      <c r="H171" s="13">
        <v>6.7781490284007901</v>
      </c>
      <c r="I171" s="13">
        <v>0.52416896339033703</v>
      </c>
      <c r="J171" s="13">
        <v>7.64761302942697</v>
      </c>
      <c r="K171">
        <v>5.8081255826083096</v>
      </c>
      <c r="L171" s="13">
        <v>0.42361236748120401</v>
      </c>
      <c r="M171">
        <v>0.31321900543304299</v>
      </c>
      <c r="N171">
        <v>4.75750732421875</v>
      </c>
      <c r="O171" s="13">
        <v>0.349641073896789</v>
      </c>
      <c r="P171" t="s">
        <v>135</v>
      </c>
    </row>
    <row r="172" spans="1:16" x14ac:dyDescent="0.6">
      <c r="A172" t="s">
        <v>452</v>
      </c>
      <c r="B172">
        <v>10</v>
      </c>
      <c r="C172" t="s">
        <v>92</v>
      </c>
      <c r="D172" t="s">
        <v>88</v>
      </c>
      <c r="E172">
        <v>1</v>
      </c>
      <c r="F172" t="s">
        <v>116</v>
      </c>
      <c r="G172">
        <v>8.7073999999999998</v>
      </c>
      <c r="H172">
        <v>6.9808899999999996</v>
      </c>
      <c r="I172">
        <v>0.53244000000000002</v>
      </c>
      <c r="J172">
        <v>7.1488699999999996</v>
      </c>
      <c r="K172">
        <v>5.4943720000000003</v>
      </c>
      <c r="L172">
        <v>0.402252</v>
      </c>
      <c r="M172">
        <v>0.2742</v>
      </c>
      <c r="N172">
        <v>4.7616579999999997</v>
      </c>
      <c r="O172">
        <v>0.35395199999999999</v>
      </c>
      <c r="P172" t="s">
        <v>90</v>
      </c>
    </row>
    <row r="173" spans="1:16" x14ac:dyDescent="0.6">
      <c r="A173" t="s">
        <v>453</v>
      </c>
      <c r="B173">
        <v>10</v>
      </c>
      <c r="C173" t="s">
        <v>9</v>
      </c>
      <c r="D173" t="s">
        <v>167</v>
      </c>
      <c r="E173">
        <v>1</v>
      </c>
      <c r="F173" t="s">
        <v>239</v>
      </c>
      <c r="G173">
        <v>8.7499056145477496</v>
      </c>
      <c r="H173">
        <v>7.0042934964325196</v>
      </c>
      <c r="I173">
        <v>0.53419181357830503</v>
      </c>
      <c r="J173">
        <v>7.2537872446932798</v>
      </c>
      <c r="K173">
        <v>5.5576533764864404</v>
      </c>
      <c r="L173">
        <v>0.407546010856768</v>
      </c>
      <c r="M173">
        <v>0.283884721386781</v>
      </c>
      <c r="N173">
        <v>4.76275634765625</v>
      </c>
      <c r="O173">
        <v>0.35536452389761197</v>
      </c>
      <c r="P173" t="s">
        <v>90</v>
      </c>
    </row>
    <row r="174" spans="1:16" x14ac:dyDescent="0.6">
      <c r="A174" t="s">
        <v>454</v>
      </c>
      <c r="B174">
        <v>60</v>
      </c>
      <c r="C174" t="s">
        <v>9</v>
      </c>
      <c r="D174" t="s">
        <v>171</v>
      </c>
      <c r="E174">
        <v>1</v>
      </c>
      <c r="F174" t="s">
        <v>455</v>
      </c>
      <c r="G174">
        <v>8.5101380933122392</v>
      </c>
      <c r="H174">
        <v>6.8405174003852496</v>
      </c>
      <c r="I174">
        <v>0.52892139212356803</v>
      </c>
      <c r="J174">
        <v>7.54626779721458</v>
      </c>
      <c r="K174">
        <v>5.8844521262428904</v>
      </c>
      <c r="L174">
        <v>0.42830052535298102</v>
      </c>
      <c r="M174">
        <v>0.30261386437443399</v>
      </c>
      <c r="N174">
        <v>4.76800537109375</v>
      </c>
      <c r="O174">
        <v>0.34497756898159698</v>
      </c>
      <c r="P174" t="s">
        <v>135</v>
      </c>
    </row>
    <row r="175" spans="1:16" x14ac:dyDescent="0.6">
      <c r="A175" t="s">
        <v>456</v>
      </c>
      <c r="B175">
        <v>10</v>
      </c>
      <c r="C175" t="s">
        <v>92</v>
      </c>
      <c r="D175" t="s">
        <v>8</v>
      </c>
      <c r="E175">
        <v>1</v>
      </c>
      <c r="F175" t="s">
        <v>104</v>
      </c>
      <c r="G175">
        <v>8.6712380000000007</v>
      </c>
      <c r="H175">
        <v>6.9364549999999996</v>
      </c>
      <c r="I175">
        <v>0.52906200000000003</v>
      </c>
      <c r="J175">
        <v>7.0868869999999999</v>
      </c>
      <c r="K175">
        <v>5.4353389999999999</v>
      </c>
      <c r="L175">
        <v>0.398316</v>
      </c>
      <c r="M175">
        <v>0.2702</v>
      </c>
      <c r="N175">
        <v>4.7739260000000003</v>
      </c>
      <c r="O175">
        <v>0.35355300000000001</v>
      </c>
      <c r="P175" t="s">
        <v>90</v>
      </c>
    </row>
    <row r="176" spans="1:16" x14ac:dyDescent="0.6">
      <c r="A176" t="s">
        <v>457</v>
      </c>
      <c r="B176">
        <v>60</v>
      </c>
      <c r="C176" t="s">
        <v>92</v>
      </c>
      <c r="D176" t="s">
        <v>177</v>
      </c>
      <c r="E176">
        <v>1</v>
      </c>
      <c r="F176" t="s">
        <v>458</v>
      </c>
      <c r="G176">
        <v>8.45611977723288</v>
      </c>
      <c r="H176">
        <v>6.8436202164534601</v>
      </c>
      <c r="I176">
        <v>0.52921683018643295</v>
      </c>
      <c r="J176">
        <v>7.3231435715426496</v>
      </c>
      <c r="K176">
        <v>5.6495555530894803</v>
      </c>
      <c r="L176">
        <v>0.41140818053238398</v>
      </c>
      <c r="M176">
        <v>0.28557285003386101</v>
      </c>
      <c r="N176">
        <v>4.7750244140625</v>
      </c>
      <c r="O176">
        <v>0.347665050761577</v>
      </c>
      <c r="P176" t="s">
        <v>135</v>
      </c>
    </row>
    <row r="177" spans="1:16" x14ac:dyDescent="0.6">
      <c r="A177" t="s">
        <v>459</v>
      </c>
      <c r="B177">
        <v>60</v>
      </c>
      <c r="C177" t="s">
        <v>9</v>
      </c>
      <c r="D177" t="s">
        <v>174</v>
      </c>
      <c r="E177">
        <v>1</v>
      </c>
      <c r="F177" t="s">
        <v>202</v>
      </c>
      <c r="G177">
        <v>8.5579672302040493</v>
      </c>
      <c r="H177">
        <v>6.9921169071407103</v>
      </c>
      <c r="I177">
        <v>0.54077751454273404</v>
      </c>
      <c r="J177">
        <v>7.4022491320757302</v>
      </c>
      <c r="K177">
        <v>5.6577973799272003</v>
      </c>
      <c r="L177">
        <v>0.41224095624104301</v>
      </c>
      <c r="M177">
        <v>0.29280848898636297</v>
      </c>
      <c r="N177">
        <v>4.776123046875</v>
      </c>
      <c r="O177">
        <v>0.34587998503832701</v>
      </c>
      <c r="P177" t="s">
        <v>135</v>
      </c>
    </row>
    <row r="178" spans="1:16" x14ac:dyDescent="0.6">
      <c r="A178" t="s">
        <v>460</v>
      </c>
      <c r="B178">
        <v>30</v>
      </c>
      <c r="C178" t="s">
        <v>92</v>
      </c>
      <c r="D178" t="s">
        <v>8</v>
      </c>
      <c r="E178">
        <v>1</v>
      </c>
      <c r="F178" t="s">
        <v>145</v>
      </c>
      <c r="G178">
        <v>8.8409189999999995</v>
      </c>
      <c r="H178">
        <v>7.1143619999999999</v>
      </c>
      <c r="I178">
        <v>0.54365799999999997</v>
      </c>
      <c r="J178">
        <v>7.3824569999999996</v>
      </c>
      <c r="K178">
        <v>5.7939259999999999</v>
      </c>
      <c r="L178">
        <v>0.42299999999999999</v>
      </c>
      <c r="M178">
        <v>0.2903</v>
      </c>
      <c r="N178">
        <v>4.7860719999999999</v>
      </c>
      <c r="O178">
        <v>0.34620400000000001</v>
      </c>
      <c r="P178" t="s">
        <v>93</v>
      </c>
    </row>
    <row r="179" spans="1:16" x14ac:dyDescent="0.6">
      <c r="A179" t="s">
        <v>461</v>
      </c>
      <c r="B179">
        <v>30</v>
      </c>
      <c r="C179" t="s">
        <v>9</v>
      </c>
      <c r="D179" t="s">
        <v>181</v>
      </c>
      <c r="E179">
        <v>1</v>
      </c>
      <c r="F179" t="s">
        <v>462</v>
      </c>
      <c r="G179">
        <v>8.8991461628525403</v>
      </c>
      <c r="H179">
        <v>7.2642000549675698</v>
      </c>
      <c r="I179">
        <v>0.55503529068433499</v>
      </c>
      <c r="J179">
        <v>7.6559406937640704</v>
      </c>
      <c r="K179">
        <v>6.1104576333055203</v>
      </c>
      <c r="L179">
        <v>0.44575702008327101</v>
      </c>
      <c r="M179">
        <v>0.31150548917759202</v>
      </c>
      <c r="N179">
        <v>4.8057861328125</v>
      </c>
      <c r="O179">
        <v>0.35668302215224201</v>
      </c>
      <c r="P179" t="s">
        <v>93</v>
      </c>
    </row>
    <row r="180" spans="1:16" x14ac:dyDescent="0.6">
      <c r="A180" t="s">
        <v>463</v>
      </c>
      <c r="B180">
        <v>20</v>
      </c>
      <c r="C180" t="s">
        <v>99</v>
      </c>
      <c r="D180" t="s">
        <v>7</v>
      </c>
      <c r="E180">
        <v>1</v>
      </c>
      <c r="F180" t="s">
        <v>100</v>
      </c>
      <c r="G180">
        <v>8.6930429999999994</v>
      </c>
      <c r="H180">
        <v>6.9213950000000004</v>
      </c>
      <c r="I180">
        <v>0.52815900000000005</v>
      </c>
      <c r="J180">
        <v>7.0688050000000002</v>
      </c>
      <c r="K180">
        <v>5.4607749999999999</v>
      </c>
      <c r="L180">
        <v>0.39980300000000002</v>
      </c>
      <c r="M180">
        <v>0.26840000000000003</v>
      </c>
      <c r="N180">
        <v>4.8067019999999996</v>
      </c>
      <c r="O180">
        <v>0.34881099999999998</v>
      </c>
      <c r="P180" t="s">
        <v>90</v>
      </c>
    </row>
    <row r="181" spans="1:16" x14ac:dyDescent="0.6">
      <c r="A181" t="s">
        <v>464</v>
      </c>
      <c r="B181">
        <v>60</v>
      </c>
      <c r="C181" t="s">
        <v>6</v>
      </c>
      <c r="D181" t="s">
        <v>8</v>
      </c>
      <c r="E181">
        <v>1</v>
      </c>
      <c r="F181" t="s">
        <v>152</v>
      </c>
      <c r="G181" s="13">
        <v>8.4546367438248797</v>
      </c>
      <c r="H181" s="13">
        <v>6.7967955201536698</v>
      </c>
      <c r="I181" s="13">
        <v>0.52560094765660204</v>
      </c>
      <c r="J181" s="13">
        <v>7.5197311902796899</v>
      </c>
      <c r="K181" s="13">
        <v>5.7225223888050403</v>
      </c>
      <c r="L181" s="13">
        <v>0.417181750445344</v>
      </c>
      <c r="M181">
        <v>0.30258052650601697</v>
      </c>
      <c r="N181">
        <v>4.81048583984375</v>
      </c>
      <c r="O181" s="13">
        <v>0.34794145670430998</v>
      </c>
      <c r="P181" t="s">
        <v>135</v>
      </c>
    </row>
    <row r="182" spans="1:16" x14ac:dyDescent="0.6">
      <c r="A182" t="s">
        <v>465</v>
      </c>
      <c r="B182">
        <v>90</v>
      </c>
      <c r="C182" t="s">
        <v>92</v>
      </c>
      <c r="D182" t="s">
        <v>181</v>
      </c>
      <c r="E182">
        <v>1</v>
      </c>
      <c r="F182" t="s">
        <v>466</v>
      </c>
      <c r="G182">
        <v>6.9960574108104003</v>
      </c>
      <c r="H182">
        <v>5.53389300722064</v>
      </c>
      <c r="I182">
        <v>0.431737190783477</v>
      </c>
      <c r="J182">
        <v>7.3029645210249399</v>
      </c>
      <c r="K182">
        <v>5.5629180490154102</v>
      </c>
      <c r="L182">
        <v>0.40486600115916499</v>
      </c>
      <c r="M182">
        <v>0.28436727033558301</v>
      </c>
      <c r="N182">
        <v>4.81304931640625</v>
      </c>
      <c r="O182">
        <v>0.34186826066634102</v>
      </c>
      <c r="P182" t="s">
        <v>114</v>
      </c>
    </row>
    <row r="183" spans="1:16" x14ac:dyDescent="0.6">
      <c r="A183" t="s">
        <v>356</v>
      </c>
      <c r="B183">
        <v>5</v>
      </c>
      <c r="C183" t="s">
        <v>6</v>
      </c>
      <c r="D183" t="s">
        <v>184</v>
      </c>
      <c r="E183">
        <v>1</v>
      </c>
      <c r="F183" t="s">
        <v>357</v>
      </c>
      <c r="G183">
        <v>8.7362821150911305</v>
      </c>
      <c r="H183">
        <v>6.9534979219869397</v>
      </c>
      <c r="I183">
        <v>0.53045984220599496</v>
      </c>
      <c r="J183">
        <v>7.1763785188424301</v>
      </c>
      <c r="K183">
        <v>5.4287067099567103</v>
      </c>
      <c r="L183">
        <v>0.39859199766475101</v>
      </c>
      <c r="M183">
        <v>0.27840726973459001</v>
      </c>
      <c r="N183">
        <v>4.60400390625</v>
      </c>
      <c r="O183">
        <v>0.337476435361869</v>
      </c>
      <c r="P183" t="s">
        <v>90</v>
      </c>
    </row>
    <row r="184" spans="1:16" x14ac:dyDescent="0.6">
      <c r="A184" t="s">
        <v>468</v>
      </c>
      <c r="B184">
        <v>60</v>
      </c>
      <c r="C184" t="s">
        <v>9</v>
      </c>
      <c r="D184" t="s">
        <v>177</v>
      </c>
      <c r="E184">
        <v>1</v>
      </c>
      <c r="F184" t="s">
        <v>469</v>
      </c>
      <c r="G184">
        <v>8.3916550202199502</v>
      </c>
      <c r="H184">
        <v>6.8334509880988099</v>
      </c>
      <c r="I184">
        <v>0.52800674555390703</v>
      </c>
      <c r="J184">
        <v>7.37626180038394</v>
      </c>
      <c r="K184">
        <v>5.6494709361683197</v>
      </c>
      <c r="L184">
        <v>0.41165577686693999</v>
      </c>
      <c r="M184">
        <v>0.29004984907526199</v>
      </c>
      <c r="N184">
        <v>4.81903076171875</v>
      </c>
      <c r="O184">
        <v>0.35215536061831498</v>
      </c>
      <c r="P184" t="s">
        <v>135</v>
      </c>
    </row>
    <row r="185" spans="1:16" x14ac:dyDescent="0.6">
      <c r="A185" t="s">
        <v>470</v>
      </c>
      <c r="B185">
        <v>20</v>
      </c>
      <c r="C185" t="s">
        <v>9</v>
      </c>
      <c r="D185" t="s">
        <v>8</v>
      </c>
      <c r="E185">
        <v>1</v>
      </c>
      <c r="F185" t="s">
        <v>97</v>
      </c>
      <c r="G185" s="13">
        <v>8.6669084631691398</v>
      </c>
      <c r="H185" s="13">
        <v>6.9536505306468204</v>
      </c>
      <c r="I185" s="13">
        <v>0.53038521894520296</v>
      </c>
      <c r="J185" s="13">
        <v>6.9988769277651004</v>
      </c>
      <c r="K185" s="13">
        <v>5.3779223406756298</v>
      </c>
      <c r="L185" s="13">
        <v>0.39357667406389801</v>
      </c>
      <c r="M185">
        <v>0.26266763540183202</v>
      </c>
      <c r="N185">
        <v>4.82080078125</v>
      </c>
      <c r="O185" s="13">
        <v>0.35856878623634098</v>
      </c>
      <c r="P185" t="s">
        <v>90</v>
      </c>
    </row>
    <row r="186" spans="1:16" x14ac:dyDescent="0.6">
      <c r="A186" t="s">
        <v>471</v>
      </c>
      <c r="B186">
        <v>20</v>
      </c>
      <c r="C186" t="s">
        <v>99</v>
      </c>
      <c r="D186" t="s">
        <v>174</v>
      </c>
      <c r="E186">
        <v>1</v>
      </c>
      <c r="F186" t="s">
        <v>472</v>
      </c>
      <c r="G186">
        <v>8.6907892198157803</v>
      </c>
      <c r="H186">
        <v>6.9767812353265803</v>
      </c>
      <c r="I186">
        <v>0.53262794261620905</v>
      </c>
      <c r="J186">
        <v>7.1590788883339096</v>
      </c>
      <c r="K186">
        <v>5.5988294813368</v>
      </c>
      <c r="L186">
        <v>0.40915770507754101</v>
      </c>
      <c r="M186">
        <v>0.27363082178873299</v>
      </c>
      <c r="N186">
        <v>4.8211669921875</v>
      </c>
      <c r="O186">
        <v>0.35089346536636701</v>
      </c>
      <c r="P186" t="s">
        <v>90</v>
      </c>
    </row>
    <row r="187" spans="1:16" x14ac:dyDescent="0.6">
      <c r="A187" t="s">
        <v>473</v>
      </c>
      <c r="B187">
        <v>30</v>
      </c>
      <c r="C187" t="s">
        <v>99</v>
      </c>
      <c r="D187" t="s">
        <v>181</v>
      </c>
      <c r="E187">
        <v>1</v>
      </c>
      <c r="F187" t="s">
        <v>474</v>
      </c>
      <c r="G187">
        <v>8.8110462843122903</v>
      </c>
      <c r="H187">
        <v>7.0888984237427</v>
      </c>
      <c r="I187">
        <v>0.54163860229384897</v>
      </c>
      <c r="J187">
        <v>7.2015741183594502</v>
      </c>
      <c r="K187">
        <v>5.4982489428473897</v>
      </c>
      <c r="L187">
        <v>0.401961006605496</v>
      </c>
      <c r="M187">
        <v>0.277904134572794</v>
      </c>
      <c r="N187">
        <v>4.825439453125</v>
      </c>
      <c r="O187">
        <v>0.35399384259641598</v>
      </c>
      <c r="P187" t="s">
        <v>93</v>
      </c>
    </row>
    <row r="188" spans="1:16" x14ac:dyDescent="0.6">
      <c r="A188" t="s">
        <v>475</v>
      </c>
      <c r="B188">
        <v>60</v>
      </c>
      <c r="C188" t="s">
        <v>6</v>
      </c>
      <c r="D188" t="s">
        <v>181</v>
      </c>
      <c r="E188">
        <v>1</v>
      </c>
      <c r="F188" t="s">
        <v>476</v>
      </c>
      <c r="G188">
        <v>8.5012392623478306</v>
      </c>
      <c r="H188">
        <v>6.8809406154758301</v>
      </c>
      <c r="I188">
        <v>0.53203447111958102</v>
      </c>
      <c r="J188">
        <v>7.30784420965343</v>
      </c>
      <c r="K188">
        <v>5.6755794178355803</v>
      </c>
      <c r="L188">
        <v>0.412918643932984</v>
      </c>
      <c r="M188">
        <v>0.28358682077658803</v>
      </c>
      <c r="N188">
        <v>4.83056640625</v>
      </c>
      <c r="O188">
        <v>0.35216855020230198</v>
      </c>
      <c r="P188" t="s">
        <v>135</v>
      </c>
    </row>
    <row r="189" spans="1:16" x14ac:dyDescent="0.6">
      <c r="A189" t="s">
        <v>477</v>
      </c>
      <c r="B189">
        <v>90</v>
      </c>
      <c r="C189" t="s">
        <v>9</v>
      </c>
      <c r="D189" t="s">
        <v>184</v>
      </c>
      <c r="E189">
        <v>1</v>
      </c>
      <c r="F189" t="s">
        <v>279</v>
      </c>
      <c r="G189">
        <v>7.1091731673947098</v>
      </c>
      <c r="H189">
        <v>5.6164828213778399</v>
      </c>
      <c r="I189">
        <v>0.43861545904206101</v>
      </c>
      <c r="J189">
        <v>7.3784115958374699</v>
      </c>
      <c r="K189">
        <v>5.6676100639447702</v>
      </c>
      <c r="L189">
        <v>0.41246891827340798</v>
      </c>
      <c r="M189">
        <v>0.29007639683795799</v>
      </c>
      <c r="N189">
        <v>4.85382080078125</v>
      </c>
      <c r="O189">
        <v>0.34834370254367197</v>
      </c>
      <c r="P189" t="s">
        <v>114</v>
      </c>
    </row>
    <row r="190" spans="1:16" x14ac:dyDescent="0.6">
      <c r="A190" t="s">
        <v>478</v>
      </c>
      <c r="B190">
        <v>30</v>
      </c>
      <c r="C190" t="s">
        <v>9</v>
      </c>
      <c r="D190" t="s">
        <v>184</v>
      </c>
      <c r="E190">
        <v>1</v>
      </c>
      <c r="F190" t="s">
        <v>479</v>
      </c>
      <c r="G190">
        <v>8.9456934502875995</v>
      </c>
      <c r="H190">
        <v>7.1996250393212096</v>
      </c>
      <c r="I190">
        <v>0.550249093754686</v>
      </c>
      <c r="J190">
        <v>7.3475514076060398</v>
      </c>
      <c r="K190">
        <v>5.7964430133115901</v>
      </c>
      <c r="L190">
        <v>0.42306592490230899</v>
      </c>
      <c r="M190">
        <v>0.28750274999018499</v>
      </c>
      <c r="N190">
        <v>4.862060546875</v>
      </c>
      <c r="O190">
        <v>0.35609102374177898</v>
      </c>
      <c r="P190" t="s">
        <v>93</v>
      </c>
    </row>
    <row r="191" spans="1:16" x14ac:dyDescent="0.6">
      <c r="A191" t="s">
        <v>480</v>
      </c>
      <c r="B191">
        <v>60</v>
      </c>
      <c r="C191" t="s">
        <v>9</v>
      </c>
      <c r="D191" t="s">
        <v>88</v>
      </c>
      <c r="E191">
        <v>1</v>
      </c>
      <c r="F191" t="s">
        <v>162</v>
      </c>
      <c r="G191" s="13">
        <v>8.4964795513762503</v>
      </c>
      <c r="H191" s="13">
        <v>6.8499881618625498</v>
      </c>
      <c r="I191" s="13">
        <v>0.52963375338303997</v>
      </c>
      <c r="J191" s="13">
        <v>7.9697804515775603</v>
      </c>
      <c r="K191" s="13">
        <v>6.2817639437588699</v>
      </c>
      <c r="L191" s="13">
        <v>0.45642186443342198</v>
      </c>
      <c r="M191">
        <v>0.33579147461077596</v>
      </c>
      <c r="N191">
        <v>4.86346435546875</v>
      </c>
      <c r="O191" s="13">
        <v>0.352021622832561</v>
      </c>
      <c r="P191" t="s">
        <v>135</v>
      </c>
    </row>
    <row r="192" spans="1:16" x14ac:dyDescent="0.6">
      <c r="A192" t="s">
        <v>481</v>
      </c>
      <c r="B192">
        <v>20</v>
      </c>
      <c r="C192" t="s">
        <v>9</v>
      </c>
      <c r="D192" t="s">
        <v>177</v>
      </c>
      <c r="E192">
        <v>1</v>
      </c>
      <c r="F192" t="s">
        <v>482</v>
      </c>
      <c r="G192">
        <v>8.6923914436300098</v>
      </c>
      <c r="H192">
        <v>6.9108248659411897</v>
      </c>
      <c r="I192">
        <v>0.52712663147449001</v>
      </c>
      <c r="J192">
        <v>7.1770669020604698</v>
      </c>
      <c r="K192">
        <v>5.5409432870370301</v>
      </c>
      <c r="L192">
        <v>0.40575503653005801</v>
      </c>
      <c r="M192">
        <v>0.27684675420888</v>
      </c>
      <c r="N192">
        <v>4.86456298828125</v>
      </c>
      <c r="O192">
        <v>0.35346825011495597</v>
      </c>
      <c r="P192" t="s">
        <v>90</v>
      </c>
    </row>
    <row r="193" spans="1:16" x14ac:dyDescent="0.6">
      <c r="A193" t="s">
        <v>483</v>
      </c>
      <c r="B193">
        <v>60</v>
      </c>
      <c r="C193" t="s">
        <v>99</v>
      </c>
      <c r="D193" t="s">
        <v>177</v>
      </c>
      <c r="E193">
        <v>1</v>
      </c>
      <c r="F193" t="s">
        <v>484</v>
      </c>
      <c r="G193">
        <v>8.35493218463224</v>
      </c>
      <c r="H193">
        <v>6.8471704000955098</v>
      </c>
      <c r="I193">
        <v>0.52924593685908305</v>
      </c>
      <c r="J193">
        <v>7.3469796233474902</v>
      </c>
      <c r="K193">
        <v>5.6367152820933901</v>
      </c>
      <c r="L193">
        <v>0.41066738992697299</v>
      </c>
      <c r="M193">
        <v>0.287759521678638</v>
      </c>
      <c r="N193">
        <v>4.87017822265625</v>
      </c>
      <c r="O193">
        <v>0.35273478554103399</v>
      </c>
      <c r="P193" t="s">
        <v>135</v>
      </c>
    </row>
    <row r="194" spans="1:16" x14ac:dyDescent="0.6">
      <c r="A194" t="s">
        <v>485</v>
      </c>
      <c r="B194">
        <v>60</v>
      </c>
      <c r="C194" t="s">
        <v>99</v>
      </c>
      <c r="D194" t="s">
        <v>184</v>
      </c>
      <c r="E194">
        <v>1</v>
      </c>
      <c r="F194" t="s">
        <v>486</v>
      </c>
      <c r="G194">
        <v>8.43844576759526</v>
      </c>
      <c r="H194">
        <v>6.8093557672186202</v>
      </c>
      <c r="I194">
        <v>0.52672990391220198</v>
      </c>
      <c r="J194">
        <v>7.7454439846394001</v>
      </c>
      <c r="K194">
        <v>6.0763272372159003</v>
      </c>
      <c r="L194">
        <v>0.44181479734763102</v>
      </c>
      <c r="M194">
        <v>0.31773376668291603</v>
      </c>
      <c r="N194">
        <v>4.87310791015625</v>
      </c>
      <c r="O194">
        <v>0.35573152882837</v>
      </c>
      <c r="P194" t="s">
        <v>135</v>
      </c>
    </row>
    <row r="195" spans="1:16" x14ac:dyDescent="0.6">
      <c r="A195" t="s">
        <v>487</v>
      </c>
      <c r="B195">
        <v>30</v>
      </c>
      <c r="C195" t="s">
        <v>6</v>
      </c>
      <c r="D195" t="s">
        <v>8</v>
      </c>
      <c r="E195">
        <v>1</v>
      </c>
      <c r="F195" t="s">
        <v>148</v>
      </c>
      <c r="G195" s="13">
        <v>8.9019591773170497</v>
      </c>
      <c r="H195" s="13">
        <v>7.1205688681895198</v>
      </c>
      <c r="I195" s="13">
        <v>0.54399636865956602</v>
      </c>
      <c r="J195" s="13">
        <v>7.4534726521353596</v>
      </c>
      <c r="K195" s="13">
        <v>5.6844968332827603</v>
      </c>
      <c r="L195" s="13">
        <v>0.41555569837169198</v>
      </c>
      <c r="M195">
        <v>0.297923999794178</v>
      </c>
      <c r="N195">
        <v>4.8734130859375</v>
      </c>
      <c r="O195">
        <v>0.35191326993736</v>
      </c>
      <c r="P195" t="s">
        <v>93</v>
      </c>
    </row>
    <row r="196" spans="1:16" x14ac:dyDescent="0.6">
      <c r="A196" t="s">
        <v>365</v>
      </c>
      <c r="B196">
        <v>5</v>
      </c>
      <c r="C196" t="s">
        <v>6</v>
      </c>
      <c r="D196" t="s">
        <v>8</v>
      </c>
      <c r="E196">
        <v>1</v>
      </c>
      <c r="F196" t="s">
        <v>115</v>
      </c>
      <c r="G196" s="13">
        <v>8.6961930600441004</v>
      </c>
      <c r="H196" s="13">
        <v>6.9890003081928302</v>
      </c>
      <c r="I196" s="13">
        <v>0.53325289059635905</v>
      </c>
      <c r="J196" s="13">
        <v>7.1444564286316004</v>
      </c>
      <c r="K196" s="13">
        <v>5.3940382127637898</v>
      </c>
      <c r="L196" s="13">
        <v>0.39588277358062901</v>
      </c>
      <c r="M196">
        <v>0.27593425972084501</v>
      </c>
      <c r="N196">
        <v>4.6175537109375</v>
      </c>
      <c r="O196" s="13">
        <v>0.338844693192139</v>
      </c>
      <c r="P196" t="s">
        <v>90</v>
      </c>
    </row>
    <row r="197" spans="1:16" x14ac:dyDescent="0.6">
      <c r="A197" t="s">
        <v>490</v>
      </c>
      <c r="B197">
        <v>30</v>
      </c>
      <c r="C197" t="s">
        <v>9</v>
      </c>
      <c r="D197" t="s">
        <v>8</v>
      </c>
      <c r="E197">
        <v>1</v>
      </c>
      <c r="F197" t="s">
        <v>142</v>
      </c>
      <c r="G197" s="13">
        <v>8.9341371463538</v>
      </c>
      <c r="H197" s="13">
        <v>7.18222605430147</v>
      </c>
      <c r="I197" s="13">
        <v>0.54882554776852699</v>
      </c>
      <c r="J197" s="13">
        <v>7.6305046082067403</v>
      </c>
      <c r="K197" s="13">
        <v>5.89081877180673</v>
      </c>
      <c r="L197" s="13">
        <v>0.429472085769944</v>
      </c>
      <c r="M197">
        <v>0.30891904762220601</v>
      </c>
      <c r="N197">
        <v>4.89654541015625</v>
      </c>
      <c r="O197" s="13">
        <v>0.36789645511561497</v>
      </c>
      <c r="P197" t="s">
        <v>93</v>
      </c>
    </row>
    <row r="198" spans="1:16" x14ac:dyDescent="0.6">
      <c r="A198" t="s">
        <v>491</v>
      </c>
      <c r="B198">
        <v>20</v>
      </c>
      <c r="C198" t="s">
        <v>9</v>
      </c>
      <c r="D198" t="s">
        <v>181</v>
      </c>
      <c r="E198">
        <v>1</v>
      </c>
      <c r="F198" t="s">
        <v>492</v>
      </c>
      <c r="G198">
        <v>8.7599004546532893</v>
      </c>
      <c r="H198">
        <v>7.0939811843130602</v>
      </c>
      <c r="I198">
        <v>0.54095334134578499</v>
      </c>
      <c r="J198">
        <v>7.1281889888302103</v>
      </c>
      <c r="K198">
        <v>5.5096119068286997</v>
      </c>
      <c r="L198">
        <v>0.40321809579413098</v>
      </c>
      <c r="M198">
        <v>0.27280504637108</v>
      </c>
      <c r="N198">
        <v>4.90338134765625</v>
      </c>
      <c r="O198">
        <v>0.35899666830147298</v>
      </c>
      <c r="P198" t="s">
        <v>90</v>
      </c>
    </row>
    <row r="199" spans="1:16" x14ac:dyDescent="0.6">
      <c r="A199" t="s">
        <v>493</v>
      </c>
      <c r="B199">
        <v>60</v>
      </c>
      <c r="C199" t="s">
        <v>99</v>
      </c>
      <c r="D199" t="s">
        <v>7</v>
      </c>
      <c r="E199">
        <v>1</v>
      </c>
      <c r="F199" t="s">
        <v>146</v>
      </c>
      <c r="G199">
        <v>8.5050179999999997</v>
      </c>
      <c r="H199">
        <v>6.8979920000000003</v>
      </c>
      <c r="I199">
        <v>0.53338200000000002</v>
      </c>
      <c r="J199">
        <v>7.4350009999999997</v>
      </c>
      <c r="K199">
        <v>5.7304399999999998</v>
      </c>
      <c r="L199">
        <v>0.41740500000000003</v>
      </c>
      <c r="M199">
        <v>0.29480000000000001</v>
      </c>
      <c r="N199">
        <v>4.920471</v>
      </c>
      <c r="O199">
        <v>0.36538900000000002</v>
      </c>
      <c r="P199" t="s">
        <v>135</v>
      </c>
    </row>
    <row r="200" spans="1:16" x14ac:dyDescent="0.6">
      <c r="A200" t="s">
        <v>494</v>
      </c>
      <c r="B200">
        <v>30</v>
      </c>
      <c r="C200" t="s">
        <v>9</v>
      </c>
      <c r="D200" t="s">
        <v>167</v>
      </c>
      <c r="E200">
        <v>1</v>
      </c>
      <c r="F200" t="s">
        <v>495</v>
      </c>
      <c r="G200">
        <v>9.0288617058515293</v>
      </c>
      <c r="H200">
        <v>7.2732422413998403</v>
      </c>
      <c r="I200">
        <v>0.55605312826123099</v>
      </c>
      <c r="J200">
        <v>7.5860740225330501</v>
      </c>
      <c r="K200">
        <v>5.9595176918992703</v>
      </c>
      <c r="L200">
        <v>0.434843067375556</v>
      </c>
      <c r="M200">
        <v>0.306127902829955</v>
      </c>
      <c r="N200">
        <v>4.92999267578125</v>
      </c>
      <c r="O200">
        <v>0.35561045297433203</v>
      </c>
      <c r="P200" t="s">
        <v>93</v>
      </c>
    </row>
    <row r="201" spans="1:16" x14ac:dyDescent="0.6">
      <c r="A201" t="s">
        <v>496</v>
      </c>
      <c r="B201">
        <v>60</v>
      </c>
      <c r="C201" t="s">
        <v>92</v>
      </c>
      <c r="D201" t="s">
        <v>88</v>
      </c>
      <c r="E201">
        <v>1</v>
      </c>
      <c r="F201" t="s">
        <v>140</v>
      </c>
      <c r="G201">
        <v>8.4562080000000002</v>
      </c>
      <c r="H201">
        <v>6.8272550000000001</v>
      </c>
      <c r="I201">
        <v>0.52789200000000003</v>
      </c>
      <c r="J201">
        <v>7.3331540000000004</v>
      </c>
      <c r="K201">
        <v>5.657025</v>
      </c>
      <c r="L201">
        <v>0.411939</v>
      </c>
      <c r="M201">
        <v>0.2863</v>
      </c>
      <c r="N201">
        <v>4.9416500000000001</v>
      </c>
      <c r="O201">
        <v>0.35875200000000002</v>
      </c>
      <c r="P201" t="s">
        <v>135</v>
      </c>
    </row>
    <row r="202" spans="1:16" x14ac:dyDescent="0.6">
      <c r="A202" t="s">
        <v>497</v>
      </c>
      <c r="B202">
        <v>60</v>
      </c>
      <c r="C202" t="s">
        <v>9</v>
      </c>
      <c r="D202" t="s">
        <v>181</v>
      </c>
      <c r="E202">
        <v>1</v>
      </c>
      <c r="F202" t="s">
        <v>498</v>
      </c>
      <c r="G202">
        <v>8.4275419344071594</v>
      </c>
      <c r="H202">
        <v>6.8962098006363703</v>
      </c>
      <c r="I202">
        <v>0.53325182268081095</v>
      </c>
      <c r="J202">
        <v>7.9026667244677</v>
      </c>
      <c r="K202">
        <v>6.26910192316228</v>
      </c>
      <c r="L202">
        <v>0.45541081717975301</v>
      </c>
      <c r="M202">
        <v>0.33001757237976403</v>
      </c>
      <c r="N202">
        <v>4.94244384765625</v>
      </c>
      <c r="O202">
        <v>0.35711145075657102</v>
      </c>
      <c r="P202" t="s">
        <v>135</v>
      </c>
    </row>
    <row r="203" spans="1:16" x14ac:dyDescent="0.6">
      <c r="A203" t="s">
        <v>499</v>
      </c>
      <c r="B203">
        <v>60</v>
      </c>
      <c r="C203" t="s">
        <v>99</v>
      </c>
      <c r="D203" t="s">
        <v>181</v>
      </c>
      <c r="E203">
        <v>1</v>
      </c>
      <c r="F203" t="s">
        <v>500</v>
      </c>
      <c r="G203">
        <v>8.4026799112959996</v>
      </c>
      <c r="H203">
        <v>6.7740459232539898</v>
      </c>
      <c r="I203">
        <v>0.52363805007484199</v>
      </c>
      <c r="J203">
        <v>7.26221736148542</v>
      </c>
      <c r="K203">
        <v>5.6549204046075996</v>
      </c>
      <c r="L203">
        <v>0.41162120498544202</v>
      </c>
      <c r="M203">
        <v>0.28053172886977101</v>
      </c>
      <c r="N203">
        <v>4.94586181640625</v>
      </c>
      <c r="O203">
        <v>0.36269718029901998</v>
      </c>
      <c r="P203" t="s">
        <v>135</v>
      </c>
    </row>
    <row r="204" spans="1:16" x14ac:dyDescent="0.6">
      <c r="A204" t="s">
        <v>501</v>
      </c>
      <c r="B204">
        <v>30</v>
      </c>
      <c r="C204" t="s">
        <v>9</v>
      </c>
      <c r="D204" t="s">
        <v>7</v>
      </c>
      <c r="E204">
        <v>1</v>
      </c>
      <c r="F204" t="s">
        <v>131</v>
      </c>
      <c r="G204" s="13">
        <v>8.8739930205350408</v>
      </c>
      <c r="H204" s="13">
        <v>7.1211096376205703</v>
      </c>
      <c r="I204" s="13">
        <v>0.54376340261262601</v>
      </c>
      <c r="J204" s="13">
        <v>7.2593668102643196</v>
      </c>
      <c r="K204" s="13">
        <v>5.6277566557948999</v>
      </c>
      <c r="L204" s="13">
        <v>0.41086201470158601</v>
      </c>
      <c r="M204">
        <v>0.281065693167936</v>
      </c>
      <c r="N204">
        <v>4.9595947265625</v>
      </c>
      <c r="O204" s="13">
        <v>0.35968189239605097</v>
      </c>
      <c r="P204" t="s">
        <v>93</v>
      </c>
    </row>
    <row r="205" spans="1:16" x14ac:dyDescent="0.6">
      <c r="A205" t="s">
        <v>502</v>
      </c>
      <c r="B205">
        <v>60</v>
      </c>
      <c r="C205" t="s">
        <v>99</v>
      </c>
      <c r="D205" t="s">
        <v>8</v>
      </c>
      <c r="E205">
        <v>1</v>
      </c>
      <c r="F205" t="s">
        <v>147</v>
      </c>
      <c r="G205">
        <v>8.3207690000000003</v>
      </c>
      <c r="H205">
        <v>6.7146280000000003</v>
      </c>
      <c r="I205">
        <v>0.51918600000000004</v>
      </c>
      <c r="J205">
        <v>7.4376990000000003</v>
      </c>
      <c r="K205">
        <v>5.6944710000000001</v>
      </c>
      <c r="L205">
        <v>0.41458800000000001</v>
      </c>
      <c r="M205">
        <v>0.29450000000000004</v>
      </c>
      <c r="N205">
        <v>4.959778</v>
      </c>
      <c r="O205">
        <v>0.34940700000000002</v>
      </c>
      <c r="P205" t="s">
        <v>135</v>
      </c>
    </row>
    <row r="206" spans="1:16" x14ac:dyDescent="0.6">
      <c r="A206" t="s">
        <v>503</v>
      </c>
      <c r="B206">
        <v>90</v>
      </c>
      <c r="C206" t="s">
        <v>9</v>
      </c>
      <c r="D206" t="s">
        <v>174</v>
      </c>
      <c r="E206">
        <v>1</v>
      </c>
      <c r="F206" t="s">
        <v>504</v>
      </c>
      <c r="G206">
        <v>6.9628105548455199</v>
      </c>
      <c r="H206">
        <v>5.5185713334516997</v>
      </c>
      <c r="I206">
        <v>0.43025861526637099</v>
      </c>
      <c r="J206">
        <v>7.69863226859691</v>
      </c>
      <c r="K206">
        <v>5.9821116826305598</v>
      </c>
      <c r="L206">
        <v>0.43451663128978602</v>
      </c>
      <c r="M206">
        <v>0.31373632310565203</v>
      </c>
      <c r="N206">
        <v>4.9730224609375</v>
      </c>
      <c r="O206">
        <v>0.35725420148611398</v>
      </c>
      <c r="P206" t="s">
        <v>114</v>
      </c>
    </row>
    <row r="207" spans="1:16" x14ac:dyDescent="0.6">
      <c r="A207" t="s">
        <v>505</v>
      </c>
      <c r="B207">
        <v>90</v>
      </c>
      <c r="C207" t="s">
        <v>99</v>
      </c>
      <c r="D207" t="s">
        <v>88</v>
      </c>
      <c r="E207">
        <v>1</v>
      </c>
      <c r="F207" t="s">
        <v>163</v>
      </c>
      <c r="G207">
        <v>6.8807119999999999</v>
      </c>
      <c r="H207">
        <v>5.5028059999999996</v>
      </c>
      <c r="I207">
        <v>0.42892799999999998</v>
      </c>
      <c r="J207">
        <v>8.0426500000000001</v>
      </c>
      <c r="K207">
        <v>6.2709910000000004</v>
      </c>
      <c r="L207">
        <v>0.454932</v>
      </c>
      <c r="M207">
        <v>0.34099999999999997</v>
      </c>
      <c r="N207">
        <v>4.9745480000000004</v>
      </c>
      <c r="O207">
        <v>0.35916199999999998</v>
      </c>
      <c r="P207" t="s">
        <v>114</v>
      </c>
    </row>
    <row r="208" spans="1:16" x14ac:dyDescent="0.6">
      <c r="A208" t="s">
        <v>378</v>
      </c>
      <c r="B208">
        <v>5</v>
      </c>
      <c r="C208" t="s">
        <v>6</v>
      </c>
      <c r="D208" t="s">
        <v>167</v>
      </c>
      <c r="E208">
        <v>1</v>
      </c>
      <c r="F208" t="s">
        <v>364</v>
      </c>
      <c r="G208">
        <v>8.7512522035991793</v>
      </c>
      <c r="H208">
        <v>7.0562089907802203</v>
      </c>
      <c r="I208">
        <v>0.538205367598666</v>
      </c>
      <c r="J208">
        <v>7.2259619110420896</v>
      </c>
      <c r="K208">
        <v>5.4821074514678001</v>
      </c>
      <c r="L208">
        <v>0.40222822587616602</v>
      </c>
      <c r="M208">
        <v>0.281985910975312</v>
      </c>
      <c r="N208">
        <v>4.63623046875</v>
      </c>
      <c r="O208">
        <v>0.342098112034457</v>
      </c>
      <c r="P208" t="s">
        <v>90</v>
      </c>
    </row>
    <row r="209" spans="1:16" x14ac:dyDescent="0.6">
      <c r="A209" t="s">
        <v>508</v>
      </c>
      <c r="B209">
        <v>30</v>
      </c>
      <c r="C209" t="s">
        <v>99</v>
      </c>
      <c r="D209" t="s">
        <v>8</v>
      </c>
      <c r="E209">
        <v>1</v>
      </c>
      <c r="F209" t="s">
        <v>123</v>
      </c>
      <c r="G209">
        <v>8.9601459999999999</v>
      </c>
      <c r="H209">
        <v>7.140936</v>
      </c>
      <c r="I209">
        <v>0.545902</v>
      </c>
      <c r="J209">
        <v>7.1938149999999998</v>
      </c>
      <c r="K209">
        <v>5.5053179999999999</v>
      </c>
      <c r="L209">
        <v>0.40247699999999997</v>
      </c>
      <c r="M209">
        <v>0.27739999999999998</v>
      </c>
      <c r="N209">
        <v>5.0181269999999998</v>
      </c>
      <c r="O209">
        <v>0.36741200000000002</v>
      </c>
      <c r="P209" t="s">
        <v>93</v>
      </c>
    </row>
    <row r="210" spans="1:16" x14ac:dyDescent="0.6">
      <c r="A210" t="s">
        <v>509</v>
      </c>
      <c r="B210">
        <v>10</v>
      </c>
      <c r="C210" t="s">
        <v>9</v>
      </c>
      <c r="D210" t="s">
        <v>177</v>
      </c>
      <c r="E210">
        <v>1</v>
      </c>
      <c r="F210" t="s">
        <v>510</v>
      </c>
      <c r="G210">
        <v>8.8173881404505892</v>
      </c>
      <c r="H210">
        <v>7.0042532666236497</v>
      </c>
      <c r="I210">
        <v>0.53413118367795098</v>
      </c>
      <c r="J210">
        <v>7.90428773126101</v>
      </c>
      <c r="K210">
        <v>6.1869263775580698</v>
      </c>
      <c r="L210">
        <v>0.45222766404382803</v>
      </c>
      <c r="M210">
        <v>0.33355741985811804</v>
      </c>
      <c r="N210">
        <v>5.03265380859375</v>
      </c>
      <c r="O210">
        <v>0.37123944864299402</v>
      </c>
      <c r="P210" t="s">
        <v>90</v>
      </c>
    </row>
    <row r="211" spans="1:16" x14ac:dyDescent="0.6">
      <c r="A211" t="s">
        <v>511</v>
      </c>
      <c r="B211">
        <v>60</v>
      </c>
      <c r="C211" t="s">
        <v>6</v>
      </c>
      <c r="D211" t="s">
        <v>184</v>
      </c>
      <c r="E211">
        <v>1</v>
      </c>
      <c r="F211" t="s">
        <v>512</v>
      </c>
      <c r="G211">
        <v>8.5795763157925808</v>
      </c>
      <c r="H211">
        <v>6.9870960948231398</v>
      </c>
      <c r="I211">
        <v>0.54004097813003504</v>
      </c>
      <c r="J211">
        <v>7.4011120402700499</v>
      </c>
      <c r="K211">
        <v>5.6897693980823796</v>
      </c>
      <c r="L211">
        <v>0.41433295624949801</v>
      </c>
      <c r="M211">
        <v>0.29177870784014698</v>
      </c>
      <c r="N211">
        <v>5.03582763671875</v>
      </c>
      <c r="O211">
        <v>0.36658699078364498</v>
      </c>
      <c r="P211" t="s">
        <v>135</v>
      </c>
    </row>
    <row r="212" spans="1:16" x14ac:dyDescent="0.6">
      <c r="A212" t="s">
        <v>513</v>
      </c>
      <c r="B212">
        <v>60</v>
      </c>
      <c r="C212" t="s">
        <v>9</v>
      </c>
      <c r="D212" t="s">
        <v>7</v>
      </c>
      <c r="E212">
        <v>1</v>
      </c>
      <c r="F212" t="s">
        <v>151</v>
      </c>
      <c r="G212" s="13">
        <v>8.4122978795674204</v>
      </c>
      <c r="H212" s="13">
        <v>6.7384807880108104</v>
      </c>
      <c r="I212" s="13">
        <v>0.52093204641101198</v>
      </c>
      <c r="J212" s="13">
        <v>7.4964709123166404</v>
      </c>
      <c r="K212" s="13">
        <v>5.80583121559836</v>
      </c>
      <c r="L212" s="13">
        <v>0.42238218251780701</v>
      </c>
      <c r="M212">
        <v>0.29857578610777497</v>
      </c>
      <c r="N212">
        <v>5.040283203125</v>
      </c>
      <c r="O212" s="13">
        <v>0.36676610353741701</v>
      </c>
      <c r="P212" t="s">
        <v>135</v>
      </c>
    </row>
    <row r="213" spans="1:16" x14ac:dyDescent="0.6">
      <c r="A213" t="s">
        <v>515</v>
      </c>
      <c r="B213">
        <v>20</v>
      </c>
      <c r="C213" t="s">
        <v>99</v>
      </c>
      <c r="D213" t="s">
        <v>181</v>
      </c>
      <c r="E213">
        <v>1</v>
      </c>
      <c r="F213" t="s">
        <v>516</v>
      </c>
      <c r="G213">
        <v>8.6663720940151201</v>
      </c>
      <c r="H213">
        <v>6.9919034562757201</v>
      </c>
      <c r="I213">
        <v>0.53359337471985602</v>
      </c>
      <c r="J213">
        <v>7.7886830169821701</v>
      </c>
      <c r="K213">
        <v>6.1441819932725696</v>
      </c>
      <c r="L213">
        <v>0.44815480141739</v>
      </c>
      <c r="M213">
        <v>0.32140821459116997</v>
      </c>
      <c r="N213">
        <v>5.101318359375</v>
      </c>
      <c r="O213">
        <v>0.37490279869072701</v>
      </c>
      <c r="P213" t="s">
        <v>90</v>
      </c>
    </row>
    <row r="214" spans="1:16" x14ac:dyDescent="0.6">
      <c r="A214" t="s">
        <v>517</v>
      </c>
      <c r="B214">
        <v>30</v>
      </c>
      <c r="C214" t="s">
        <v>99</v>
      </c>
      <c r="D214" t="s">
        <v>171</v>
      </c>
      <c r="E214">
        <v>1</v>
      </c>
      <c r="F214" t="s">
        <v>518</v>
      </c>
      <c r="G214">
        <v>8.9479494476045804</v>
      </c>
      <c r="H214">
        <v>7.2351347311290999</v>
      </c>
      <c r="I214">
        <v>0.55292169301476102</v>
      </c>
      <c r="J214">
        <v>7.3695552686568204</v>
      </c>
      <c r="K214">
        <v>5.7950273532311796</v>
      </c>
      <c r="L214">
        <v>0.42326796982553799</v>
      </c>
      <c r="M214">
        <v>0.28993969433729</v>
      </c>
      <c r="N214">
        <v>5.1556396484375</v>
      </c>
      <c r="O214">
        <v>0.37674241214093401</v>
      </c>
      <c r="P214" t="s">
        <v>93</v>
      </c>
    </row>
    <row r="215" spans="1:16" x14ac:dyDescent="0.6">
      <c r="A215" t="s">
        <v>401</v>
      </c>
      <c r="B215">
        <v>5</v>
      </c>
      <c r="C215" t="s">
        <v>6</v>
      </c>
      <c r="D215" t="s">
        <v>181</v>
      </c>
      <c r="E215">
        <v>1</v>
      </c>
      <c r="F215" t="s">
        <v>402</v>
      </c>
      <c r="G215">
        <v>8.7493274051996206</v>
      </c>
      <c r="H215">
        <v>7.0805945631056604</v>
      </c>
      <c r="I215">
        <v>0.54009704991291396</v>
      </c>
      <c r="J215">
        <v>7.1820808355408703</v>
      </c>
      <c r="K215">
        <v>5.4664576146509702</v>
      </c>
      <c r="L215">
        <v>0.40104206090554601</v>
      </c>
      <c r="M215">
        <v>0.27845229147290501</v>
      </c>
      <c r="N215">
        <v>4.6578369140625</v>
      </c>
      <c r="O215">
        <v>0.34462971253671298</v>
      </c>
      <c r="P215" t="s">
        <v>90</v>
      </c>
    </row>
    <row r="216" spans="1:16" x14ac:dyDescent="0.6">
      <c r="A216" t="s">
        <v>521</v>
      </c>
      <c r="B216">
        <v>20</v>
      </c>
      <c r="C216" t="s">
        <v>9</v>
      </c>
      <c r="D216" t="s">
        <v>174</v>
      </c>
      <c r="E216">
        <v>1</v>
      </c>
      <c r="F216" t="s">
        <v>522</v>
      </c>
      <c r="G216">
        <v>8.6495261083544808</v>
      </c>
      <c r="H216">
        <v>6.97481234421205</v>
      </c>
      <c r="I216">
        <v>0.53231305028138598</v>
      </c>
      <c r="J216">
        <v>8.5861351734384694</v>
      </c>
      <c r="K216">
        <v>6.9375333432798003</v>
      </c>
      <c r="L216">
        <v>0.505550684847207</v>
      </c>
      <c r="M216">
        <v>0.38921599682209401</v>
      </c>
      <c r="N216">
        <v>6.66937255859375</v>
      </c>
      <c r="O216">
        <v>0.48618920957419698</v>
      </c>
      <c r="P216" t="s">
        <v>90</v>
      </c>
    </row>
    <row r="217" spans="1:16" x14ac:dyDescent="0.6">
      <c r="A217" t="s">
        <v>523</v>
      </c>
      <c r="B217">
        <v>20</v>
      </c>
      <c r="C217" t="s">
        <v>9</v>
      </c>
      <c r="D217" t="s">
        <v>88</v>
      </c>
      <c r="E217">
        <v>1</v>
      </c>
      <c r="F217" t="s">
        <v>164</v>
      </c>
      <c r="G217" s="13">
        <v>8.6495056021726295</v>
      </c>
      <c r="H217" s="13">
        <v>6.9748476033320497</v>
      </c>
      <c r="I217" s="13">
        <v>0.53231565016327698</v>
      </c>
      <c r="J217" s="13">
        <v>8.5862845011260003</v>
      </c>
      <c r="K217" s="13">
        <v>6.9376265914351798</v>
      </c>
      <c r="L217" s="13">
        <v>0.50555735523604595</v>
      </c>
      <c r="M217">
        <v>0.38922951899318703</v>
      </c>
      <c r="N217">
        <v>6.6702880859375</v>
      </c>
      <c r="O217" s="13">
        <v>0.48616309933490998</v>
      </c>
      <c r="P217" t="s">
        <v>90</v>
      </c>
    </row>
  </sheetData>
  <autoFilter ref="A1:P217" xr:uid="{DDE3DF55-BC70-4A0A-9CA9-2BA0BB9862A4}"/>
  <sortState xmlns:xlrd2="http://schemas.microsoft.com/office/spreadsheetml/2017/richdata2" ref="D2:P88">
    <sortCondition descending="1" ref="D2:D88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Q193"/>
  <sheetViews>
    <sheetView topLeftCell="B1" workbookViewId="0">
      <selection activeCell="E2" sqref="E2"/>
    </sheetView>
  </sheetViews>
  <sheetFormatPr defaultRowHeight="16.899999999999999" x14ac:dyDescent="0.6"/>
  <cols>
    <col min="1" max="1" width="58.375" bestFit="1" customWidth="1"/>
    <col min="2" max="2" width="11" bestFit="1" customWidth="1"/>
    <col min="3" max="3" width="10.5625" bestFit="1" customWidth="1"/>
    <col min="4" max="4" width="34.3125" bestFit="1" customWidth="1"/>
    <col min="5" max="5" width="35.8125" customWidth="1"/>
    <col min="6" max="6" width="6.8125" hidden="1" customWidth="1"/>
    <col min="7" max="7" width="84.5625" hidden="1" customWidth="1"/>
    <col min="8" max="8" width="15" hidden="1" customWidth="1"/>
    <col min="9" max="9" width="14" hidden="1" customWidth="1"/>
    <col min="10" max="10" width="15.125" hidden="1" customWidth="1"/>
    <col min="11" max="12" width="13.3125" customWidth="1"/>
    <col min="13" max="13" width="12.3125" customWidth="1"/>
    <col min="14" max="14" width="13.5" customWidth="1"/>
    <col min="15" max="15" width="14.5625" bestFit="1" customWidth="1"/>
    <col min="16" max="16" width="15.75" bestFit="1" customWidth="1"/>
    <col min="17" max="17" width="81.5625" bestFit="1" customWidth="1"/>
  </cols>
  <sheetData>
    <row r="1" spans="1:17" x14ac:dyDescent="0.6">
      <c r="A1" t="s">
        <v>165</v>
      </c>
      <c r="B1" t="s">
        <v>524</v>
      </c>
      <c r="C1" t="s">
        <v>12</v>
      </c>
      <c r="D1" t="s">
        <v>23</v>
      </c>
      <c r="E1" t="s">
        <v>527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84</v>
      </c>
      <c r="M1" t="s">
        <v>82</v>
      </c>
      <c r="N1" t="s">
        <v>83</v>
      </c>
      <c r="O1" t="s">
        <v>85</v>
      </c>
      <c r="P1" t="s">
        <v>86</v>
      </c>
      <c r="Q1" t="s">
        <v>87</v>
      </c>
    </row>
    <row r="2" spans="1:17" x14ac:dyDescent="0.6">
      <c r="A2" t="s">
        <v>166</v>
      </c>
      <c r="B2">
        <v>30</v>
      </c>
      <c r="C2" t="s">
        <v>99</v>
      </c>
      <c r="D2" t="s">
        <v>167</v>
      </c>
      <c r="E2" t="str">
        <f>"6."&amp;D2</f>
        <v>6.Macro + Event + Sentiment (Direct)</v>
      </c>
      <c r="F2">
        <v>1</v>
      </c>
      <c r="G2" t="s">
        <v>168</v>
      </c>
      <c r="H2">
        <v>8.8887060302505407</v>
      </c>
      <c r="I2">
        <v>7.1435608731487097</v>
      </c>
      <c r="J2">
        <v>0.54573747711099696</v>
      </c>
      <c r="K2">
        <v>7.04562420401286</v>
      </c>
      <c r="L2">
        <v>0.26660521487424998</v>
      </c>
      <c r="M2">
        <v>5.3802638377958099</v>
      </c>
      <c r="N2">
        <v>0.39367135259531599</v>
      </c>
      <c r="O2">
        <v>4.06304931640625</v>
      </c>
      <c r="P2">
        <v>0.29501393343237797</v>
      </c>
      <c r="Q2" t="s">
        <v>93</v>
      </c>
    </row>
    <row r="3" spans="1:17" x14ac:dyDescent="0.6">
      <c r="A3" t="s">
        <v>170</v>
      </c>
      <c r="B3">
        <v>30</v>
      </c>
      <c r="C3" t="s">
        <v>6</v>
      </c>
      <c r="D3" t="s">
        <v>171</v>
      </c>
      <c r="E3" t="str">
        <f>"4."&amp;D3</f>
        <v>4.Macro + Sentiment (Indirect)</v>
      </c>
      <c r="F3">
        <v>1</v>
      </c>
      <c r="G3" t="s">
        <v>172</v>
      </c>
      <c r="H3">
        <v>8.9077577555965899</v>
      </c>
      <c r="I3">
        <v>7.1829900974180596</v>
      </c>
      <c r="J3">
        <v>0.54882396242190701</v>
      </c>
      <c r="K3">
        <v>7.31181621001579</v>
      </c>
      <c r="L3">
        <v>0.28836570171804504</v>
      </c>
      <c r="M3">
        <v>5.5585795282160104</v>
      </c>
      <c r="N3">
        <v>0.40722401236324002</v>
      </c>
      <c r="O3">
        <v>4.23223876953125</v>
      </c>
      <c r="P3">
        <v>0.31374622886001402</v>
      </c>
      <c r="Q3" t="s">
        <v>93</v>
      </c>
    </row>
    <row r="4" spans="1:17" x14ac:dyDescent="0.6">
      <c r="A4" t="s">
        <v>173</v>
      </c>
      <c r="B4">
        <v>20</v>
      </c>
      <c r="C4" t="s">
        <v>92</v>
      </c>
      <c r="D4" t="s">
        <v>174</v>
      </c>
      <c r="E4" t="str">
        <f>"5."&amp;D4</f>
        <v>5.Macro + Sentiment (Both)</v>
      </c>
      <c r="F4">
        <v>1</v>
      </c>
      <c r="G4" t="s">
        <v>175</v>
      </c>
      <c r="H4">
        <v>8.6993705423883796</v>
      </c>
      <c r="I4">
        <v>6.9774592953264802</v>
      </c>
      <c r="J4">
        <v>0.53243475144414898</v>
      </c>
      <c r="K4">
        <v>6.9285879278242097</v>
      </c>
      <c r="L4">
        <v>0.25792474914487701</v>
      </c>
      <c r="M4">
        <v>5.3191567880135997</v>
      </c>
      <c r="N4">
        <v>0.38953560993286401</v>
      </c>
      <c r="O4">
        <v>4.25201416015625</v>
      </c>
      <c r="P4">
        <v>0.30999250690810998</v>
      </c>
      <c r="Q4" t="s">
        <v>90</v>
      </c>
    </row>
    <row r="5" spans="1:17" x14ac:dyDescent="0.6">
      <c r="A5" t="s">
        <v>176</v>
      </c>
      <c r="B5">
        <v>5</v>
      </c>
      <c r="C5" t="s">
        <v>9</v>
      </c>
      <c r="D5" t="s">
        <v>177</v>
      </c>
      <c r="E5" t="str">
        <f>"8."&amp;D5</f>
        <v>8.Macro + Event + Sentiment (Both)</v>
      </c>
      <c r="F5">
        <v>1</v>
      </c>
      <c r="G5" t="s">
        <v>178</v>
      </c>
      <c r="H5">
        <v>8.7954485201332098</v>
      </c>
      <c r="I5">
        <v>7.0340671528568199</v>
      </c>
      <c r="J5">
        <v>0.53653239287976995</v>
      </c>
      <c r="K5">
        <v>7.1823392070672698</v>
      </c>
      <c r="L5">
        <v>0.279066380249964</v>
      </c>
      <c r="M5">
        <v>5.4315624154491298</v>
      </c>
      <c r="N5">
        <v>0.39875422311042202</v>
      </c>
      <c r="O5">
        <v>4.271484375</v>
      </c>
      <c r="P5">
        <v>0.31387967396660199</v>
      </c>
      <c r="Q5" t="s">
        <v>90</v>
      </c>
    </row>
    <row r="6" spans="1:17" x14ac:dyDescent="0.6">
      <c r="A6" t="s">
        <v>179</v>
      </c>
      <c r="B6">
        <v>90</v>
      </c>
      <c r="C6" t="s">
        <v>6</v>
      </c>
      <c r="D6" t="s">
        <v>8</v>
      </c>
      <c r="E6" t="str">
        <f>"2."&amp;D6</f>
        <v>2.Macro + Event</v>
      </c>
      <c r="F6">
        <v>1</v>
      </c>
      <c r="G6" t="s">
        <v>130</v>
      </c>
      <c r="H6" s="13">
        <v>7.1958020834312499</v>
      </c>
      <c r="I6" s="13">
        <v>5.6418420040246202</v>
      </c>
      <c r="J6" s="13">
        <v>0.43988792502686003</v>
      </c>
      <c r="K6" s="13">
        <v>7.2547915348356202</v>
      </c>
      <c r="L6">
        <v>0.28035698350448901</v>
      </c>
      <c r="M6" s="13">
        <v>5.5410415440389498</v>
      </c>
      <c r="N6" s="13">
        <v>0.40317481381355702</v>
      </c>
      <c r="O6">
        <v>4.28924560546875</v>
      </c>
      <c r="P6" s="13">
        <v>0.31656264755650998</v>
      </c>
      <c r="Q6" t="s">
        <v>114</v>
      </c>
    </row>
    <row r="7" spans="1:17" x14ac:dyDescent="0.6">
      <c r="A7" t="s">
        <v>180</v>
      </c>
      <c r="B7">
        <v>20</v>
      </c>
      <c r="C7" t="s">
        <v>6</v>
      </c>
      <c r="D7" t="s">
        <v>181</v>
      </c>
      <c r="E7" t="str">
        <f>"3."&amp;D7</f>
        <v>3.Macro + Sentiment (Direct)</v>
      </c>
      <c r="F7">
        <v>1</v>
      </c>
      <c r="G7" t="s">
        <v>182</v>
      </c>
      <c r="H7">
        <v>8.6919481031903398</v>
      </c>
      <c r="I7">
        <v>6.9749787469654096</v>
      </c>
      <c r="J7">
        <v>0.53229183688583204</v>
      </c>
      <c r="K7">
        <v>6.9435927074542096</v>
      </c>
      <c r="L7">
        <v>0.259175430080338</v>
      </c>
      <c r="M7">
        <v>5.3097110324435697</v>
      </c>
      <c r="N7">
        <v>0.388974237218702</v>
      </c>
      <c r="O7">
        <v>4.29132080078125</v>
      </c>
      <c r="P7">
        <v>0.31725101469900602</v>
      </c>
      <c r="Q7" t="s">
        <v>90</v>
      </c>
    </row>
    <row r="8" spans="1:17" x14ac:dyDescent="0.6">
      <c r="A8" t="s">
        <v>183</v>
      </c>
      <c r="B8">
        <v>20</v>
      </c>
      <c r="C8" t="s">
        <v>9</v>
      </c>
      <c r="D8" t="s">
        <v>184</v>
      </c>
      <c r="E8" t="str">
        <f>"7."&amp;D8</f>
        <v>7.Macro + Event + Sentiment (Indirect)</v>
      </c>
      <c r="F8">
        <v>1</v>
      </c>
      <c r="G8" t="s">
        <v>185</v>
      </c>
      <c r="H8">
        <v>8.7967645429101999</v>
      </c>
      <c r="I8">
        <v>6.9863437350143798</v>
      </c>
      <c r="J8">
        <v>0.53331587639113998</v>
      </c>
      <c r="K8">
        <v>7.0997707377708101</v>
      </c>
      <c r="L8">
        <v>0.27024348260411502</v>
      </c>
      <c r="M8">
        <v>5.4280830665870896</v>
      </c>
      <c r="N8">
        <v>0.39721298316679299</v>
      </c>
      <c r="O8">
        <v>4.31646728515625</v>
      </c>
      <c r="P8">
        <v>0.31541016535418598</v>
      </c>
      <c r="Q8" t="s">
        <v>90</v>
      </c>
    </row>
    <row r="9" spans="1:17" x14ac:dyDescent="0.6">
      <c r="A9" t="s">
        <v>186</v>
      </c>
      <c r="B9">
        <v>20</v>
      </c>
      <c r="C9" t="s">
        <v>92</v>
      </c>
      <c r="D9" t="s">
        <v>8</v>
      </c>
      <c r="E9" t="str">
        <f>"2."&amp;D9</f>
        <v>2.Macro + Event</v>
      </c>
      <c r="F9">
        <v>1</v>
      </c>
      <c r="G9" t="s">
        <v>95</v>
      </c>
      <c r="H9">
        <v>8.6638490000000008</v>
      </c>
      <c r="I9">
        <v>6.9750420000000002</v>
      </c>
      <c r="J9">
        <v>0.53221399999999996</v>
      </c>
      <c r="K9">
        <v>6.9888719999999998</v>
      </c>
      <c r="L9">
        <v>0.26180000000000003</v>
      </c>
      <c r="M9">
        <v>5.4186059999999996</v>
      </c>
      <c r="N9">
        <v>0.39645900000000001</v>
      </c>
      <c r="O9">
        <v>4.3173830000000004</v>
      </c>
      <c r="P9">
        <v>0.32121499999999997</v>
      </c>
      <c r="Q9" t="s">
        <v>90</v>
      </c>
    </row>
    <row r="10" spans="1:17" x14ac:dyDescent="0.6">
      <c r="A10" t="s">
        <v>187</v>
      </c>
      <c r="B10">
        <v>90</v>
      </c>
      <c r="C10" t="s">
        <v>6</v>
      </c>
      <c r="D10" t="s">
        <v>177</v>
      </c>
      <c r="E10" t="str">
        <f>"8."&amp;D10</f>
        <v>8.Macro + Event + Sentiment (Both)</v>
      </c>
      <c r="F10">
        <v>1</v>
      </c>
      <c r="G10" t="s">
        <v>188</v>
      </c>
      <c r="H10">
        <v>6.9105950210049798</v>
      </c>
      <c r="I10">
        <v>5.4315999348958304</v>
      </c>
      <c r="J10">
        <v>0.42392873153274102</v>
      </c>
      <c r="K10">
        <v>7.3706308774525597</v>
      </c>
      <c r="L10">
        <v>0.28937258874844596</v>
      </c>
      <c r="M10">
        <v>5.6304655728274797</v>
      </c>
      <c r="N10">
        <v>0.40968825201776299</v>
      </c>
      <c r="O10">
        <v>4.3602294921875</v>
      </c>
      <c r="P10">
        <v>0.32195832956184001</v>
      </c>
      <c r="Q10" t="s">
        <v>114</v>
      </c>
    </row>
    <row r="11" spans="1:17" x14ac:dyDescent="0.6">
      <c r="A11" t="s">
        <v>189</v>
      </c>
      <c r="B11">
        <v>5</v>
      </c>
      <c r="C11" t="s">
        <v>99</v>
      </c>
      <c r="D11" t="s">
        <v>8</v>
      </c>
      <c r="E11" t="str">
        <f>"2."&amp;D11</f>
        <v>2.Macro + Event</v>
      </c>
      <c r="F11">
        <v>1</v>
      </c>
      <c r="G11" t="s">
        <v>125</v>
      </c>
      <c r="H11">
        <v>8.7029510000000005</v>
      </c>
      <c r="I11">
        <v>6.9362820000000003</v>
      </c>
      <c r="J11">
        <v>0.52915000000000001</v>
      </c>
      <c r="K11">
        <v>7.2173910000000001</v>
      </c>
      <c r="L11">
        <v>0.28079999999999999</v>
      </c>
      <c r="M11">
        <v>5.4710340000000004</v>
      </c>
      <c r="N11">
        <v>0.40113599999999999</v>
      </c>
      <c r="O11">
        <v>4.3646240000000001</v>
      </c>
      <c r="P11">
        <v>0.32753700000000002</v>
      </c>
      <c r="Q11" t="s">
        <v>90</v>
      </c>
    </row>
    <row r="12" spans="1:17" x14ac:dyDescent="0.6">
      <c r="A12" t="s">
        <v>190</v>
      </c>
      <c r="B12">
        <v>90</v>
      </c>
      <c r="C12" t="s">
        <v>9</v>
      </c>
      <c r="D12" t="s">
        <v>8</v>
      </c>
      <c r="E12" t="str">
        <f>"2."&amp;D12</f>
        <v>2.Macro + Event</v>
      </c>
      <c r="F12">
        <v>1</v>
      </c>
      <c r="G12" t="s">
        <v>139</v>
      </c>
      <c r="H12" s="13">
        <v>6.96366010782336</v>
      </c>
      <c r="I12" s="13">
        <v>5.5858117305871202</v>
      </c>
      <c r="J12" s="13">
        <v>0.436744165825657</v>
      </c>
      <c r="K12" s="13">
        <v>7.3328223195886002</v>
      </c>
      <c r="L12">
        <v>0.28613758622900298</v>
      </c>
      <c r="M12" s="13">
        <v>5.6326327389233697</v>
      </c>
      <c r="N12" s="13">
        <v>0.40964829381471402</v>
      </c>
      <c r="O12">
        <v>4.36944580078125</v>
      </c>
      <c r="P12" s="13">
        <v>0.31713756380722002</v>
      </c>
      <c r="Q12" t="s">
        <v>114</v>
      </c>
    </row>
    <row r="13" spans="1:17" x14ac:dyDescent="0.6">
      <c r="A13" t="s">
        <v>191</v>
      </c>
      <c r="B13">
        <v>10</v>
      </c>
      <c r="C13" t="s">
        <v>6</v>
      </c>
      <c r="D13" t="s">
        <v>177</v>
      </c>
      <c r="E13" t="str">
        <f>"8."&amp;D13</f>
        <v>8.Macro + Event + Sentiment (Both)</v>
      </c>
      <c r="F13">
        <v>1</v>
      </c>
      <c r="G13" t="s">
        <v>192</v>
      </c>
      <c r="H13">
        <v>8.7163307150693594</v>
      </c>
      <c r="I13">
        <v>6.9551772495919897</v>
      </c>
      <c r="J13">
        <v>0.530428879387005</v>
      </c>
      <c r="K13">
        <v>7.1317229132935198</v>
      </c>
      <c r="L13">
        <v>0.27480635247247498</v>
      </c>
      <c r="M13">
        <v>5.4402314582757096</v>
      </c>
      <c r="N13">
        <v>0.399151392242516</v>
      </c>
      <c r="O13">
        <v>4.38189697265625</v>
      </c>
      <c r="P13">
        <v>0.320802489526541</v>
      </c>
      <c r="Q13" t="s">
        <v>90</v>
      </c>
    </row>
    <row r="14" spans="1:17" x14ac:dyDescent="0.6">
      <c r="A14" t="s">
        <v>193</v>
      </c>
      <c r="B14">
        <v>20</v>
      </c>
      <c r="C14" t="s">
        <v>6</v>
      </c>
      <c r="D14" t="s">
        <v>7</v>
      </c>
      <c r="E14" t="str">
        <f>"1."&amp;D14</f>
        <v>1.Macro Only</v>
      </c>
      <c r="F14">
        <v>1</v>
      </c>
      <c r="G14" t="s">
        <v>91</v>
      </c>
      <c r="H14">
        <v>8.7130313918846696</v>
      </c>
      <c r="I14" s="13">
        <v>6.9552887626316204</v>
      </c>
      <c r="J14" s="13">
        <v>0.53077105769889898</v>
      </c>
      <c r="K14" s="13">
        <v>6.9281274884322803</v>
      </c>
      <c r="L14">
        <v>0.25781232054696102</v>
      </c>
      <c r="M14" s="13">
        <v>5.3343183729383599</v>
      </c>
      <c r="N14" s="13">
        <v>0.390580985948002</v>
      </c>
      <c r="O14">
        <v>4.38385009765625</v>
      </c>
      <c r="P14">
        <v>0.31687311333132101</v>
      </c>
      <c r="Q14" t="s">
        <v>90</v>
      </c>
    </row>
    <row r="15" spans="1:17" x14ac:dyDescent="0.6">
      <c r="A15" t="s">
        <v>194</v>
      </c>
      <c r="B15">
        <v>60</v>
      </c>
      <c r="C15" t="s">
        <v>9</v>
      </c>
      <c r="D15" t="s">
        <v>184</v>
      </c>
      <c r="E15" t="str">
        <f>"7."&amp;D15</f>
        <v>7.Macro + Event + Sentiment (Indirect)</v>
      </c>
      <c r="F15">
        <v>1</v>
      </c>
      <c r="G15" t="s">
        <v>195</v>
      </c>
      <c r="H15">
        <v>8.4774442974748201</v>
      </c>
      <c r="I15">
        <v>6.7612931806962502</v>
      </c>
      <c r="J15">
        <v>0.52289222824330195</v>
      </c>
      <c r="K15">
        <v>7.5078361106533196</v>
      </c>
      <c r="L15">
        <v>0.30042021607433</v>
      </c>
      <c r="M15">
        <v>5.7300026633522698</v>
      </c>
      <c r="N15">
        <v>0.41750456334581398</v>
      </c>
      <c r="O15">
        <v>4.38726806640625</v>
      </c>
      <c r="P15">
        <v>0.31816177918743699</v>
      </c>
      <c r="Q15" t="s">
        <v>135</v>
      </c>
    </row>
    <row r="16" spans="1:17" x14ac:dyDescent="0.6">
      <c r="A16" t="s">
        <v>196</v>
      </c>
      <c r="B16">
        <v>30</v>
      </c>
      <c r="C16" t="s">
        <v>92</v>
      </c>
      <c r="D16" t="s">
        <v>177</v>
      </c>
      <c r="E16" t="str">
        <f>"8."&amp;D16</f>
        <v>8.Macro + Event + Sentiment (Both)</v>
      </c>
      <c r="F16">
        <v>1</v>
      </c>
      <c r="G16" t="s">
        <v>197</v>
      </c>
      <c r="H16">
        <v>8.8781353372892404</v>
      </c>
      <c r="I16">
        <v>7.1046166448055699</v>
      </c>
      <c r="J16">
        <v>0.54276926811327897</v>
      </c>
      <c r="K16">
        <v>7.4298276872247104</v>
      </c>
      <c r="L16">
        <v>0.29682844096282301</v>
      </c>
      <c r="M16">
        <v>5.6015613148513301</v>
      </c>
      <c r="N16">
        <v>0.41004964274956102</v>
      </c>
      <c r="O16">
        <v>4.3900146484375</v>
      </c>
      <c r="P16">
        <v>0.324335943906358</v>
      </c>
      <c r="Q16" t="s">
        <v>93</v>
      </c>
    </row>
    <row r="17" spans="1:17" x14ac:dyDescent="0.6">
      <c r="A17" t="s">
        <v>198</v>
      </c>
      <c r="B17">
        <v>5</v>
      </c>
      <c r="C17" t="s">
        <v>99</v>
      </c>
      <c r="D17" t="s">
        <v>167</v>
      </c>
      <c r="E17" t="str">
        <f>"6."&amp;D17</f>
        <v>6.Macro + Event + Sentiment (Direct)</v>
      </c>
      <c r="F17">
        <v>1</v>
      </c>
      <c r="G17" t="s">
        <v>199</v>
      </c>
      <c r="H17">
        <v>8.7247911563475409</v>
      </c>
      <c r="I17">
        <v>6.9525431970287599</v>
      </c>
      <c r="J17">
        <v>0.53056051307756702</v>
      </c>
      <c r="K17">
        <v>7.1365300338064896</v>
      </c>
      <c r="L17">
        <v>0.27521844113273503</v>
      </c>
      <c r="M17">
        <v>5.4294058399283003</v>
      </c>
      <c r="N17">
        <v>0.398458369097</v>
      </c>
      <c r="O17">
        <v>4.3968505859375</v>
      </c>
      <c r="P17">
        <v>0.321973645147895</v>
      </c>
      <c r="Q17" t="s">
        <v>90</v>
      </c>
    </row>
    <row r="18" spans="1:17" x14ac:dyDescent="0.6">
      <c r="A18" t="s">
        <v>201</v>
      </c>
      <c r="B18">
        <v>60</v>
      </c>
      <c r="C18" t="s">
        <v>9</v>
      </c>
      <c r="D18" t="s">
        <v>167</v>
      </c>
      <c r="E18" t="str">
        <f>"6."&amp;D18</f>
        <v>6.Macro + Event + Sentiment (Direct)</v>
      </c>
      <c r="F18">
        <v>1</v>
      </c>
      <c r="G18" t="s">
        <v>202</v>
      </c>
      <c r="H18">
        <v>8.6561489691669493</v>
      </c>
      <c r="I18">
        <v>6.9674649919782299</v>
      </c>
      <c r="J18">
        <v>0.53894274840005196</v>
      </c>
      <c r="K18">
        <v>7.4323322313487399</v>
      </c>
      <c r="L18">
        <v>0.295457442909631</v>
      </c>
      <c r="M18">
        <v>5.6471321799538297</v>
      </c>
      <c r="N18">
        <v>0.41171675758454002</v>
      </c>
      <c r="O18">
        <v>4.39886474609375</v>
      </c>
      <c r="P18">
        <v>0.310713147748022</v>
      </c>
      <c r="Q18" t="s">
        <v>135</v>
      </c>
    </row>
    <row r="19" spans="1:17" x14ac:dyDescent="0.6">
      <c r="A19" t="s">
        <v>203</v>
      </c>
      <c r="B19">
        <v>5</v>
      </c>
      <c r="C19" t="s">
        <v>6</v>
      </c>
      <c r="D19" t="s">
        <v>177</v>
      </c>
      <c r="E19" t="str">
        <f>"8."&amp;D19</f>
        <v>8.Macro + Event + Sentiment (Both)</v>
      </c>
      <c r="F19">
        <v>1</v>
      </c>
      <c r="G19" t="s">
        <v>204</v>
      </c>
      <c r="H19">
        <v>8.75199142985546</v>
      </c>
      <c r="I19">
        <v>7.0115329985977697</v>
      </c>
      <c r="J19">
        <v>0.53499437882714695</v>
      </c>
      <c r="K19">
        <v>7.1274443939320804</v>
      </c>
      <c r="L19">
        <v>0.274993229322678</v>
      </c>
      <c r="M19">
        <v>5.4261025432900398</v>
      </c>
      <c r="N19">
        <v>0.398301829049511</v>
      </c>
      <c r="O19">
        <v>4.4005126953125</v>
      </c>
      <c r="P19">
        <v>0.33017576980083702</v>
      </c>
      <c r="Q19" t="s">
        <v>90</v>
      </c>
    </row>
    <row r="20" spans="1:17" x14ac:dyDescent="0.6">
      <c r="A20" t="s">
        <v>205</v>
      </c>
      <c r="B20">
        <v>10</v>
      </c>
      <c r="C20" t="s">
        <v>99</v>
      </c>
      <c r="D20" t="s">
        <v>7</v>
      </c>
      <c r="E20" t="str">
        <f>"1."&amp;D20</f>
        <v>1.Macro Only</v>
      </c>
      <c r="F20">
        <v>1</v>
      </c>
      <c r="G20" t="s">
        <v>136</v>
      </c>
      <c r="H20">
        <v>8.6307679999999998</v>
      </c>
      <c r="I20">
        <v>6.9221069999999996</v>
      </c>
      <c r="J20">
        <v>0.527922</v>
      </c>
      <c r="K20">
        <v>7.2915239999999999</v>
      </c>
      <c r="L20">
        <v>0.28720000000000001</v>
      </c>
      <c r="M20">
        <v>5.5767559999999996</v>
      </c>
      <c r="N20">
        <v>0.40916400000000003</v>
      </c>
      <c r="O20">
        <v>4.4080810000000001</v>
      </c>
      <c r="P20">
        <v>0.32418999999999998</v>
      </c>
      <c r="Q20" t="s">
        <v>90</v>
      </c>
    </row>
    <row r="21" spans="1:17" x14ac:dyDescent="0.6">
      <c r="A21" t="s">
        <v>206</v>
      </c>
      <c r="B21">
        <v>90</v>
      </c>
      <c r="C21" t="s">
        <v>99</v>
      </c>
      <c r="D21" t="s">
        <v>171</v>
      </c>
      <c r="E21" t="str">
        <f>"4."&amp;D21</f>
        <v>4.Macro + Sentiment (Indirect)</v>
      </c>
      <c r="F21">
        <v>1</v>
      </c>
      <c r="G21" t="s">
        <v>207</v>
      </c>
      <c r="H21">
        <v>6.96678343044149</v>
      </c>
      <c r="I21">
        <v>5.49688720703125</v>
      </c>
      <c r="J21">
        <v>0.42840943443761598</v>
      </c>
      <c r="K21">
        <v>7.2289853856030604</v>
      </c>
      <c r="L21">
        <v>0.27868094154237</v>
      </c>
      <c r="M21">
        <v>5.5359931841288503</v>
      </c>
      <c r="N21">
        <v>0.40285466636586098</v>
      </c>
      <c r="O21">
        <v>4.40869140625</v>
      </c>
      <c r="P21">
        <v>0.318150252554734</v>
      </c>
      <c r="Q21" t="s">
        <v>114</v>
      </c>
    </row>
    <row r="22" spans="1:17" x14ac:dyDescent="0.6">
      <c r="A22" t="s">
        <v>208</v>
      </c>
      <c r="B22">
        <v>90</v>
      </c>
      <c r="C22" t="s">
        <v>92</v>
      </c>
      <c r="D22" t="s">
        <v>8</v>
      </c>
      <c r="E22" t="str">
        <f>"2."&amp;D22</f>
        <v>2.Macro + Event</v>
      </c>
      <c r="F22">
        <v>1</v>
      </c>
      <c r="G22" t="s">
        <v>160</v>
      </c>
      <c r="H22">
        <v>6.9823729999999999</v>
      </c>
      <c r="I22">
        <v>5.4585850000000002</v>
      </c>
      <c r="J22">
        <v>0.42615500000000001</v>
      </c>
      <c r="K22">
        <v>7.8758290000000004</v>
      </c>
      <c r="L22">
        <v>0.33429999999999999</v>
      </c>
      <c r="M22">
        <v>5.987158</v>
      </c>
      <c r="N22">
        <v>0.43723400000000001</v>
      </c>
      <c r="O22">
        <v>4.4137570000000004</v>
      </c>
      <c r="P22">
        <v>0.31723600000000002</v>
      </c>
      <c r="Q22" t="s">
        <v>114</v>
      </c>
    </row>
    <row r="23" spans="1:17" x14ac:dyDescent="0.6">
      <c r="A23" t="s">
        <v>209</v>
      </c>
      <c r="B23">
        <v>20</v>
      </c>
      <c r="C23" t="s">
        <v>99</v>
      </c>
      <c r="D23" t="s">
        <v>210</v>
      </c>
      <c r="E23" t="str">
        <f>"8."&amp;D23</f>
        <v>8.Macro + Event + Sentiment (Both)</v>
      </c>
      <c r="F23">
        <v>1</v>
      </c>
      <c r="G23" t="s">
        <v>211</v>
      </c>
      <c r="H23">
        <v>8.7100883473392301</v>
      </c>
      <c r="I23">
        <v>7.0094398635122701</v>
      </c>
      <c r="J23">
        <v>0.53512031280584305</v>
      </c>
      <c r="K23">
        <v>6.8747985261939704</v>
      </c>
      <c r="L23">
        <v>0.25359787741442003</v>
      </c>
      <c r="M23">
        <v>5.3039641203703702</v>
      </c>
      <c r="N23">
        <v>0.38824872459356102</v>
      </c>
      <c r="O23">
        <v>4.4156494140625</v>
      </c>
      <c r="P23">
        <v>0.32047466514452699</v>
      </c>
      <c r="Q23" t="s">
        <v>90</v>
      </c>
    </row>
    <row r="24" spans="1:17" x14ac:dyDescent="0.6">
      <c r="A24" t="s">
        <v>212</v>
      </c>
      <c r="B24">
        <v>10</v>
      </c>
      <c r="C24" t="s">
        <v>92</v>
      </c>
      <c r="D24" t="s">
        <v>177</v>
      </c>
      <c r="E24" t="str">
        <f>"8."&amp;D24</f>
        <v>8.Macro + Event + Sentiment (Both)</v>
      </c>
      <c r="F24">
        <v>1</v>
      </c>
      <c r="G24" t="s">
        <v>213</v>
      </c>
      <c r="H24">
        <v>8.7362216556952195</v>
      </c>
      <c r="I24">
        <v>7.0352588037919404</v>
      </c>
      <c r="J24">
        <v>0.53662371910331497</v>
      </c>
      <c r="K24">
        <v>7.1431431075978802</v>
      </c>
      <c r="L24">
        <v>0.27378740682967301</v>
      </c>
      <c r="M24">
        <v>5.5197159758711196</v>
      </c>
      <c r="N24">
        <v>0.40412142626686098</v>
      </c>
      <c r="O24">
        <v>4.41717529296875</v>
      </c>
      <c r="P24">
        <v>0.32674482651939801</v>
      </c>
      <c r="Q24" t="s">
        <v>90</v>
      </c>
    </row>
    <row r="25" spans="1:17" x14ac:dyDescent="0.6">
      <c r="A25" t="s">
        <v>214</v>
      </c>
      <c r="B25">
        <v>30</v>
      </c>
      <c r="C25" t="s">
        <v>6</v>
      </c>
      <c r="D25" t="s">
        <v>181</v>
      </c>
      <c r="E25" t="str">
        <f>"3."&amp;D25</f>
        <v>3.Macro + Sentiment (Direct)</v>
      </c>
      <c r="F25">
        <v>1</v>
      </c>
      <c r="G25" t="s">
        <v>215</v>
      </c>
      <c r="H25">
        <v>8.88119547143293</v>
      </c>
      <c r="I25">
        <v>7.1739417125037699</v>
      </c>
      <c r="J25">
        <v>0.54824016182711499</v>
      </c>
      <c r="K25">
        <v>7.16134862043317</v>
      </c>
      <c r="L25">
        <v>0.27464741652158503</v>
      </c>
      <c r="M25">
        <v>5.4657379446677696</v>
      </c>
      <c r="N25">
        <v>0.39960011205711199</v>
      </c>
      <c r="O25">
        <v>4.4232177734375</v>
      </c>
      <c r="P25">
        <v>0.32861493987000201</v>
      </c>
      <c r="Q25" t="s">
        <v>93</v>
      </c>
    </row>
    <row r="26" spans="1:17" x14ac:dyDescent="0.6">
      <c r="A26" t="s">
        <v>216</v>
      </c>
      <c r="B26">
        <v>20</v>
      </c>
      <c r="C26" t="s">
        <v>92</v>
      </c>
      <c r="D26" t="s">
        <v>181</v>
      </c>
      <c r="E26" t="str">
        <f>"3."&amp;D26</f>
        <v>3.Macro + Sentiment (Direct)</v>
      </c>
      <c r="F26">
        <v>1</v>
      </c>
      <c r="G26" t="s">
        <v>217</v>
      </c>
      <c r="H26">
        <v>8.7174169468631</v>
      </c>
      <c r="I26">
        <v>6.9989352018936799</v>
      </c>
      <c r="J26">
        <v>0.53406374156202696</v>
      </c>
      <c r="K26">
        <v>6.9520980264162597</v>
      </c>
      <c r="L26">
        <v>0.25962339982994898</v>
      </c>
      <c r="M26">
        <v>5.3379471390335604</v>
      </c>
      <c r="N26">
        <v>0.39084732281409901</v>
      </c>
      <c r="O26">
        <v>4.426025390625</v>
      </c>
      <c r="P26">
        <v>0.32643863680408203</v>
      </c>
      <c r="Q26" t="s">
        <v>90</v>
      </c>
    </row>
    <row r="27" spans="1:17" x14ac:dyDescent="0.6">
      <c r="A27" t="s">
        <v>218</v>
      </c>
      <c r="B27">
        <v>5</v>
      </c>
      <c r="C27" t="s">
        <v>99</v>
      </c>
      <c r="D27" t="s">
        <v>171</v>
      </c>
      <c r="E27" t="str">
        <f>"4."&amp;D27</f>
        <v>4.Macro + Sentiment (Indirect)</v>
      </c>
      <c r="F27">
        <v>1</v>
      </c>
      <c r="G27" t="s">
        <v>219</v>
      </c>
      <c r="H27">
        <v>8.7459571522012993</v>
      </c>
      <c r="I27">
        <v>6.9909401451087598</v>
      </c>
      <c r="J27">
        <v>0.53336153850328205</v>
      </c>
      <c r="K27">
        <v>7.14886393737555</v>
      </c>
      <c r="L27">
        <v>0.27624827482195097</v>
      </c>
      <c r="M27">
        <v>5.4371781782670396</v>
      </c>
      <c r="N27">
        <v>0.399022550841937</v>
      </c>
      <c r="O27">
        <v>4.427978515625</v>
      </c>
      <c r="P27">
        <v>0.3327080725596</v>
      </c>
      <c r="Q27" t="s">
        <v>90</v>
      </c>
    </row>
    <row r="28" spans="1:17" x14ac:dyDescent="0.6">
      <c r="A28" t="s">
        <v>220</v>
      </c>
      <c r="B28">
        <v>20</v>
      </c>
      <c r="C28" t="s">
        <v>6</v>
      </c>
      <c r="D28" t="s">
        <v>8</v>
      </c>
      <c r="E28" t="str">
        <f>"2."&amp;D28</f>
        <v>2.Macro + Event</v>
      </c>
      <c r="F28">
        <v>1</v>
      </c>
      <c r="G28" t="s">
        <v>120</v>
      </c>
      <c r="H28" s="13">
        <v>8.7212095813586199</v>
      </c>
      <c r="I28">
        <v>6.9902521704164</v>
      </c>
      <c r="J28">
        <v>0.533626616661943</v>
      </c>
      <c r="K28">
        <v>7.1777958405386597</v>
      </c>
      <c r="L28">
        <v>0.27791071598327999</v>
      </c>
      <c r="M28" s="13">
        <v>5.4973658808955399</v>
      </c>
      <c r="N28" s="13">
        <v>0.402926704755806</v>
      </c>
      <c r="O28">
        <v>4.43603515625</v>
      </c>
      <c r="P28" s="13">
        <v>0.32673135791585201</v>
      </c>
      <c r="Q28" t="s">
        <v>90</v>
      </c>
    </row>
    <row r="29" spans="1:17" x14ac:dyDescent="0.6">
      <c r="A29" t="s">
        <v>221</v>
      </c>
      <c r="B29">
        <v>5</v>
      </c>
      <c r="C29" t="s">
        <v>6</v>
      </c>
      <c r="D29" t="s">
        <v>171</v>
      </c>
      <c r="E29" t="str">
        <f>"4."&amp;D29</f>
        <v>4.Macro + Sentiment (Indirect)</v>
      </c>
      <c r="F29">
        <v>1</v>
      </c>
      <c r="G29" t="s">
        <v>222</v>
      </c>
      <c r="H29">
        <v>8.7542738217530793</v>
      </c>
      <c r="I29">
        <v>7.0426677561681403</v>
      </c>
      <c r="J29">
        <v>0.53717401394466102</v>
      </c>
      <c r="K29">
        <v>7.2455522397631702</v>
      </c>
      <c r="L29">
        <v>0.283180280203852</v>
      </c>
      <c r="M29">
        <v>5.5436261329815997</v>
      </c>
      <c r="N29">
        <v>0.40654590542004498</v>
      </c>
      <c r="O29">
        <v>4.436767578125</v>
      </c>
      <c r="P29">
        <v>0.33768952762023602</v>
      </c>
      <c r="Q29" t="s">
        <v>90</v>
      </c>
    </row>
    <row r="30" spans="1:17" x14ac:dyDescent="0.6">
      <c r="A30" t="s">
        <v>223</v>
      </c>
      <c r="B30">
        <v>20</v>
      </c>
      <c r="C30" t="s">
        <v>6</v>
      </c>
      <c r="D30" t="s">
        <v>174</v>
      </c>
      <c r="E30" t="str">
        <f>"5."&amp;D30</f>
        <v>5.Macro + Sentiment (Both)</v>
      </c>
      <c r="F30">
        <v>1</v>
      </c>
      <c r="G30" t="s">
        <v>224</v>
      </c>
      <c r="H30">
        <v>8.7913129222236197</v>
      </c>
      <c r="I30">
        <v>7.04863629743571</v>
      </c>
      <c r="J30">
        <v>0.53808511665544301</v>
      </c>
      <c r="K30">
        <v>6.9747408758165603</v>
      </c>
      <c r="L30">
        <v>0.26134295523631901</v>
      </c>
      <c r="M30">
        <v>5.3762438738787601</v>
      </c>
      <c r="N30">
        <v>0.39363596302541798</v>
      </c>
      <c r="O30">
        <v>4.43780517578125</v>
      </c>
      <c r="P30">
        <v>0.32400996650654401</v>
      </c>
      <c r="Q30" t="s">
        <v>90</v>
      </c>
    </row>
    <row r="31" spans="1:17" x14ac:dyDescent="0.6">
      <c r="A31" t="s">
        <v>225</v>
      </c>
      <c r="B31">
        <v>90</v>
      </c>
      <c r="C31" t="s">
        <v>6</v>
      </c>
      <c r="D31" t="s">
        <v>181</v>
      </c>
      <c r="E31" t="str">
        <f>"3."&amp;D31</f>
        <v>3.Macro + Sentiment (Direct)</v>
      </c>
      <c r="F31">
        <v>1</v>
      </c>
      <c r="G31" t="s">
        <v>226</v>
      </c>
      <c r="H31">
        <v>6.9684478409376496</v>
      </c>
      <c r="I31">
        <v>5.5361494584516997</v>
      </c>
      <c r="J31">
        <v>0.43131612528741298</v>
      </c>
      <c r="K31">
        <v>7.25330241816713</v>
      </c>
      <c r="L31">
        <v>0.28086431755179897</v>
      </c>
      <c r="M31">
        <v>5.4647233518835598</v>
      </c>
      <c r="N31">
        <v>0.397966677529559</v>
      </c>
      <c r="O31">
        <v>4.4476318359375</v>
      </c>
      <c r="P31">
        <v>0.32151564280713602</v>
      </c>
      <c r="Q31" t="s">
        <v>114</v>
      </c>
    </row>
    <row r="32" spans="1:17" x14ac:dyDescent="0.6">
      <c r="A32" t="s">
        <v>227</v>
      </c>
      <c r="B32">
        <v>30</v>
      </c>
      <c r="C32" t="s">
        <v>9</v>
      </c>
      <c r="D32" t="s">
        <v>171</v>
      </c>
      <c r="E32" t="str">
        <f>"4."&amp;D32</f>
        <v>4.Macro + Sentiment (Indirect)</v>
      </c>
      <c r="F32">
        <v>1</v>
      </c>
      <c r="G32" t="s">
        <v>228</v>
      </c>
      <c r="H32">
        <v>8.9645053356849296</v>
      </c>
      <c r="I32">
        <v>7.21503775093713</v>
      </c>
      <c r="J32">
        <v>0.551246822654197</v>
      </c>
      <c r="K32">
        <v>7.5494601922749904</v>
      </c>
      <c r="L32">
        <v>0.30704520414636399</v>
      </c>
      <c r="M32">
        <v>5.7602390918916804</v>
      </c>
      <c r="N32">
        <v>0.42193719397275498</v>
      </c>
      <c r="O32">
        <v>4.45001220703125</v>
      </c>
      <c r="P32">
        <v>0.32860352095671902</v>
      </c>
      <c r="Q32" t="s">
        <v>93</v>
      </c>
    </row>
    <row r="33" spans="1:17" x14ac:dyDescent="0.6">
      <c r="A33" t="s">
        <v>230</v>
      </c>
      <c r="B33">
        <v>20</v>
      </c>
      <c r="C33" t="s">
        <v>99</v>
      </c>
      <c r="D33" t="s">
        <v>171</v>
      </c>
      <c r="E33" t="str">
        <f>"4."&amp;D33</f>
        <v>4.Macro + Sentiment (Indirect)</v>
      </c>
      <c r="F33">
        <v>1</v>
      </c>
      <c r="G33" t="s">
        <v>231</v>
      </c>
      <c r="H33">
        <v>8.6969041203063</v>
      </c>
      <c r="I33">
        <v>7.0400768387348096</v>
      </c>
      <c r="J33">
        <v>0.537478758215439</v>
      </c>
      <c r="K33">
        <v>6.96605526634516</v>
      </c>
      <c r="L33">
        <v>0.26092077600993496</v>
      </c>
      <c r="M33">
        <v>5.3270828812210604</v>
      </c>
      <c r="N33">
        <v>0.39003821670113398</v>
      </c>
      <c r="O33">
        <v>4.456787109375</v>
      </c>
      <c r="P33">
        <v>0.33384280235031599</v>
      </c>
      <c r="Q33" t="s">
        <v>90</v>
      </c>
    </row>
    <row r="34" spans="1:17" x14ac:dyDescent="0.6">
      <c r="A34" t="s">
        <v>232</v>
      </c>
      <c r="B34">
        <v>30</v>
      </c>
      <c r="C34" t="s">
        <v>99</v>
      </c>
      <c r="D34" t="s">
        <v>184</v>
      </c>
      <c r="E34" t="str">
        <f>"7."&amp;D34</f>
        <v>7.Macro + Event + Sentiment (Indirect)</v>
      </c>
      <c r="F34">
        <v>1</v>
      </c>
      <c r="G34" t="s">
        <v>233</v>
      </c>
      <c r="H34">
        <v>8.9599132368622705</v>
      </c>
      <c r="I34">
        <v>7.2110308108959398</v>
      </c>
      <c r="J34">
        <v>0.55100601705768304</v>
      </c>
      <c r="K34">
        <v>7.0746923752344202</v>
      </c>
      <c r="L34">
        <v>0.26837916375609</v>
      </c>
      <c r="M34">
        <v>5.4036343768962301</v>
      </c>
      <c r="N34">
        <v>0.39516464047175898</v>
      </c>
      <c r="O34">
        <v>4.46380615234375</v>
      </c>
      <c r="P34">
        <v>0.32595539820685598</v>
      </c>
      <c r="Q34" t="s">
        <v>93</v>
      </c>
    </row>
    <row r="35" spans="1:17" x14ac:dyDescent="0.6">
      <c r="A35" t="s">
        <v>234</v>
      </c>
      <c r="B35">
        <v>90</v>
      </c>
      <c r="C35" t="s">
        <v>99</v>
      </c>
      <c r="D35" t="s">
        <v>8</v>
      </c>
      <c r="E35" t="str">
        <f>"2."&amp;D35</f>
        <v>2.Macro + Event</v>
      </c>
      <c r="F35">
        <v>1</v>
      </c>
      <c r="G35" t="s">
        <v>126</v>
      </c>
      <c r="H35">
        <v>6.9404859999999999</v>
      </c>
      <c r="I35">
        <v>5.3550909999999998</v>
      </c>
      <c r="J35">
        <v>0.417993</v>
      </c>
      <c r="K35">
        <v>7.2208379999999996</v>
      </c>
      <c r="L35">
        <v>0.27789999999999998</v>
      </c>
      <c r="M35">
        <v>5.5475659999999998</v>
      </c>
      <c r="N35">
        <v>0.40374199999999999</v>
      </c>
      <c r="O35">
        <v>4.4656370000000001</v>
      </c>
      <c r="P35">
        <v>0.32366</v>
      </c>
      <c r="Q35" t="s">
        <v>114</v>
      </c>
    </row>
    <row r="36" spans="1:17" x14ac:dyDescent="0.6">
      <c r="A36" t="s">
        <v>235</v>
      </c>
      <c r="B36">
        <v>90</v>
      </c>
      <c r="C36" t="s">
        <v>92</v>
      </c>
      <c r="D36" t="s">
        <v>7</v>
      </c>
      <c r="E36" t="str">
        <f>"1."&amp;D36</f>
        <v>1.Macro Only</v>
      </c>
      <c r="F36">
        <v>1</v>
      </c>
      <c r="G36" t="s">
        <v>113</v>
      </c>
      <c r="H36">
        <v>6.9550789999999996</v>
      </c>
      <c r="I36">
        <v>5.5282980000000004</v>
      </c>
      <c r="J36">
        <v>0.43144399999999999</v>
      </c>
      <c r="K36">
        <v>7.1349489999999998</v>
      </c>
      <c r="L36">
        <v>0.27160000000000001</v>
      </c>
      <c r="M36">
        <v>5.4568960000000004</v>
      </c>
      <c r="N36">
        <v>0.397374</v>
      </c>
      <c r="O36">
        <v>4.4688720000000002</v>
      </c>
      <c r="P36">
        <v>0.32714700000000002</v>
      </c>
      <c r="Q36" t="s">
        <v>114</v>
      </c>
    </row>
    <row r="37" spans="1:17" x14ac:dyDescent="0.6">
      <c r="A37" t="s">
        <v>236</v>
      </c>
      <c r="B37">
        <v>60</v>
      </c>
      <c r="C37" t="s">
        <v>92</v>
      </c>
      <c r="D37" t="s">
        <v>167</v>
      </c>
      <c r="E37" t="str">
        <f>"6."&amp;D37</f>
        <v>6.Macro + Event + Sentiment (Direct)</v>
      </c>
      <c r="F37">
        <v>1</v>
      </c>
      <c r="G37" t="s">
        <v>237</v>
      </c>
      <c r="H37">
        <v>8.4234848228421804</v>
      </c>
      <c r="I37">
        <v>6.8762642996651699</v>
      </c>
      <c r="J37">
        <v>0.53171512207902205</v>
      </c>
      <c r="K37">
        <v>7.4105862167040399</v>
      </c>
      <c r="L37">
        <v>0.29231740512652599</v>
      </c>
      <c r="M37">
        <v>5.7145420421253501</v>
      </c>
      <c r="N37">
        <v>0.41594271941254002</v>
      </c>
      <c r="O37">
        <v>4.47119140625</v>
      </c>
      <c r="P37">
        <v>0.33018144868187999</v>
      </c>
      <c r="Q37" t="s">
        <v>135</v>
      </c>
    </row>
    <row r="38" spans="1:17" x14ac:dyDescent="0.6">
      <c r="A38" t="s">
        <v>238</v>
      </c>
      <c r="B38">
        <v>20</v>
      </c>
      <c r="C38" t="s">
        <v>6</v>
      </c>
      <c r="D38" t="s">
        <v>167</v>
      </c>
      <c r="E38" t="str">
        <f>"6."&amp;D38</f>
        <v>6.Macro + Event + Sentiment (Direct)</v>
      </c>
      <c r="F38">
        <v>1</v>
      </c>
      <c r="G38" t="s">
        <v>239</v>
      </c>
      <c r="H38">
        <v>8.73956223564279</v>
      </c>
      <c r="I38">
        <v>7.0514969301345696</v>
      </c>
      <c r="J38">
        <v>0.53834291266406198</v>
      </c>
      <c r="K38">
        <v>6.9094331881194302</v>
      </c>
      <c r="L38">
        <v>0.25553018850190301</v>
      </c>
      <c r="M38">
        <v>5.3485276963975696</v>
      </c>
      <c r="N38">
        <v>0.39119348551821298</v>
      </c>
      <c r="O38">
        <v>4.47320556640625</v>
      </c>
      <c r="P38">
        <v>0.33340449798418897</v>
      </c>
      <c r="Q38" t="s">
        <v>90</v>
      </c>
    </row>
    <row r="39" spans="1:17" x14ac:dyDescent="0.6">
      <c r="A39" t="s">
        <v>240</v>
      </c>
      <c r="B39">
        <v>60</v>
      </c>
      <c r="C39" t="s">
        <v>6</v>
      </c>
      <c r="D39" t="s">
        <v>167</v>
      </c>
      <c r="E39" t="str">
        <f>"6."&amp;D39</f>
        <v>6.Macro + Event + Sentiment (Direct)</v>
      </c>
      <c r="F39">
        <v>1</v>
      </c>
      <c r="G39" t="s">
        <v>241</v>
      </c>
      <c r="H39">
        <v>8.4845097797249007</v>
      </c>
      <c r="I39">
        <v>6.8333948156335804</v>
      </c>
      <c r="J39">
        <v>0.52829673005314504</v>
      </c>
      <c r="K39">
        <v>7.7816613534227503</v>
      </c>
      <c r="L39">
        <v>0.32546652773861301</v>
      </c>
      <c r="M39">
        <v>5.9491840709339403</v>
      </c>
      <c r="N39">
        <v>0.43443104377874298</v>
      </c>
      <c r="O39">
        <v>4.474609375</v>
      </c>
      <c r="P39">
        <v>0.32742282546845097</v>
      </c>
      <c r="Q39" t="s">
        <v>135</v>
      </c>
    </row>
    <row r="40" spans="1:17" x14ac:dyDescent="0.6">
      <c r="A40" t="s">
        <v>242</v>
      </c>
      <c r="B40">
        <v>30</v>
      </c>
      <c r="C40" t="s">
        <v>6</v>
      </c>
      <c r="D40" t="s">
        <v>7</v>
      </c>
      <c r="E40" t="str">
        <f>"1."&amp;D40</f>
        <v>1.Macro Only</v>
      </c>
      <c r="F40">
        <v>1</v>
      </c>
      <c r="G40" t="s">
        <v>102</v>
      </c>
      <c r="H40" s="13">
        <v>8.8823086150320698</v>
      </c>
      <c r="I40" s="13">
        <v>7.1348947151254603</v>
      </c>
      <c r="J40" s="13">
        <v>0.54528725498835795</v>
      </c>
      <c r="K40" s="13">
        <v>7.0741044869479301</v>
      </c>
      <c r="L40">
        <v>0.26864105538190697</v>
      </c>
      <c r="M40" s="13">
        <v>5.39117490898058</v>
      </c>
      <c r="N40" s="13">
        <v>0.39437584931035502</v>
      </c>
      <c r="O40">
        <v>4.47637939453125</v>
      </c>
      <c r="P40" s="13">
        <v>0.31870420142372202</v>
      </c>
      <c r="Q40" t="s">
        <v>93</v>
      </c>
    </row>
    <row r="41" spans="1:17" x14ac:dyDescent="0.6">
      <c r="A41" t="s">
        <v>243</v>
      </c>
      <c r="B41">
        <v>20</v>
      </c>
      <c r="C41" t="s">
        <v>99</v>
      </c>
      <c r="D41" t="s">
        <v>8</v>
      </c>
      <c r="E41" t="str">
        <f>"2."&amp;D41</f>
        <v>2.Macro + Event</v>
      </c>
      <c r="F41">
        <v>1</v>
      </c>
      <c r="G41" t="s">
        <v>127</v>
      </c>
      <c r="H41">
        <v>8.7377050000000001</v>
      </c>
      <c r="I41">
        <v>6.9227350000000003</v>
      </c>
      <c r="J41">
        <v>0.528366</v>
      </c>
      <c r="K41">
        <v>7.224634</v>
      </c>
      <c r="L41">
        <v>0.27929999999999999</v>
      </c>
      <c r="M41">
        <v>5.581995</v>
      </c>
      <c r="N41">
        <v>0.40810000000000002</v>
      </c>
      <c r="O41">
        <v>4.4867549999999996</v>
      </c>
      <c r="P41">
        <v>0.32525700000000002</v>
      </c>
      <c r="Q41" t="s">
        <v>90</v>
      </c>
    </row>
    <row r="42" spans="1:17" x14ac:dyDescent="0.6">
      <c r="A42" t="s">
        <v>245</v>
      </c>
      <c r="B42">
        <v>10</v>
      </c>
      <c r="C42" t="s">
        <v>99</v>
      </c>
      <c r="D42" t="s">
        <v>171</v>
      </c>
      <c r="E42" t="str">
        <f>"4."&amp;D42</f>
        <v>4.Macro + Sentiment (Indirect)</v>
      </c>
      <c r="F42">
        <v>1</v>
      </c>
      <c r="G42" t="s">
        <v>246</v>
      </c>
      <c r="H42">
        <v>8.7973791230451095</v>
      </c>
      <c r="I42">
        <v>6.9661100223592998</v>
      </c>
      <c r="J42">
        <v>0.53128192014350994</v>
      </c>
      <c r="K42">
        <v>7.1364558498293302</v>
      </c>
      <c r="L42">
        <v>0.27440496856316204</v>
      </c>
      <c r="M42">
        <v>5.4772344268528697</v>
      </c>
      <c r="N42">
        <v>0.40156658145480401</v>
      </c>
      <c r="O42">
        <v>4.4888916015625</v>
      </c>
      <c r="P42">
        <v>0.32502688811716302</v>
      </c>
      <c r="Q42" t="s">
        <v>90</v>
      </c>
    </row>
    <row r="43" spans="1:17" x14ac:dyDescent="0.6">
      <c r="A43" t="s">
        <v>248</v>
      </c>
      <c r="B43">
        <v>10</v>
      </c>
      <c r="C43" t="s">
        <v>9</v>
      </c>
      <c r="D43" t="s">
        <v>184</v>
      </c>
      <c r="E43" t="str">
        <f>"7."&amp;D43</f>
        <v>7.Macro + Event + Sentiment (Indirect)</v>
      </c>
      <c r="F43">
        <v>1</v>
      </c>
      <c r="G43" t="s">
        <v>185</v>
      </c>
      <c r="H43">
        <v>8.7751240824947292</v>
      </c>
      <c r="I43">
        <v>7.00674120872808</v>
      </c>
      <c r="J43">
        <v>0.53425735359302196</v>
      </c>
      <c r="K43">
        <v>7.20176695322552</v>
      </c>
      <c r="L43">
        <v>0.278693409149886</v>
      </c>
      <c r="M43">
        <v>5.50022955700359</v>
      </c>
      <c r="N43">
        <v>0.40295960123583902</v>
      </c>
      <c r="O43">
        <v>4.4947509765625</v>
      </c>
      <c r="P43">
        <v>0.32732746862628498</v>
      </c>
      <c r="Q43" t="s">
        <v>90</v>
      </c>
    </row>
    <row r="44" spans="1:17" x14ac:dyDescent="0.6">
      <c r="A44" t="s">
        <v>249</v>
      </c>
      <c r="B44">
        <v>60</v>
      </c>
      <c r="C44" t="s">
        <v>92</v>
      </c>
      <c r="D44" t="s">
        <v>7</v>
      </c>
      <c r="E44" t="str">
        <f>"1."&amp;D44</f>
        <v>1.Macro Only</v>
      </c>
      <c r="F44">
        <v>1</v>
      </c>
      <c r="G44" t="s">
        <v>134</v>
      </c>
      <c r="H44">
        <v>8.4138420000000007</v>
      </c>
      <c r="I44">
        <v>6.8743990000000004</v>
      </c>
      <c r="J44">
        <v>0.53144800000000003</v>
      </c>
      <c r="K44">
        <v>7.2754630000000002</v>
      </c>
      <c r="L44">
        <v>0.28189999999999998</v>
      </c>
      <c r="M44">
        <v>5.5962430000000003</v>
      </c>
      <c r="N44">
        <v>0.40754000000000001</v>
      </c>
      <c r="O44">
        <v>4.4950559999999999</v>
      </c>
      <c r="P44">
        <v>0.33418700000000001</v>
      </c>
      <c r="Q44" t="s">
        <v>135</v>
      </c>
    </row>
    <row r="45" spans="1:17" x14ac:dyDescent="0.6">
      <c r="A45" t="s">
        <v>250</v>
      </c>
      <c r="B45">
        <v>90</v>
      </c>
      <c r="C45" t="s">
        <v>99</v>
      </c>
      <c r="D45" t="s">
        <v>174</v>
      </c>
      <c r="E45" t="str">
        <f>"5."&amp;D45</f>
        <v>5.Macro + Sentiment (Both)</v>
      </c>
      <c r="F45">
        <v>1</v>
      </c>
      <c r="G45" t="s">
        <v>251</v>
      </c>
      <c r="H45">
        <v>6.9039978543747802</v>
      </c>
      <c r="I45">
        <v>5.5073815548058702</v>
      </c>
      <c r="J45">
        <v>0.429648682147038</v>
      </c>
      <c r="K45">
        <v>7.25942579966366</v>
      </c>
      <c r="L45">
        <v>0.28020475115933202</v>
      </c>
      <c r="M45">
        <v>5.5426719351990501</v>
      </c>
      <c r="N45">
        <v>0.40314418100601201</v>
      </c>
      <c r="O45">
        <v>4.49603271484375</v>
      </c>
      <c r="P45">
        <v>0.32887792502687402</v>
      </c>
      <c r="Q45" t="s">
        <v>114</v>
      </c>
    </row>
    <row r="46" spans="1:17" x14ac:dyDescent="0.6">
      <c r="A46" t="s">
        <v>252</v>
      </c>
      <c r="B46">
        <v>30</v>
      </c>
      <c r="C46" t="s">
        <v>92</v>
      </c>
      <c r="D46" t="s">
        <v>171</v>
      </c>
      <c r="E46" t="str">
        <f>"4."&amp;D46</f>
        <v>4.Macro + Sentiment (Indirect)</v>
      </c>
      <c r="F46">
        <v>1</v>
      </c>
      <c r="G46" t="s">
        <v>253</v>
      </c>
      <c r="H46">
        <v>8.8551178953347396</v>
      </c>
      <c r="I46">
        <v>7.1247838487937898</v>
      </c>
      <c r="J46">
        <v>0.54428592920526997</v>
      </c>
      <c r="K46">
        <v>7.1621247613176102</v>
      </c>
      <c r="L46">
        <v>0.27511767742896198</v>
      </c>
      <c r="M46">
        <v>5.5567585472921701</v>
      </c>
      <c r="N46">
        <v>0.40637251245662498</v>
      </c>
      <c r="O46">
        <v>4.49969482421875</v>
      </c>
      <c r="P46">
        <v>0.32721326169611298</v>
      </c>
      <c r="Q46" t="s">
        <v>93</v>
      </c>
    </row>
    <row r="47" spans="1:17" x14ac:dyDescent="0.6">
      <c r="A47" t="s">
        <v>254</v>
      </c>
      <c r="B47">
        <v>30</v>
      </c>
      <c r="C47" t="s">
        <v>6</v>
      </c>
      <c r="D47" t="s">
        <v>184</v>
      </c>
      <c r="E47" t="str">
        <f>"7."&amp;D47</f>
        <v>7.Macro + Event + Sentiment (Indirect)</v>
      </c>
      <c r="F47">
        <v>1</v>
      </c>
      <c r="G47" t="s">
        <v>255</v>
      </c>
      <c r="H47">
        <v>8.9185876639425299</v>
      </c>
      <c r="I47">
        <v>7.1638236723595803</v>
      </c>
      <c r="J47">
        <v>0.54740665084654505</v>
      </c>
      <c r="K47">
        <v>6.9449210895727402</v>
      </c>
      <c r="L47">
        <v>0.25812409549544302</v>
      </c>
      <c r="M47">
        <v>5.3968339938561796</v>
      </c>
      <c r="N47">
        <v>0.39450969559335802</v>
      </c>
      <c r="O47">
        <v>4.5006103515625</v>
      </c>
      <c r="P47">
        <v>0.329599423447896</v>
      </c>
      <c r="Q47" t="s">
        <v>93</v>
      </c>
    </row>
    <row r="48" spans="1:17" x14ac:dyDescent="0.6">
      <c r="A48" t="s">
        <v>256</v>
      </c>
      <c r="B48">
        <v>90</v>
      </c>
      <c r="C48" t="s">
        <v>92</v>
      </c>
      <c r="D48" t="s">
        <v>184</v>
      </c>
      <c r="E48" t="str">
        <f>"7."&amp;D48</f>
        <v>7.Macro + Event + Sentiment (Indirect)</v>
      </c>
      <c r="F48">
        <v>1</v>
      </c>
      <c r="G48" t="s">
        <v>257</v>
      </c>
      <c r="H48">
        <v>6.9759734859665503</v>
      </c>
      <c r="I48">
        <v>5.5083507191051098</v>
      </c>
      <c r="J48">
        <v>0.42977070577689502</v>
      </c>
      <c r="K48">
        <v>7.4781059670419898</v>
      </c>
      <c r="L48">
        <v>0.297290778011298</v>
      </c>
      <c r="M48">
        <v>5.7601468857020501</v>
      </c>
      <c r="N48">
        <v>0.41881793482940599</v>
      </c>
      <c r="O48">
        <v>4.50250244140625</v>
      </c>
      <c r="P48">
        <v>0.32638429542382402</v>
      </c>
      <c r="Q48" t="s">
        <v>114</v>
      </c>
    </row>
    <row r="49" spans="1:17" x14ac:dyDescent="0.6">
      <c r="A49" t="s">
        <v>258</v>
      </c>
      <c r="B49">
        <v>60</v>
      </c>
      <c r="C49" t="s">
        <v>92</v>
      </c>
      <c r="D49" t="s">
        <v>8</v>
      </c>
      <c r="E49" t="str">
        <f>"2."&amp;D49</f>
        <v>2.Macro + Event</v>
      </c>
      <c r="F49">
        <v>1</v>
      </c>
      <c r="G49" t="s">
        <v>141</v>
      </c>
      <c r="H49">
        <v>8.4649870000000007</v>
      </c>
      <c r="I49">
        <v>6.9158369999999998</v>
      </c>
      <c r="J49">
        <v>0.53463700000000003</v>
      </c>
      <c r="K49">
        <v>7.3410529999999996</v>
      </c>
      <c r="L49">
        <v>0.28809999999999997</v>
      </c>
      <c r="M49">
        <v>5.6173570000000002</v>
      </c>
      <c r="N49">
        <v>0.40954499999999999</v>
      </c>
      <c r="O49">
        <v>4.5057980000000004</v>
      </c>
      <c r="P49">
        <v>0.330175</v>
      </c>
      <c r="Q49" t="s">
        <v>135</v>
      </c>
    </row>
    <row r="50" spans="1:17" x14ac:dyDescent="0.6">
      <c r="A50" t="s">
        <v>259</v>
      </c>
      <c r="B50">
        <v>60</v>
      </c>
      <c r="C50" t="s">
        <v>9</v>
      </c>
      <c r="D50" t="s">
        <v>8</v>
      </c>
      <c r="E50" t="str">
        <f>"2."&amp;D50</f>
        <v>2.Macro + Event</v>
      </c>
      <c r="F50">
        <v>1</v>
      </c>
      <c r="G50" t="s">
        <v>154</v>
      </c>
      <c r="H50" s="13">
        <v>8.2972098186660403</v>
      </c>
      <c r="I50" s="13">
        <v>6.7172210190322303</v>
      </c>
      <c r="J50" s="13">
        <v>0.51941760302013795</v>
      </c>
      <c r="K50" s="13">
        <v>7.5538931316901596</v>
      </c>
      <c r="L50">
        <v>0.30560981843080198</v>
      </c>
      <c r="M50" s="13">
        <v>5.7484637173739301</v>
      </c>
      <c r="N50" s="13">
        <v>0.41920186875356302</v>
      </c>
      <c r="O50">
        <v>4.50982666015625</v>
      </c>
      <c r="P50">
        <v>0.32744125759083598</v>
      </c>
      <c r="Q50" t="s">
        <v>135</v>
      </c>
    </row>
    <row r="51" spans="1:17" x14ac:dyDescent="0.6">
      <c r="A51" t="s">
        <v>260</v>
      </c>
      <c r="B51">
        <v>20</v>
      </c>
      <c r="C51" t="s">
        <v>99</v>
      </c>
      <c r="D51" t="s">
        <v>184</v>
      </c>
      <c r="E51" t="str">
        <f>"7."&amp;D51</f>
        <v>7.Macro + Event + Sentiment (Indirect)</v>
      </c>
      <c r="F51">
        <v>1</v>
      </c>
      <c r="G51" t="s">
        <v>261</v>
      </c>
      <c r="H51">
        <v>8.7093090934152997</v>
      </c>
      <c r="I51">
        <v>7.0535987014965604</v>
      </c>
      <c r="J51">
        <v>0.53813434703157903</v>
      </c>
      <c r="K51">
        <v>7.0615957708037298</v>
      </c>
      <c r="L51">
        <v>0.26684443350425996</v>
      </c>
      <c r="M51">
        <v>5.4926418728298598</v>
      </c>
      <c r="N51">
        <v>0.40174695545087202</v>
      </c>
      <c r="O51">
        <v>4.51336669921875</v>
      </c>
      <c r="P51">
        <v>0.335762069531989</v>
      </c>
      <c r="Q51" t="s">
        <v>90</v>
      </c>
    </row>
    <row r="52" spans="1:17" x14ac:dyDescent="0.6">
      <c r="A52" t="s">
        <v>262</v>
      </c>
      <c r="B52">
        <v>20</v>
      </c>
      <c r="C52" t="s">
        <v>92</v>
      </c>
      <c r="D52" t="s">
        <v>184</v>
      </c>
      <c r="E52" t="str">
        <f>"7."&amp;D52</f>
        <v>7.Macro + Event + Sentiment (Indirect)</v>
      </c>
      <c r="F52">
        <v>1</v>
      </c>
      <c r="G52" t="s">
        <v>263</v>
      </c>
      <c r="H52">
        <v>8.6676486743263403</v>
      </c>
      <c r="I52">
        <v>6.9470892513499498</v>
      </c>
      <c r="J52">
        <v>0.53011100934659405</v>
      </c>
      <c r="K52">
        <v>7.0743080183710898</v>
      </c>
      <c r="L52">
        <v>0.26794008720461598</v>
      </c>
      <c r="M52">
        <v>5.4778284143518503</v>
      </c>
      <c r="N52">
        <v>0.40065980589008998</v>
      </c>
      <c r="O52">
        <v>4.514892578125</v>
      </c>
      <c r="P52">
        <v>0.33447051699409902</v>
      </c>
      <c r="Q52" t="s">
        <v>90</v>
      </c>
    </row>
    <row r="53" spans="1:17" x14ac:dyDescent="0.6">
      <c r="A53" t="s">
        <v>264</v>
      </c>
      <c r="B53">
        <v>90</v>
      </c>
      <c r="C53" t="s">
        <v>92</v>
      </c>
      <c r="D53" t="s">
        <v>177</v>
      </c>
      <c r="E53" t="str">
        <f>"8."&amp;D53</f>
        <v>8.Macro + Event + Sentiment (Both)</v>
      </c>
      <c r="F53">
        <v>1</v>
      </c>
      <c r="G53" t="s">
        <v>265</v>
      </c>
      <c r="H53">
        <v>6.9648077654448501</v>
      </c>
      <c r="I53">
        <v>5.5270959102746202</v>
      </c>
      <c r="J53">
        <v>0.43079023863983001</v>
      </c>
      <c r="K53">
        <v>7.5670439126798703</v>
      </c>
      <c r="L53">
        <v>0.30344841242670501</v>
      </c>
      <c r="M53">
        <v>5.8278214964148098</v>
      </c>
      <c r="N53">
        <v>0.42337012666499602</v>
      </c>
      <c r="O53">
        <v>4.5177001953125</v>
      </c>
      <c r="P53">
        <v>0.33029998213330902</v>
      </c>
      <c r="Q53" t="s">
        <v>114</v>
      </c>
    </row>
    <row r="54" spans="1:17" x14ac:dyDescent="0.6">
      <c r="A54" t="s">
        <v>267</v>
      </c>
      <c r="B54">
        <v>5</v>
      </c>
      <c r="C54" t="s">
        <v>99</v>
      </c>
      <c r="D54" t="s">
        <v>174</v>
      </c>
      <c r="E54" t="str">
        <f>"5."&amp;D54</f>
        <v>5.Macro + Sentiment (Both)</v>
      </c>
      <c r="F54">
        <v>1</v>
      </c>
      <c r="G54" t="s">
        <v>268</v>
      </c>
      <c r="H54">
        <v>8.7156108936474102</v>
      </c>
      <c r="I54">
        <v>6.9706504056346503</v>
      </c>
      <c r="J54">
        <v>0.53188635258721395</v>
      </c>
      <c r="K54">
        <v>7.0922195035267599</v>
      </c>
      <c r="L54">
        <v>0.27181047538282599</v>
      </c>
      <c r="M54">
        <v>5.3916216433306197</v>
      </c>
      <c r="N54">
        <v>0.39572528994735801</v>
      </c>
      <c r="O54">
        <v>4.5201416015625</v>
      </c>
      <c r="P54">
        <v>0.32848809443545401</v>
      </c>
      <c r="Q54" t="s">
        <v>90</v>
      </c>
    </row>
    <row r="55" spans="1:17" x14ac:dyDescent="0.6">
      <c r="A55" t="s">
        <v>269</v>
      </c>
      <c r="B55">
        <v>30</v>
      </c>
      <c r="C55" t="s">
        <v>99</v>
      </c>
      <c r="D55" t="s">
        <v>174</v>
      </c>
      <c r="E55" t="str">
        <f>"5."&amp;D55</f>
        <v>5.Macro + Sentiment (Both)</v>
      </c>
      <c r="F55">
        <v>1</v>
      </c>
      <c r="G55" t="s">
        <v>270</v>
      </c>
      <c r="H55">
        <v>9.0465831331260897</v>
      </c>
      <c r="I55">
        <v>7.2981439819849196</v>
      </c>
      <c r="J55">
        <v>0.55768695282298797</v>
      </c>
      <c r="K55">
        <v>7.2855276248303298</v>
      </c>
      <c r="L55">
        <v>0.28530570667898103</v>
      </c>
      <c r="M55">
        <v>5.5776900504399203</v>
      </c>
      <c r="N55">
        <v>0.408148622362841</v>
      </c>
      <c r="O55">
        <v>4.520751953125</v>
      </c>
      <c r="P55">
        <v>0.32368609900073497</v>
      </c>
      <c r="Q55" t="s">
        <v>93</v>
      </c>
    </row>
    <row r="56" spans="1:17" x14ac:dyDescent="0.6">
      <c r="A56" t="s">
        <v>271</v>
      </c>
      <c r="B56">
        <v>10</v>
      </c>
      <c r="C56" t="s">
        <v>99</v>
      </c>
      <c r="D56" t="s">
        <v>184</v>
      </c>
      <c r="E56" t="str">
        <f>"7."&amp;D56</f>
        <v>7.Macro + Event + Sentiment (Indirect)</v>
      </c>
      <c r="F56">
        <v>1</v>
      </c>
      <c r="G56" t="s">
        <v>272</v>
      </c>
      <c r="H56">
        <v>8.7671341515318808</v>
      </c>
      <c r="I56">
        <v>6.99640267718791</v>
      </c>
      <c r="J56">
        <v>0.53368879743952802</v>
      </c>
      <c r="K56">
        <v>7.0933020461992298</v>
      </c>
      <c r="L56">
        <v>0.27127378457727097</v>
      </c>
      <c r="M56">
        <v>5.4057876451880498</v>
      </c>
      <c r="N56">
        <v>0.396384793034188</v>
      </c>
      <c r="O56">
        <v>4.52130126953125</v>
      </c>
      <c r="P56">
        <v>0.32774827382439697</v>
      </c>
      <c r="Q56" t="s">
        <v>90</v>
      </c>
    </row>
    <row r="57" spans="1:17" x14ac:dyDescent="0.6">
      <c r="A57" t="s">
        <v>273</v>
      </c>
      <c r="B57">
        <v>5</v>
      </c>
      <c r="C57" t="s">
        <v>92</v>
      </c>
      <c r="D57" t="s">
        <v>171</v>
      </c>
      <c r="E57" t="str">
        <f>"4."&amp;D57</f>
        <v>4.Macro + Sentiment (Indirect)</v>
      </c>
      <c r="F57">
        <v>1</v>
      </c>
      <c r="G57" t="s">
        <v>274</v>
      </c>
      <c r="H57">
        <v>8.73376775619451</v>
      </c>
      <c r="I57">
        <v>6.9745817782575203</v>
      </c>
      <c r="J57">
        <v>0.53212286594330205</v>
      </c>
      <c r="K57">
        <v>7.31808395842548</v>
      </c>
      <c r="L57">
        <v>0.28843989116406699</v>
      </c>
      <c r="M57">
        <v>5.6063993379667201</v>
      </c>
      <c r="N57">
        <v>0.41094933187583599</v>
      </c>
      <c r="O57">
        <v>4.5218505859375</v>
      </c>
      <c r="P57">
        <v>0.33376193248677</v>
      </c>
      <c r="Q57" t="s">
        <v>90</v>
      </c>
    </row>
    <row r="58" spans="1:17" x14ac:dyDescent="0.6">
      <c r="A58" t="s">
        <v>275</v>
      </c>
      <c r="B58">
        <v>5</v>
      </c>
      <c r="C58" t="s">
        <v>6</v>
      </c>
      <c r="D58" t="s">
        <v>7</v>
      </c>
      <c r="E58" t="str">
        <f>"1."&amp;D58</f>
        <v>1.Macro Only</v>
      </c>
      <c r="F58">
        <v>1</v>
      </c>
      <c r="G58" t="s">
        <v>124</v>
      </c>
      <c r="H58" s="13">
        <v>8.6922131329482308</v>
      </c>
      <c r="I58" s="13">
        <v>6.9978791915434799</v>
      </c>
      <c r="J58" s="13">
        <v>0.53388464913963296</v>
      </c>
      <c r="K58">
        <v>7.2118313209826104</v>
      </c>
      <c r="L58">
        <v>0.27969763887461402</v>
      </c>
      <c r="M58" s="13">
        <v>5.5325652944061101</v>
      </c>
      <c r="N58" s="13">
        <v>0.40542799991422601</v>
      </c>
      <c r="O58">
        <v>4.523193359375</v>
      </c>
      <c r="P58" s="13">
        <v>0.33638539514433902</v>
      </c>
      <c r="Q58" t="s">
        <v>90</v>
      </c>
    </row>
    <row r="59" spans="1:17" x14ac:dyDescent="0.6">
      <c r="A59" t="s">
        <v>276</v>
      </c>
      <c r="B59">
        <v>5</v>
      </c>
      <c r="C59" t="s">
        <v>99</v>
      </c>
      <c r="D59" t="s">
        <v>177</v>
      </c>
      <c r="E59" t="str">
        <f>"8."&amp;D59</f>
        <v>8.Macro + Event + Sentiment (Both)</v>
      </c>
      <c r="F59">
        <v>1</v>
      </c>
      <c r="G59" t="s">
        <v>277</v>
      </c>
      <c r="H59">
        <v>8.7351186054149892</v>
      </c>
      <c r="I59">
        <v>7.0069993531001904</v>
      </c>
      <c r="J59">
        <v>0.53452790223188795</v>
      </c>
      <c r="K59">
        <v>7.2457837160154996</v>
      </c>
      <c r="L59">
        <v>0.282809736509259</v>
      </c>
      <c r="M59">
        <v>5.5456035663555197</v>
      </c>
      <c r="N59">
        <v>0.40650269275370299</v>
      </c>
      <c r="O59">
        <v>4.5252685546875</v>
      </c>
      <c r="P59">
        <v>0.329299401626026</v>
      </c>
      <c r="Q59" t="s">
        <v>90</v>
      </c>
    </row>
    <row r="60" spans="1:17" x14ac:dyDescent="0.6">
      <c r="A60" t="s">
        <v>278</v>
      </c>
      <c r="B60">
        <v>30</v>
      </c>
      <c r="C60" t="s">
        <v>9</v>
      </c>
      <c r="D60" t="s">
        <v>177</v>
      </c>
      <c r="E60" t="str">
        <f>"8."&amp;D60</f>
        <v>8.Macro + Event + Sentiment (Both)</v>
      </c>
      <c r="F60">
        <v>1</v>
      </c>
      <c r="G60" t="s">
        <v>279</v>
      </c>
      <c r="H60">
        <v>8.9536093620515906</v>
      </c>
      <c r="I60">
        <v>7.1696677629039298</v>
      </c>
      <c r="J60">
        <v>0.54820028175822499</v>
      </c>
      <c r="K60">
        <v>7.0785406480977997</v>
      </c>
      <c r="L60">
        <v>0.26886777306660098</v>
      </c>
      <c r="M60">
        <v>5.3913911986119496</v>
      </c>
      <c r="N60">
        <v>0.394443503702266</v>
      </c>
      <c r="O60">
        <v>4.52740478515625</v>
      </c>
      <c r="P60">
        <v>0.32923683635846901</v>
      </c>
      <c r="Q60" t="s">
        <v>93</v>
      </c>
    </row>
    <row r="61" spans="1:17" x14ac:dyDescent="0.6">
      <c r="A61" t="s">
        <v>281</v>
      </c>
      <c r="B61">
        <v>30</v>
      </c>
      <c r="C61" t="s">
        <v>92</v>
      </c>
      <c r="D61" t="s">
        <v>7</v>
      </c>
      <c r="E61" t="str">
        <f>"1."&amp;D61</f>
        <v>1.Macro Only</v>
      </c>
      <c r="F61">
        <v>1</v>
      </c>
      <c r="G61" t="s">
        <v>107</v>
      </c>
      <c r="H61">
        <v>8.8445169999999997</v>
      </c>
      <c r="I61">
        <v>7.1684669999999997</v>
      </c>
      <c r="J61">
        <v>0.54779999999999995</v>
      </c>
      <c r="K61">
        <v>7.102481</v>
      </c>
      <c r="L61">
        <v>0.26960000000000001</v>
      </c>
      <c r="M61">
        <v>5.5047560000000004</v>
      </c>
      <c r="N61">
        <v>0.402221</v>
      </c>
      <c r="O61">
        <v>4.533569</v>
      </c>
      <c r="P61">
        <v>0.33159</v>
      </c>
      <c r="Q61" t="s">
        <v>93</v>
      </c>
    </row>
    <row r="62" spans="1:17" x14ac:dyDescent="0.6">
      <c r="A62" t="s">
        <v>282</v>
      </c>
      <c r="B62">
        <v>30</v>
      </c>
      <c r="C62" t="s">
        <v>99</v>
      </c>
      <c r="D62" t="s">
        <v>7</v>
      </c>
      <c r="E62" t="str">
        <f>"1."&amp;D62</f>
        <v>1.Macro Only</v>
      </c>
      <c r="F62">
        <v>1</v>
      </c>
      <c r="G62" t="s">
        <v>133</v>
      </c>
      <c r="H62">
        <v>8.8176419999999993</v>
      </c>
      <c r="I62">
        <v>7.1333419999999998</v>
      </c>
      <c r="J62">
        <v>0.54507499999999998</v>
      </c>
      <c r="K62">
        <v>7.2696249999999996</v>
      </c>
      <c r="L62">
        <v>0.28449999999999998</v>
      </c>
      <c r="M62">
        <v>5.5980309999999998</v>
      </c>
      <c r="N62">
        <v>0.40990300000000002</v>
      </c>
      <c r="O62">
        <v>4.5358890000000001</v>
      </c>
      <c r="P62">
        <v>0.332318</v>
      </c>
      <c r="Q62" t="s">
        <v>93</v>
      </c>
    </row>
    <row r="63" spans="1:17" x14ac:dyDescent="0.6">
      <c r="A63" t="s">
        <v>283</v>
      </c>
      <c r="B63">
        <v>90</v>
      </c>
      <c r="C63" t="s">
        <v>6</v>
      </c>
      <c r="D63" t="s">
        <v>184</v>
      </c>
      <c r="E63" t="str">
        <f>"7."&amp;D63</f>
        <v>7.Macro + Event + Sentiment (Indirect)</v>
      </c>
      <c r="F63">
        <v>1</v>
      </c>
      <c r="G63" t="s">
        <v>284</v>
      </c>
      <c r="H63">
        <v>6.9900824762899099</v>
      </c>
      <c r="I63">
        <v>5.5448922821969697</v>
      </c>
      <c r="J63">
        <v>0.43208221004040598</v>
      </c>
      <c r="K63">
        <v>7.5520015170068699</v>
      </c>
      <c r="L63">
        <v>0.30249248850452704</v>
      </c>
      <c r="M63">
        <v>5.7659092733304798</v>
      </c>
      <c r="N63">
        <v>0.41896272071794399</v>
      </c>
      <c r="O63">
        <v>4.53607177734375</v>
      </c>
      <c r="P63">
        <v>0.33432554993896901</v>
      </c>
      <c r="Q63" t="s">
        <v>114</v>
      </c>
    </row>
    <row r="64" spans="1:17" x14ac:dyDescent="0.6">
      <c r="A64" t="s">
        <v>285</v>
      </c>
      <c r="B64">
        <v>5</v>
      </c>
      <c r="C64" t="s">
        <v>99</v>
      </c>
      <c r="D64" t="s">
        <v>7</v>
      </c>
      <c r="E64" t="str">
        <f>"1."&amp;D64</f>
        <v>1.Macro Only</v>
      </c>
      <c r="F64">
        <v>1</v>
      </c>
      <c r="G64" t="s">
        <v>118</v>
      </c>
      <c r="H64">
        <v>8.6862169999999992</v>
      </c>
      <c r="I64">
        <v>7.0010690000000002</v>
      </c>
      <c r="J64">
        <v>0.53403500000000004</v>
      </c>
      <c r="K64">
        <v>7.1601179999999998</v>
      </c>
      <c r="L64">
        <v>0.2772</v>
      </c>
      <c r="M64">
        <v>5.4565830000000002</v>
      </c>
      <c r="N64">
        <v>0.40040500000000001</v>
      </c>
      <c r="O64">
        <v>4.5373539999999997</v>
      </c>
      <c r="P64">
        <v>0.32225999999999999</v>
      </c>
      <c r="Q64" t="s">
        <v>90</v>
      </c>
    </row>
    <row r="65" spans="1:17" x14ac:dyDescent="0.6">
      <c r="A65" t="s">
        <v>286</v>
      </c>
      <c r="B65">
        <v>10</v>
      </c>
      <c r="C65" t="s">
        <v>92</v>
      </c>
      <c r="D65" t="s">
        <v>181</v>
      </c>
      <c r="E65" t="str">
        <f>"3."&amp;D65</f>
        <v>3.Macro + Sentiment (Direct)</v>
      </c>
      <c r="F65">
        <v>1</v>
      </c>
      <c r="G65" t="s">
        <v>287</v>
      </c>
      <c r="H65">
        <v>8.7417267816007804</v>
      </c>
      <c r="I65">
        <v>7.0436178354116503</v>
      </c>
      <c r="J65">
        <v>0.53711320218132896</v>
      </c>
      <c r="K65">
        <v>7.3240493936454198</v>
      </c>
      <c r="L65">
        <v>0.28785570432778401</v>
      </c>
      <c r="M65">
        <v>5.6368057115942998</v>
      </c>
      <c r="N65">
        <v>0.412695655369684</v>
      </c>
      <c r="O65">
        <v>4.53826904296875</v>
      </c>
      <c r="P65">
        <v>0.33392464952547701</v>
      </c>
      <c r="Q65" t="s">
        <v>90</v>
      </c>
    </row>
    <row r="66" spans="1:17" x14ac:dyDescent="0.6">
      <c r="A66" t="s">
        <v>288</v>
      </c>
      <c r="B66">
        <v>10</v>
      </c>
      <c r="C66" t="s">
        <v>92</v>
      </c>
      <c r="D66" t="s">
        <v>184</v>
      </c>
      <c r="E66" t="str">
        <f>"7."&amp;D66</f>
        <v>7.Macro + Event + Sentiment (Indirect)</v>
      </c>
      <c r="F66">
        <v>1</v>
      </c>
      <c r="G66" t="s">
        <v>289</v>
      </c>
      <c r="H66">
        <v>8.6892678331759594</v>
      </c>
      <c r="I66">
        <v>6.9507208546542101</v>
      </c>
      <c r="J66">
        <v>0.53019032485938</v>
      </c>
      <c r="K66">
        <v>7.1144293692079899</v>
      </c>
      <c r="L66">
        <v>0.27191211582091102</v>
      </c>
      <c r="M66">
        <v>5.4626734910812997</v>
      </c>
      <c r="N66">
        <v>0.40014168768384201</v>
      </c>
      <c r="O66">
        <v>4.538330078125</v>
      </c>
      <c r="P66">
        <v>0.33446566785680998</v>
      </c>
      <c r="Q66" t="s">
        <v>90</v>
      </c>
    </row>
    <row r="67" spans="1:17" x14ac:dyDescent="0.6">
      <c r="A67" t="s">
        <v>290</v>
      </c>
      <c r="B67">
        <v>10</v>
      </c>
      <c r="C67" t="s">
        <v>99</v>
      </c>
      <c r="D67" t="s">
        <v>174</v>
      </c>
      <c r="E67" t="str">
        <f>"5."&amp;D67</f>
        <v>5.Macro + Sentiment (Both)</v>
      </c>
      <c r="F67">
        <v>1</v>
      </c>
      <c r="G67" t="s">
        <v>291</v>
      </c>
      <c r="H67">
        <v>8.6969158325653009</v>
      </c>
      <c r="I67">
        <v>6.9835352372619699</v>
      </c>
      <c r="J67">
        <v>0.53245905782361003</v>
      </c>
      <c r="K67">
        <v>7.1505132348518501</v>
      </c>
      <c r="L67">
        <v>0.27492379312021997</v>
      </c>
      <c r="M67">
        <v>5.4828005090224003</v>
      </c>
      <c r="N67">
        <v>0.40173450713105502</v>
      </c>
      <c r="O67">
        <v>4.5423583984375</v>
      </c>
      <c r="P67">
        <v>0.33483871097600898</v>
      </c>
      <c r="Q67" t="s">
        <v>90</v>
      </c>
    </row>
    <row r="68" spans="1:17" x14ac:dyDescent="0.6">
      <c r="A68" t="s">
        <v>292</v>
      </c>
      <c r="B68">
        <v>60</v>
      </c>
      <c r="C68" t="s">
        <v>92</v>
      </c>
      <c r="D68" t="s">
        <v>174</v>
      </c>
      <c r="E68" t="str">
        <f>"5."&amp;D68</f>
        <v>5.Macro + Sentiment (Both)</v>
      </c>
      <c r="F68">
        <v>1</v>
      </c>
      <c r="G68" t="s">
        <v>293</v>
      </c>
      <c r="H68">
        <v>8.49040396667273</v>
      </c>
      <c r="I68">
        <v>6.8740471640785898</v>
      </c>
      <c r="J68">
        <v>0.53151831782648795</v>
      </c>
      <c r="K68">
        <v>7.2218359378050501</v>
      </c>
      <c r="L68">
        <v>0.27811566327297099</v>
      </c>
      <c r="M68">
        <v>5.5552395907315297</v>
      </c>
      <c r="N68">
        <v>0.40468382117809298</v>
      </c>
      <c r="O68">
        <v>4.5439453125</v>
      </c>
      <c r="P68">
        <v>0.32296682360331902</v>
      </c>
      <c r="Q68" t="s">
        <v>135</v>
      </c>
    </row>
    <row r="69" spans="1:17" x14ac:dyDescent="0.6">
      <c r="A69" t="s">
        <v>295</v>
      </c>
      <c r="B69">
        <v>60</v>
      </c>
      <c r="C69" t="s">
        <v>99</v>
      </c>
      <c r="D69" t="s">
        <v>167</v>
      </c>
      <c r="E69" t="str">
        <f>"6."&amp;D69</f>
        <v>6.Macro + Event + Sentiment (Direct)</v>
      </c>
      <c r="F69">
        <v>1</v>
      </c>
      <c r="G69" t="s">
        <v>296</v>
      </c>
      <c r="H69">
        <v>8.4716959841539907</v>
      </c>
      <c r="I69">
        <v>6.9035548954219603</v>
      </c>
      <c r="J69">
        <v>0.53369907078776402</v>
      </c>
      <c r="K69">
        <v>7.5261966030566798</v>
      </c>
      <c r="L69">
        <v>0.30075816706513203</v>
      </c>
      <c r="M69">
        <v>5.8170013427734304</v>
      </c>
      <c r="N69">
        <v>0.42313114491598802</v>
      </c>
      <c r="O69">
        <v>4.54693603515625</v>
      </c>
      <c r="P69">
        <v>0.333240543257804</v>
      </c>
      <c r="Q69" t="s">
        <v>135</v>
      </c>
    </row>
    <row r="70" spans="1:17" x14ac:dyDescent="0.6">
      <c r="A70" t="s">
        <v>297</v>
      </c>
      <c r="B70">
        <v>90</v>
      </c>
      <c r="C70" t="s">
        <v>99</v>
      </c>
      <c r="D70" t="s">
        <v>177</v>
      </c>
      <c r="E70" t="str">
        <f>"8."&amp;D70</f>
        <v>8.Macro + Event + Sentiment (Both)</v>
      </c>
      <c r="F70">
        <v>1</v>
      </c>
      <c r="G70" t="s">
        <v>298</v>
      </c>
      <c r="H70">
        <v>6.8478510732589397</v>
      </c>
      <c r="I70">
        <v>5.4573197798295396</v>
      </c>
      <c r="J70">
        <v>0.42557160301583902</v>
      </c>
      <c r="K70">
        <v>7.27547183561824</v>
      </c>
      <c r="L70">
        <v>0.282565962582701</v>
      </c>
      <c r="M70">
        <v>5.5001103649400598</v>
      </c>
      <c r="N70">
        <v>0.40045828507755399</v>
      </c>
      <c r="O70">
        <v>4.55108642578125</v>
      </c>
      <c r="P70">
        <v>0.33052569690646999</v>
      </c>
      <c r="Q70" t="s">
        <v>114</v>
      </c>
    </row>
    <row r="71" spans="1:17" x14ac:dyDescent="0.6">
      <c r="A71" t="s">
        <v>299</v>
      </c>
      <c r="B71">
        <v>10</v>
      </c>
      <c r="C71" t="s">
        <v>6</v>
      </c>
      <c r="D71" t="s">
        <v>8</v>
      </c>
      <c r="E71" t="str">
        <f>"2."&amp;D71</f>
        <v>2.Macro + Event</v>
      </c>
      <c r="F71">
        <v>1</v>
      </c>
      <c r="G71" t="s">
        <v>119</v>
      </c>
      <c r="H71" s="13">
        <v>8.6998498845051593</v>
      </c>
      <c r="I71" s="13">
        <v>6.9260883129919604</v>
      </c>
      <c r="J71" s="13">
        <v>0.528211974005666</v>
      </c>
      <c r="K71" s="13">
        <v>7.1650203889964903</v>
      </c>
      <c r="L71">
        <v>0.27673687531393298</v>
      </c>
      <c r="M71" s="13">
        <v>5.4374060166620497</v>
      </c>
      <c r="N71" s="13">
        <v>0.39856606711291298</v>
      </c>
      <c r="O71">
        <v>4.5518798828125</v>
      </c>
      <c r="P71" s="13">
        <v>0.340928896822143</v>
      </c>
      <c r="Q71" t="s">
        <v>90</v>
      </c>
    </row>
    <row r="72" spans="1:17" x14ac:dyDescent="0.6">
      <c r="A72" t="s">
        <v>300</v>
      </c>
      <c r="B72">
        <v>20</v>
      </c>
      <c r="C72" t="s">
        <v>99</v>
      </c>
      <c r="D72" t="s">
        <v>167</v>
      </c>
      <c r="E72" t="str">
        <f>"6."&amp;D72</f>
        <v>6.Macro + Event + Sentiment (Direct)</v>
      </c>
      <c r="F72">
        <v>1</v>
      </c>
      <c r="G72" t="s">
        <v>301</v>
      </c>
      <c r="H72">
        <v>8.6363696308858504</v>
      </c>
      <c r="I72">
        <v>6.8875861789869202</v>
      </c>
      <c r="J72">
        <v>0.52511405477070205</v>
      </c>
      <c r="K72">
        <v>7.1612871983724</v>
      </c>
      <c r="L72">
        <v>0.27517145078420396</v>
      </c>
      <c r="M72">
        <v>5.4898941605179399</v>
      </c>
      <c r="N72">
        <v>0.40188889105581199</v>
      </c>
      <c r="O72">
        <v>4.55364990234375</v>
      </c>
      <c r="P72">
        <v>0.33393389987949201</v>
      </c>
      <c r="Q72" t="s">
        <v>90</v>
      </c>
    </row>
    <row r="73" spans="1:17" x14ac:dyDescent="0.6">
      <c r="A73" t="s">
        <v>302</v>
      </c>
      <c r="B73">
        <v>10</v>
      </c>
      <c r="C73" t="s">
        <v>99</v>
      </c>
      <c r="D73" t="s">
        <v>177</v>
      </c>
      <c r="E73" t="str">
        <f>"8."&amp;D73</f>
        <v>8.Macro + Event + Sentiment (Both)</v>
      </c>
      <c r="F73">
        <v>1</v>
      </c>
      <c r="G73" t="s">
        <v>303</v>
      </c>
      <c r="H73">
        <v>8.7796463880079099</v>
      </c>
      <c r="I73">
        <v>7.02080106663308</v>
      </c>
      <c r="J73">
        <v>0.535381899828684</v>
      </c>
      <c r="K73">
        <v>7.0347555566359796</v>
      </c>
      <c r="L73">
        <v>0.26633654876893803</v>
      </c>
      <c r="M73">
        <v>5.4116259549571302</v>
      </c>
      <c r="N73">
        <v>0.39669362694722199</v>
      </c>
      <c r="O73">
        <v>4.5540771484375</v>
      </c>
      <c r="P73">
        <v>0.34145180350545601</v>
      </c>
      <c r="Q73" t="s">
        <v>90</v>
      </c>
    </row>
    <row r="74" spans="1:17" x14ac:dyDescent="0.6">
      <c r="A74" t="s">
        <v>304</v>
      </c>
      <c r="B74">
        <v>60</v>
      </c>
      <c r="C74" t="s">
        <v>6</v>
      </c>
      <c r="D74" t="s">
        <v>171</v>
      </c>
      <c r="E74" t="str">
        <f>"4."&amp;D74</f>
        <v>4.Macro + Sentiment (Indirect)</v>
      </c>
      <c r="F74">
        <v>1</v>
      </c>
      <c r="G74" t="s">
        <v>305</v>
      </c>
      <c r="H74">
        <v>8.4940685447783704</v>
      </c>
      <c r="I74">
        <v>6.8555690220424097</v>
      </c>
      <c r="J74">
        <v>0.53014016009416098</v>
      </c>
      <c r="K74">
        <v>7.2983879602909001</v>
      </c>
      <c r="L74">
        <v>0.28452423644074898</v>
      </c>
      <c r="M74">
        <v>5.5746695778586597</v>
      </c>
      <c r="N74">
        <v>0.40629008060014399</v>
      </c>
      <c r="O74">
        <v>4.55950927734375</v>
      </c>
      <c r="P74">
        <v>0.32931139820038002</v>
      </c>
      <c r="Q74" t="s">
        <v>135</v>
      </c>
    </row>
    <row r="75" spans="1:17" x14ac:dyDescent="0.6">
      <c r="A75" t="s">
        <v>306</v>
      </c>
      <c r="B75">
        <v>20</v>
      </c>
      <c r="C75" t="s">
        <v>92</v>
      </c>
      <c r="D75" t="s">
        <v>171</v>
      </c>
      <c r="E75" t="str">
        <f>"4."&amp;D75</f>
        <v>4.Macro + Sentiment (Indirect)</v>
      </c>
      <c r="F75">
        <v>1</v>
      </c>
      <c r="G75" t="s">
        <v>307</v>
      </c>
      <c r="H75">
        <v>8.7480509366573997</v>
      </c>
      <c r="I75">
        <v>7.0606225055197003</v>
      </c>
      <c r="J75">
        <v>0.53903426797945297</v>
      </c>
      <c r="K75">
        <v>7.11102264362958</v>
      </c>
      <c r="L75">
        <v>0.27045961098927301</v>
      </c>
      <c r="M75">
        <v>5.5107970061125497</v>
      </c>
      <c r="N75">
        <v>0.40300740674883101</v>
      </c>
      <c r="O75">
        <v>4.56024169921875</v>
      </c>
      <c r="P75">
        <v>0.33683021487401099</v>
      </c>
      <c r="Q75" t="s">
        <v>90</v>
      </c>
    </row>
    <row r="76" spans="1:17" x14ac:dyDescent="0.6">
      <c r="A76" t="s">
        <v>308</v>
      </c>
      <c r="B76">
        <v>5</v>
      </c>
      <c r="C76" t="s">
        <v>9</v>
      </c>
      <c r="D76" t="s">
        <v>8</v>
      </c>
      <c r="E76" t="str">
        <f>"2."&amp;D76</f>
        <v>2.Macro + Event</v>
      </c>
      <c r="F76">
        <v>1</v>
      </c>
      <c r="G76" t="s">
        <v>149</v>
      </c>
      <c r="H76">
        <v>8.7686811137446092</v>
      </c>
      <c r="I76" s="13">
        <v>7.10564446403641</v>
      </c>
      <c r="J76">
        <v>0.54185787204528801</v>
      </c>
      <c r="K76" s="13">
        <v>7.4566945306430696</v>
      </c>
      <c r="L76">
        <v>0.29974140145656802</v>
      </c>
      <c r="M76" s="13">
        <v>5.6596484163622804</v>
      </c>
      <c r="N76" s="13">
        <v>0.41482800306756601</v>
      </c>
      <c r="O76">
        <v>4.5623779296875</v>
      </c>
      <c r="P76" s="13">
        <v>0.33639218466642101</v>
      </c>
      <c r="Q76" t="s">
        <v>90</v>
      </c>
    </row>
    <row r="77" spans="1:17" x14ac:dyDescent="0.6">
      <c r="A77" t="s">
        <v>309</v>
      </c>
      <c r="B77">
        <v>20</v>
      </c>
      <c r="C77" t="s">
        <v>9</v>
      </c>
      <c r="D77" t="s">
        <v>167</v>
      </c>
      <c r="E77" t="str">
        <f>"6."&amp;D77</f>
        <v>6.Macro + Event + Sentiment (Direct)</v>
      </c>
      <c r="F77">
        <v>1</v>
      </c>
      <c r="G77" t="s">
        <v>222</v>
      </c>
      <c r="H77">
        <v>8.8094905218660902</v>
      </c>
      <c r="I77">
        <v>7.0368936836262099</v>
      </c>
      <c r="J77">
        <v>0.53704858585729298</v>
      </c>
      <c r="K77">
        <v>7.11096777510273</v>
      </c>
      <c r="L77">
        <v>0.27237505233505299</v>
      </c>
      <c r="M77">
        <v>5.4359684696903896</v>
      </c>
      <c r="N77">
        <v>0.39841509470096897</v>
      </c>
      <c r="O77">
        <v>4.56512451171875</v>
      </c>
      <c r="P77">
        <v>0.33613208379807002</v>
      </c>
      <c r="Q77" t="s">
        <v>90</v>
      </c>
    </row>
    <row r="78" spans="1:17" x14ac:dyDescent="0.6">
      <c r="A78" t="s">
        <v>310</v>
      </c>
      <c r="B78">
        <v>30</v>
      </c>
      <c r="C78" t="s">
        <v>92</v>
      </c>
      <c r="D78" t="s">
        <v>184</v>
      </c>
      <c r="E78" t="str">
        <f>"7."&amp;D78</f>
        <v>7.Macro + Event + Sentiment (Indirect)</v>
      </c>
      <c r="F78">
        <v>1</v>
      </c>
      <c r="G78" t="s">
        <v>311</v>
      </c>
      <c r="H78">
        <v>8.8876052006916098</v>
      </c>
      <c r="I78">
        <v>7.1266485652169598</v>
      </c>
      <c r="J78">
        <v>0.54456591613799299</v>
      </c>
      <c r="K78">
        <v>7.1172234829598802</v>
      </c>
      <c r="L78">
        <v>0.27072464319089101</v>
      </c>
      <c r="M78">
        <v>5.52747707922481</v>
      </c>
      <c r="N78">
        <v>0.40387515896133003</v>
      </c>
      <c r="O78">
        <v>4.5657958984375</v>
      </c>
      <c r="P78">
        <v>0.33906506811703802</v>
      </c>
      <c r="Q78" t="s">
        <v>93</v>
      </c>
    </row>
    <row r="79" spans="1:17" x14ac:dyDescent="0.6">
      <c r="A79" t="s">
        <v>313</v>
      </c>
      <c r="B79">
        <v>20</v>
      </c>
      <c r="C79" t="s">
        <v>92</v>
      </c>
      <c r="D79" t="s">
        <v>167</v>
      </c>
      <c r="E79" t="str">
        <f>"6."&amp;D79</f>
        <v>6.Macro + Event + Sentiment (Direct)</v>
      </c>
      <c r="F79">
        <v>1</v>
      </c>
      <c r="G79" t="s">
        <v>314</v>
      </c>
      <c r="H79">
        <v>8.7462042517339906</v>
      </c>
      <c r="I79">
        <v>7.0215200048578303</v>
      </c>
      <c r="J79">
        <v>0.53594185558896901</v>
      </c>
      <c r="K79">
        <v>7.14243675510592</v>
      </c>
      <c r="L79">
        <v>0.27479675092599704</v>
      </c>
      <c r="M79">
        <v>5.4602005570023104</v>
      </c>
      <c r="N79">
        <v>0.40006828213264201</v>
      </c>
      <c r="O79">
        <v>4.569091796875</v>
      </c>
      <c r="P79">
        <v>0.33754101867953701</v>
      </c>
      <c r="Q79" t="s">
        <v>90</v>
      </c>
    </row>
    <row r="80" spans="1:17" x14ac:dyDescent="0.6">
      <c r="A80" t="s">
        <v>315</v>
      </c>
      <c r="B80">
        <v>60</v>
      </c>
      <c r="C80" t="s">
        <v>92</v>
      </c>
      <c r="D80" t="s">
        <v>181</v>
      </c>
      <c r="E80" t="str">
        <f>"3."&amp;D80</f>
        <v>3.Macro + Sentiment (Direct)</v>
      </c>
      <c r="F80">
        <v>1</v>
      </c>
      <c r="G80" t="s">
        <v>316</v>
      </c>
      <c r="H80">
        <v>8.4018568857261702</v>
      </c>
      <c r="I80">
        <v>6.7900419968825103</v>
      </c>
      <c r="J80">
        <v>0.525017514556535</v>
      </c>
      <c r="K80">
        <v>7.2727806369377204</v>
      </c>
      <c r="L80">
        <v>0.28212038522991301</v>
      </c>
      <c r="M80">
        <v>5.5981438376686699</v>
      </c>
      <c r="N80">
        <v>0.40785071761014302</v>
      </c>
      <c r="O80">
        <v>4.57183837890625</v>
      </c>
      <c r="P80">
        <v>0.32702967170194602</v>
      </c>
      <c r="Q80" t="s">
        <v>135</v>
      </c>
    </row>
    <row r="81" spans="1:17" x14ac:dyDescent="0.6">
      <c r="A81" t="s">
        <v>317</v>
      </c>
      <c r="B81">
        <v>20</v>
      </c>
      <c r="C81" t="s">
        <v>92</v>
      </c>
      <c r="D81" t="s">
        <v>7</v>
      </c>
      <c r="E81" t="str">
        <f>"1."&amp;D81</f>
        <v>1.Macro Only</v>
      </c>
      <c r="F81">
        <v>1</v>
      </c>
      <c r="G81" t="s">
        <v>96</v>
      </c>
      <c r="H81">
        <v>8.6380149999999993</v>
      </c>
      <c r="I81">
        <v>6.9175190000000004</v>
      </c>
      <c r="J81">
        <v>0.52787499999999998</v>
      </c>
      <c r="K81">
        <v>6.9952860000000001</v>
      </c>
      <c r="L81">
        <v>0.26189999999999997</v>
      </c>
      <c r="M81">
        <v>5.434768</v>
      </c>
      <c r="N81">
        <v>0.39750799999999997</v>
      </c>
      <c r="O81">
        <v>4.5741579999999997</v>
      </c>
      <c r="P81">
        <v>0.33750200000000002</v>
      </c>
      <c r="Q81" t="s">
        <v>90</v>
      </c>
    </row>
    <row r="82" spans="1:17" x14ac:dyDescent="0.6">
      <c r="A82" t="s">
        <v>318</v>
      </c>
      <c r="B82">
        <v>30</v>
      </c>
      <c r="C82" t="s">
        <v>92</v>
      </c>
      <c r="D82" t="s">
        <v>181</v>
      </c>
      <c r="E82" t="str">
        <f>"3."&amp;D82</f>
        <v>3.Macro + Sentiment (Direct)</v>
      </c>
      <c r="F82">
        <v>1</v>
      </c>
      <c r="G82" t="s">
        <v>319</v>
      </c>
      <c r="H82">
        <v>8.8286384769697701</v>
      </c>
      <c r="I82">
        <v>7.1123927752444196</v>
      </c>
      <c r="J82">
        <v>0.54354837608127304</v>
      </c>
      <c r="K82">
        <v>7.0190722212188703</v>
      </c>
      <c r="L82">
        <v>0.26330249171709502</v>
      </c>
      <c r="M82">
        <v>5.4377097713137097</v>
      </c>
      <c r="N82">
        <v>0.39732566509155598</v>
      </c>
      <c r="O82">
        <v>4.574951171875</v>
      </c>
      <c r="P82">
        <v>0.33985430337163303</v>
      </c>
      <c r="Q82" t="s">
        <v>93</v>
      </c>
    </row>
    <row r="83" spans="1:17" x14ac:dyDescent="0.6">
      <c r="A83" t="s">
        <v>320</v>
      </c>
      <c r="B83">
        <v>30</v>
      </c>
      <c r="C83" t="s">
        <v>92</v>
      </c>
      <c r="D83" t="s">
        <v>174</v>
      </c>
      <c r="E83" t="str">
        <f>"5."&amp;D83</f>
        <v>5.Macro + Sentiment (Both)</v>
      </c>
      <c r="F83">
        <v>1</v>
      </c>
      <c r="G83" t="s">
        <v>321</v>
      </c>
      <c r="H83">
        <v>8.8781800499383596</v>
      </c>
      <c r="I83">
        <v>7.0758887083215596</v>
      </c>
      <c r="J83">
        <v>0.54072546738471206</v>
      </c>
      <c r="K83">
        <v>7.1899717330638797</v>
      </c>
      <c r="L83">
        <v>0.27610018474900799</v>
      </c>
      <c r="M83">
        <v>5.5557754664745103</v>
      </c>
      <c r="N83">
        <v>0.40580977528451001</v>
      </c>
      <c r="O83">
        <v>4.5750732421875</v>
      </c>
      <c r="P83">
        <v>0.33253939713965402</v>
      </c>
      <c r="Q83" t="s">
        <v>93</v>
      </c>
    </row>
    <row r="84" spans="1:17" x14ac:dyDescent="0.6">
      <c r="A84" t="s">
        <v>322</v>
      </c>
      <c r="B84">
        <v>10</v>
      </c>
      <c r="C84" t="s">
        <v>6</v>
      </c>
      <c r="D84" t="s">
        <v>171</v>
      </c>
      <c r="E84" t="str">
        <f>"4."&amp;D84</f>
        <v>4.Macro + Sentiment (Indirect)</v>
      </c>
      <c r="F84">
        <v>1</v>
      </c>
      <c r="G84" t="s">
        <v>323</v>
      </c>
      <c r="H84">
        <v>8.6859667825487197</v>
      </c>
      <c r="I84">
        <v>7.0093179878246303</v>
      </c>
      <c r="J84">
        <v>0.534257365771031</v>
      </c>
      <c r="K84">
        <v>7.1183904958475903</v>
      </c>
      <c r="L84">
        <v>0.27302164530911099</v>
      </c>
      <c r="M84">
        <v>5.4122206426299702</v>
      </c>
      <c r="N84">
        <v>0.39672678093519198</v>
      </c>
      <c r="O84">
        <v>4.5758056640625</v>
      </c>
      <c r="P84">
        <v>0.33306774829501401</v>
      </c>
      <c r="Q84" t="s">
        <v>90</v>
      </c>
    </row>
    <row r="85" spans="1:17" x14ac:dyDescent="0.6">
      <c r="A85" t="s">
        <v>324</v>
      </c>
      <c r="B85">
        <v>90</v>
      </c>
      <c r="C85" t="s">
        <v>9</v>
      </c>
      <c r="D85" t="s">
        <v>181</v>
      </c>
      <c r="E85" t="str">
        <f>"3."&amp;D85</f>
        <v>3.Macro + Sentiment (Direct)</v>
      </c>
      <c r="F85">
        <v>1</v>
      </c>
      <c r="G85" t="s">
        <v>325</v>
      </c>
      <c r="H85">
        <v>6.8540104788679903</v>
      </c>
      <c r="I85">
        <v>5.4921227657433702</v>
      </c>
      <c r="J85">
        <v>0.42855585400815499</v>
      </c>
      <c r="K85">
        <v>7.3002686812319801</v>
      </c>
      <c r="L85">
        <v>0.28381473938234897</v>
      </c>
      <c r="M85">
        <v>5.6132185426476804</v>
      </c>
      <c r="N85">
        <v>0.40838073431003002</v>
      </c>
      <c r="O85">
        <v>4.57684326171875</v>
      </c>
      <c r="P85">
        <v>0.33887917514724097</v>
      </c>
      <c r="Q85" t="s">
        <v>114</v>
      </c>
    </row>
    <row r="86" spans="1:17" x14ac:dyDescent="0.6">
      <c r="A86" t="s">
        <v>326</v>
      </c>
      <c r="B86">
        <v>5</v>
      </c>
      <c r="C86" t="s">
        <v>92</v>
      </c>
      <c r="D86" t="s">
        <v>174</v>
      </c>
      <c r="E86" t="str">
        <f>"5."&amp;D86</f>
        <v>5.Macro + Sentiment (Both)</v>
      </c>
      <c r="F86">
        <v>1</v>
      </c>
      <c r="G86" t="s">
        <v>327</v>
      </c>
      <c r="H86">
        <v>8.7010188031686404</v>
      </c>
      <c r="I86">
        <v>6.92827637900829</v>
      </c>
      <c r="J86">
        <v>0.528763146314432</v>
      </c>
      <c r="K86">
        <v>7.1141418810141799</v>
      </c>
      <c r="L86">
        <v>0.273386748032167</v>
      </c>
      <c r="M86">
        <v>5.41463374678706</v>
      </c>
      <c r="N86">
        <v>0.39730070136442702</v>
      </c>
      <c r="O86">
        <v>4.57861328125</v>
      </c>
      <c r="P86">
        <v>0.337547252488202</v>
      </c>
      <c r="Q86" t="s">
        <v>90</v>
      </c>
    </row>
    <row r="87" spans="1:17" x14ac:dyDescent="0.6">
      <c r="A87" t="s">
        <v>328</v>
      </c>
      <c r="B87">
        <v>5</v>
      </c>
      <c r="C87" t="s">
        <v>92</v>
      </c>
      <c r="D87" t="s">
        <v>167</v>
      </c>
      <c r="E87" t="str">
        <f>"6."&amp;D87</f>
        <v>6.Macro + Event + Sentiment (Direct)</v>
      </c>
      <c r="F87">
        <v>1</v>
      </c>
      <c r="G87" t="s">
        <v>329</v>
      </c>
      <c r="H87">
        <v>8.7106011131815908</v>
      </c>
      <c r="I87">
        <v>6.9257101465514497</v>
      </c>
      <c r="J87">
        <v>0.52840618990675503</v>
      </c>
      <c r="K87">
        <v>7.2003101793619901</v>
      </c>
      <c r="L87">
        <v>0.279518293146295</v>
      </c>
      <c r="M87">
        <v>5.5028461935200204</v>
      </c>
      <c r="N87">
        <v>0.40349583544158601</v>
      </c>
      <c r="O87">
        <v>4.5789794921875</v>
      </c>
      <c r="P87">
        <v>0.33384713386783299</v>
      </c>
      <c r="Q87" t="s">
        <v>90</v>
      </c>
    </row>
    <row r="88" spans="1:17" x14ac:dyDescent="0.6">
      <c r="A88" t="s">
        <v>330</v>
      </c>
      <c r="B88">
        <v>20</v>
      </c>
      <c r="C88" t="s">
        <v>6</v>
      </c>
      <c r="D88" t="s">
        <v>177</v>
      </c>
      <c r="E88" t="str">
        <f>"8."&amp;D88</f>
        <v>8.Macro + Event + Sentiment (Both)</v>
      </c>
      <c r="F88">
        <v>1</v>
      </c>
      <c r="G88" t="s">
        <v>241</v>
      </c>
      <c r="H88">
        <v>8.62597069525774</v>
      </c>
      <c r="I88">
        <v>6.9867054580727501</v>
      </c>
      <c r="J88">
        <v>0.533187913773151</v>
      </c>
      <c r="K88">
        <v>7.0982164798794098</v>
      </c>
      <c r="L88">
        <v>0.27056113563087503</v>
      </c>
      <c r="M88">
        <v>5.4513521547670702</v>
      </c>
      <c r="N88">
        <v>0.39902484939343502</v>
      </c>
      <c r="O88">
        <v>4.579345703125</v>
      </c>
      <c r="P88">
        <v>0.33867770544092501</v>
      </c>
      <c r="Q88" t="s">
        <v>90</v>
      </c>
    </row>
    <row r="89" spans="1:17" x14ac:dyDescent="0.6">
      <c r="A89" t="s">
        <v>331</v>
      </c>
      <c r="B89">
        <v>60</v>
      </c>
      <c r="C89" t="s">
        <v>6</v>
      </c>
      <c r="D89" t="s">
        <v>174</v>
      </c>
      <c r="E89" t="str">
        <f>"5."&amp;D89</f>
        <v>5.Macro + Sentiment (Both)</v>
      </c>
      <c r="F89">
        <v>1</v>
      </c>
      <c r="G89" t="s">
        <v>332</v>
      </c>
      <c r="H89">
        <v>8.4311464323307206</v>
      </c>
      <c r="I89">
        <v>6.8278109372317104</v>
      </c>
      <c r="J89">
        <v>0.52782900384500098</v>
      </c>
      <c r="K89">
        <v>7.2240690135218202</v>
      </c>
      <c r="L89">
        <v>0.27833894285856098</v>
      </c>
      <c r="M89">
        <v>5.5348531549627102</v>
      </c>
      <c r="N89">
        <v>0.40327618146645799</v>
      </c>
      <c r="O89">
        <v>4.58013916015625</v>
      </c>
      <c r="P89">
        <v>0.33618222172953</v>
      </c>
      <c r="Q89" t="s">
        <v>135</v>
      </c>
    </row>
    <row r="90" spans="1:17" x14ac:dyDescent="0.6">
      <c r="A90" t="s">
        <v>333</v>
      </c>
      <c r="B90">
        <v>10</v>
      </c>
      <c r="C90" t="s">
        <v>9</v>
      </c>
      <c r="D90" t="s">
        <v>7</v>
      </c>
      <c r="E90" t="str">
        <f>"1."&amp;D90</f>
        <v>1.Macro Only</v>
      </c>
      <c r="F90">
        <v>1</v>
      </c>
      <c r="G90" t="s">
        <v>121</v>
      </c>
      <c r="H90" s="13">
        <v>8.7049245325305602</v>
      </c>
      <c r="I90" s="13">
        <v>6.9094022632903798</v>
      </c>
      <c r="J90" s="13">
        <v>0.52690443855720204</v>
      </c>
      <c r="K90" s="13">
        <v>7.1804869378807403</v>
      </c>
      <c r="L90">
        <v>0.27834729912177703</v>
      </c>
      <c r="M90" s="13">
        <v>5.4466844406802997</v>
      </c>
      <c r="N90" s="13">
        <v>0.39956306720509099</v>
      </c>
      <c r="O90">
        <v>4.5809326171875</v>
      </c>
      <c r="P90" s="13">
        <v>0.33484432489892202</v>
      </c>
      <c r="Q90" t="s">
        <v>90</v>
      </c>
    </row>
    <row r="91" spans="1:17" x14ac:dyDescent="0.6">
      <c r="A91" t="s">
        <v>335</v>
      </c>
      <c r="B91">
        <v>5</v>
      </c>
      <c r="C91" t="s">
        <v>92</v>
      </c>
      <c r="D91" t="s">
        <v>184</v>
      </c>
      <c r="E91" t="str">
        <f>"7."&amp;D91</f>
        <v>7.Macro + Event + Sentiment (Indirect)</v>
      </c>
      <c r="F91">
        <v>1</v>
      </c>
      <c r="G91" t="s">
        <v>336</v>
      </c>
      <c r="H91">
        <v>8.7201510159699005</v>
      </c>
      <c r="I91">
        <v>6.9923395140323201</v>
      </c>
      <c r="J91">
        <v>0.53357635086669797</v>
      </c>
      <c r="K91">
        <v>7.1642622091801202</v>
      </c>
      <c r="L91">
        <v>0.27686743245772699</v>
      </c>
      <c r="M91">
        <v>5.4519497429653603</v>
      </c>
      <c r="N91">
        <v>0.399856116622542</v>
      </c>
      <c r="O91">
        <v>4.584228515625</v>
      </c>
      <c r="P91">
        <v>0.33526829187583401</v>
      </c>
      <c r="Q91" t="s">
        <v>90</v>
      </c>
    </row>
    <row r="92" spans="1:17" x14ac:dyDescent="0.6">
      <c r="A92" t="s">
        <v>337</v>
      </c>
      <c r="B92">
        <v>5</v>
      </c>
      <c r="C92" t="s">
        <v>6</v>
      </c>
      <c r="D92" t="s">
        <v>174</v>
      </c>
      <c r="E92" t="str">
        <f>"5."&amp;D92</f>
        <v>5.Macro + Sentiment (Both)</v>
      </c>
      <c r="F92">
        <v>1</v>
      </c>
      <c r="G92" t="s">
        <v>338</v>
      </c>
      <c r="H92">
        <v>8.7132447647258306</v>
      </c>
      <c r="I92">
        <v>6.9792566925485202</v>
      </c>
      <c r="J92">
        <v>0.53241565917077505</v>
      </c>
      <c r="K92">
        <v>7.1018774055388798</v>
      </c>
      <c r="L92">
        <v>0.271599973188346</v>
      </c>
      <c r="M92">
        <v>5.4605311274012402</v>
      </c>
      <c r="N92">
        <v>0.40031509518429098</v>
      </c>
      <c r="O92">
        <v>4.5845947265625</v>
      </c>
      <c r="P92">
        <v>0.34339883370237401</v>
      </c>
      <c r="Q92" t="s">
        <v>90</v>
      </c>
    </row>
    <row r="93" spans="1:17" x14ac:dyDescent="0.6">
      <c r="A93" t="s">
        <v>339</v>
      </c>
      <c r="B93">
        <v>90</v>
      </c>
      <c r="C93" t="s">
        <v>99</v>
      </c>
      <c r="D93" t="s">
        <v>184</v>
      </c>
      <c r="E93" t="str">
        <f>"7."&amp;D93</f>
        <v>7.Macro + Event + Sentiment (Indirect)</v>
      </c>
      <c r="F93">
        <v>1</v>
      </c>
      <c r="G93" t="s">
        <v>340</v>
      </c>
      <c r="H93">
        <v>6.9923286285821904</v>
      </c>
      <c r="I93">
        <v>5.5405791311553001</v>
      </c>
      <c r="J93">
        <v>0.432063225794315</v>
      </c>
      <c r="K93">
        <v>7.4856228089276797</v>
      </c>
      <c r="L93">
        <v>0.29739613142697802</v>
      </c>
      <c r="M93">
        <v>5.7703765451091602</v>
      </c>
      <c r="N93">
        <v>0.41945157428680402</v>
      </c>
      <c r="O93">
        <v>4.5849609375</v>
      </c>
      <c r="P93">
        <v>0.331845705798479</v>
      </c>
      <c r="Q93" t="s">
        <v>114</v>
      </c>
    </row>
    <row r="94" spans="1:17" x14ac:dyDescent="0.6">
      <c r="A94" t="s">
        <v>341</v>
      </c>
      <c r="B94">
        <v>20</v>
      </c>
      <c r="C94" t="s">
        <v>92</v>
      </c>
      <c r="D94" t="s">
        <v>177</v>
      </c>
      <c r="E94" t="str">
        <f>"8."&amp;D94</f>
        <v>8.Macro + Event + Sentiment (Both)</v>
      </c>
      <c r="F94">
        <v>1</v>
      </c>
      <c r="G94" t="s">
        <v>342</v>
      </c>
      <c r="H94">
        <v>8.6778312930772206</v>
      </c>
      <c r="I94">
        <v>6.9673632453469603</v>
      </c>
      <c r="J94">
        <v>0.53165618109395896</v>
      </c>
      <c r="K94">
        <v>7.0545336862258701</v>
      </c>
      <c r="L94">
        <v>0.266284738251296</v>
      </c>
      <c r="M94">
        <v>5.4904400860821703</v>
      </c>
      <c r="N94">
        <v>0.40153060887244801</v>
      </c>
      <c r="O94">
        <v>4.5888671875</v>
      </c>
      <c r="P94">
        <v>0.33780606759429299</v>
      </c>
      <c r="Q94" t="s">
        <v>90</v>
      </c>
    </row>
    <row r="95" spans="1:17" x14ac:dyDescent="0.6">
      <c r="A95" t="s">
        <v>344</v>
      </c>
      <c r="B95">
        <v>5</v>
      </c>
      <c r="C95" t="s">
        <v>92</v>
      </c>
      <c r="D95" t="s">
        <v>181</v>
      </c>
      <c r="E95" t="str">
        <f>"3."&amp;D95</f>
        <v>3.Macro + Sentiment (Direct)</v>
      </c>
      <c r="F95">
        <v>1</v>
      </c>
      <c r="G95" t="s">
        <v>345</v>
      </c>
      <c r="H95">
        <v>8.7027375804305702</v>
      </c>
      <c r="I95">
        <v>6.9667092464942204</v>
      </c>
      <c r="J95">
        <v>0.531494873515858</v>
      </c>
      <c r="K95">
        <v>7.1550957418073704</v>
      </c>
      <c r="L95">
        <v>0.276606947889251</v>
      </c>
      <c r="M95">
        <v>5.4251307367762402</v>
      </c>
      <c r="N95">
        <v>0.39810931920072501</v>
      </c>
      <c r="O95">
        <v>4.591796875</v>
      </c>
      <c r="P95">
        <v>0.338867475828802</v>
      </c>
      <c r="Q95" t="s">
        <v>90</v>
      </c>
    </row>
    <row r="96" spans="1:17" x14ac:dyDescent="0.6">
      <c r="A96" t="s">
        <v>347</v>
      </c>
      <c r="B96">
        <v>20</v>
      </c>
      <c r="C96" t="s">
        <v>6</v>
      </c>
      <c r="D96" t="s">
        <v>171</v>
      </c>
      <c r="E96" t="str">
        <f>"4."&amp;D96</f>
        <v>4.Macro + Sentiment (Indirect)</v>
      </c>
      <c r="F96">
        <v>1</v>
      </c>
      <c r="G96" t="s">
        <v>348</v>
      </c>
      <c r="H96">
        <v>8.6563440098153794</v>
      </c>
      <c r="I96">
        <v>6.9959102152558499</v>
      </c>
      <c r="J96">
        <v>0.53384571083729304</v>
      </c>
      <c r="K96">
        <v>6.9405278475153596</v>
      </c>
      <c r="L96">
        <v>0.25834558266251001</v>
      </c>
      <c r="M96">
        <v>5.3529685691550899</v>
      </c>
      <c r="N96">
        <v>0.391818458960002</v>
      </c>
      <c r="O96">
        <v>4.5950927734375</v>
      </c>
      <c r="P96">
        <v>0.33699677842472803</v>
      </c>
      <c r="Q96" t="s">
        <v>90</v>
      </c>
    </row>
    <row r="97" spans="1:17" x14ac:dyDescent="0.6">
      <c r="A97" t="s">
        <v>349</v>
      </c>
      <c r="B97">
        <v>30</v>
      </c>
      <c r="C97" t="s">
        <v>99</v>
      </c>
      <c r="D97" t="s">
        <v>177</v>
      </c>
      <c r="E97" t="str">
        <f>"8."&amp;D97</f>
        <v>8.Macro + Event + Sentiment (Both)</v>
      </c>
      <c r="F97">
        <v>1</v>
      </c>
      <c r="G97" t="s">
        <v>350</v>
      </c>
      <c r="H97">
        <v>8.8890903154136307</v>
      </c>
      <c r="I97">
        <v>7.1892312758103198</v>
      </c>
      <c r="J97">
        <v>0.54933692930748201</v>
      </c>
      <c r="K97">
        <v>7.0389696100155197</v>
      </c>
      <c r="L97">
        <v>0.26562296626681697</v>
      </c>
      <c r="M97">
        <v>5.4290623340791804</v>
      </c>
      <c r="N97">
        <v>0.39695362614912999</v>
      </c>
      <c r="O97">
        <v>4.595703125</v>
      </c>
      <c r="P97">
        <v>0.33182676581592102</v>
      </c>
      <c r="Q97" t="s">
        <v>93</v>
      </c>
    </row>
    <row r="98" spans="1:17" x14ac:dyDescent="0.6">
      <c r="A98" t="s">
        <v>351</v>
      </c>
      <c r="B98">
        <v>90</v>
      </c>
      <c r="C98" t="s">
        <v>99</v>
      </c>
      <c r="D98" t="s">
        <v>167</v>
      </c>
      <c r="E98" t="str">
        <f>"6."&amp;D98</f>
        <v>6.Macro + Event + Sentiment (Direct)</v>
      </c>
      <c r="F98">
        <v>1</v>
      </c>
      <c r="G98" t="s">
        <v>352</v>
      </c>
      <c r="H98">
        <v>6.9782731030253498</v>
      </c>
      <c r="I98">
        <v>5.5843283913352204</v>
      </c>
      <c r="J98">
        <v>0.43533793074797</v>
      </c>
      <c r="K98">
        <v>7.3829863182899098</v>
      </c>
      <c r="L98">
        <v>0.28935656533454701</v>
      </c>
      <c r="M98">
        <v>5.6978801570526496</v>
      </c>
      <c r="N98">
        <v>0.41419384309034801</v>
      </c>
      <c r="O98">
        <v>4.59844970703125</v>
      </c>
      <c r="P98">
        <v>0.34079479247799399</v>
      </c>
      <c r="Q98" t="s">
        <v>114</v>
      </c>
    </row>
    <row r="99" spans="1:17" x14ac:dyDescent="0.6">
      <c r="A99" t="s">
        <v>353</v>
      </c>
      <c r="B99">
        <v>10</v>
      </c>
      <c r="C99" t="s">
        <v>6</v>
      </c>
      <c r="D99" t="s">
        <v>7</v>
      </c>
      <c r="E99" t="str">
        <f>"1."&amp;D99</f>
        <v>1.Macro Only</v>
      </c>
      <c r="F99">
        <v>1</v>
      </c>
      <c r="G99" t="s">
        <v>132</v>
      </c>
      <c r="H99" s="13">
        <v>8.7002373541890794</v>
      </c>
      <c r="I99">
        <v>6.9711880460943396</v>
      </c>
      <c r="J99" s="13">
        <v>0.53148353868904796</v>
      </c>
      <c r="K99" s="13">
        <v>7.2635887135389696</v>
      </c>
      <c r="L99">
        <v>0.28290686131512799</v>
      </c>
      <c r="M99" s="13">
        <v>5.6067413060011004</v>
      </c>
      <c r="N99" s="13">
        <v>0.41041722261715402</v>
      </c>
      <c r="O99">
        <v>4.60052490234375</v>
      </c>
      <c r="P99" s="13">
        <v>0.34298178101701499</v>
      </c>
      <c r="Q99" t="s">
        <v>90</v>
      </c>
    </row>
    <row r="100" spans="1:17" x14ac:dyDescent="0.6">
      <c r="A100" t="s">
        <v>354</v>
      </c>
      <c r="B100">
        <v>20</v>
      </c>
      <c r="C100" t="s">
        <v>6</v>
      </c>
      <c r="D100" t="s">
        <v>184</v>
      </c>
      <c r="E100" t="str">
        <f>"7."&amp;D100</f>
        <v>7.Macro + Event + Sentiment (Indirect)</v>
      </c>
      <c r="F100">
        <v>1</v>
      </c>
      <c r="G100" t="s">
        <v>355</v>
      </c>
      <c r="H100">
        <v>8.6404812587646695</v>
      </c>
      <c r="I100">
        <v>6.9578148141846299</v>
      </c>
      <c r="J100">
        <v>0.53093684253981799</v>
      </c>
      <c r="K100">
        <v>6.9648967058183997</v>
      </c>
      <c r="L100">
        <v>0.25993715366877501</v>
      </c>
      <c r="M100">
        <v>5.3860321044921804</v>
      </c>
      <c r="N100">
        <v>0.39412579394716901</v>
      </c>
      <c r="O100">
        <v>4.601806640625</v>
      </c>
      <c r="P100">
        <v>0.340299341191103</v>
      </c>
      <c r="Q100" t="s">
        <v>90</v>
      </c>
    </row>
    <row r="101" spans="1:17" x14ac:dyDescent="0.6">
      <c r="A101" t="s">
        <v>356</v>
      </c>
      <c r="B101">
        <v>5</v>
      </c>
      <c r="C101" t="s">
        <v>6</v>
      </c>
      <c r="D101" t="s">
        <v>184</v>
      </c>
      <c r="E101" t="str">
        <f>"7."&amp;D101</f>
        <v>7.Macro + Event + Sentiment (Indirect)</v>
      </c>
      <c r="F101">
        <v>1</v>
      </c>
      <c r="G101" t="s">
        <v>357</v>
      </c>
      <c r="H101">
        <v>8.7362821150911305</v>
      </c>
      <c r="I101">
        <v>6.9534979219869397</v>
      </c>
      <c r="J101">
        <v>0.53045984220599496</v>
      </c>
      <c r="K101">
        <v>7.1763785188424301</v>
      </c>
      <c r="L101">
        <v>0.27840726973459001</v>
      </c>
      <c r="M101">
        <v>5.4287067099567103</v>
      </c>
      <c r="N101">
        <v>0.39859199766475101</v>
      </c>
      <c r="O101">
        <v>4.60400390625</v>
      </c>
      <c r="P101">
        <v>0.337476435361869</v>
      </c>
      <c r="Q101" t="s">
        <v>90</v>
      </c>
    </row>
    <row r="102" spans="1:17" x14ac:dyDescent="0.6">
      <c r="A102" t="s">
        <v>358</v>
      </c>
      <c r="B102">
        <v>30</v>
      </c>
      <c r="C102" t="s">
        <v>6</v>
      </c>
      <c r="D102" t="s">
        <v>167</v>
      </c>
      <c r="E102" t="str">
        <f>"6."&amp;D102</f>
        <v>6.Macro + Event + Sentiment (Direct)</v>
      </c>
      <c r="F102">
        <v>1</v>
      </c>
      <c r="G102" t="s">
        <v>359</v>
      </c>
      <c r="H102">
        <v>8.8832643768561592</v>
      </c>
      <c r="I102">
        <v>7.2110687076193196</v>
      </c>
      <c r="J102">
        <v>0.55103126799380198</v>
      </c>
      <c r="K102">
        <v>7.0867419252618697</v>
      </c>
      <c r="L102">
        <v>0.26887227627917104</v>
      </c>
      <c r="M102">
        <v>5.4375284435679596</v>
      </c>
      <c r="N102">
        <v>0.39761129456209099</v>
      </c>
      <c r="O102">
        <v>4.60833740234375</v>
      </c>
      <c r="P102">
        <v>0.33992134923824702</v>
      </c>
      <c r="Q102" t="s">
        <v>93</v>
      </c>
    </row>
    <row r="103" spans="1:17" x14ac:dyDescent="0.6">
      <c r="A103" t="s">
        <v>360</v>
      </c>
      <c r="B103">
        <v>90</v>
      </c>
      <c r="C103" t="s">
        <v>6</v>
      </c>
      <c r="D103" t="s">
        <v>167</v>
      </c>
      <c r="E103" t="str">
        <f>"6."&amp;D103</f>
        <v>6.Macro + Event + Sentiment (Direct)</v>
      </c>
      <c r="F103">
        <v>1</v>
      </c>
      <c r="G103" t="s">
        <v>239</v>
      </c>
      <c r="H103">
        <v>6.9893201971297003</v>
      </c>
      <c r="I103">
        <v>5.5132261334043502</v>
      </c>
      <c r="J103">
        <v>0.43011161643824702</v>
      </c>
      <c r="K103">
        <v>7.3061403396874196</v>
      </c>
      <c r="L103">
        <v>0.283822174896595</v>
      </c>
      <c r="M103">
        <v>5.5949656865368098</v>
      </c>
      <c r="N103">
        <v>0.40689484089529598</v>
      </c>
      <c r="O103">
        <v>4.6087646484375</v>
      </c>
      <c r="P103">
        <v>0.34112878437538502</v>
      </c>
      <c r="Q103" t="s">
        <v>114</v>
      </c>
    </row>
    <row r="104" spans="1:17" x14ac:dyDescent="0.6">
      <c r="A104" t="s">
        <v>361</v>
      </c>
      <c r="B104">
        <v>10</v>
      </c>
      <c r="C104" t="s">
        <v>6</v>
      </c>
      <c r="D104" t="s">
        <v>167</v>
      </c>
      <c r="E104" t="str">
        <f>"6."&amp;D104</f>
        <v>6.Macro + Event + Sentiment (Direct)</v>
      </c>
      <c r="F104">
        <v>1</v>
      </c>
      <c r="G104" t="s">
        <v>362</v>
      </c>
      <c r="H104">
        <v>8.7629513185049603</v>
      </c>
      <c r="I104">
        <v>7.0205296535117903</v>
      </c>
      <c r="J104">
        <v>0.53525075868077998</v>
      </c>
      <c r="K104">
        <v>7.0570886358482197</v>
      </c>
      <c r="L104">
        <v>0.26787085977325803</v>
      </c>
      <c r="M104">
        <v>5.4104095729051398</v>
      </c>
      <c r="N104">
        <v>0.39643145372688199</v>
      </c>
      <c r="O104">
        <v>4.61297607421875</v>
      </c>
      <c r="P104">
        <v>0.33730529614363303</v>
      </c>
      <c r="Q104" t="s">
        <v>90</v>
      </c>
    </row>
    <row r="105" spans="1:17" x14ac:dyDescent="0.6">
      <c r="A105" t="s">
        <v>363</v>
      </c>
      <c r="B105">
        <v>10</v>
      </c>
      <c r="C105" t="s">
        <v>6</v>
      </c>
      <c r="D105" t="s">
        <v>184</v>
      </c>
      <c r="E105" t="str">
        <f>"7."&amp;D105</f>
        <v>7.Macro + Event + Sentiment (Indirect)</v>
      </c>
      <c r="F105">
        <v>1</v>
      </c>
      <c r="G105" t="s">
        <v>364</v>
      </c>
      <c r="H105">
        <v>8.7251677758871509</v>
      </c>
      <c r="I105">
        <v>7.0351538794792203</v>
      </c>
      <c r="J105">
        <v>0.53629518913296803</v>
      </c>
      <c r="K105">
        <v>7.1531664457308999</v>
      </c>
      <c r="L105">
        <v>0.27550402328531398</v>
      </c>
      <c r="M105">
        <v>5.42493864076327</v>
      </c>
      <c r="N105">
        <v>0.39757794597645502</v>
      </c>
      <c r="O105">
        <v>4.613037109375</v>
      </c>
      <c r="P105">
        <v>0.33746517820618499</v>
      </c>
      <c r="Q105" t="s">
        <v>90</v>
      </c>
    </row>
    <row r="106" spans="1:17" x14ac:dyDescent="0.6">
      <c r="A106" t="s">
        <v>365</v>
      </c>
      <c r="B106">
        <v>5</v>
      </c>
      <c r="C106" t="s">
        <v>6</v>
      </c>
      <c r="D106" t="s">
        <v>8</v>
      </c>
      <c r="E106" t="str">
        <f>"2."&amp;D106</f>
        <v>2.Macro + Event</v>
      </c>
      <c r="F106">
        <v>1</v>
      </c>
      <c r="G106" t="s">
        <v>115</v>
      </c>
      <c r="H106" s="13">
        <v>8.6961930600441004</v>
      </c>
      <c r="I106" s="13">
        <v>6.9890003081928302</v>
      </c>
      <c r="J106" s="13">
        <v>0.53325289059635905</v>
      </c>
      <c r="K106" s="13">
        <v>7.1444564286316004</v>
      </c>
      <c r="L106">
        <v>0.27593425972084501</v>
      </c>
      <c r="M106" s="13">
        <v>5.3940382127637898</v>
      </c>
      <c r="N106" s="13">
        <v>0.39588277358062901</v>
      </c>
      <c r="O106">
        <v>4.6175537109375</v>
      </c>
      <c r="P106" s="13">
        <v>0.338844693192139</v>
      </c>
      <c r="Q106" t="s">
        <v>90</v>
      </c>
    </row>
    <row r="107" spans="1:17" x14ac:dyDescent="0.6">
      <c r="A107" t="s">
        <v>366</v>
      </c>
      <c r="B107">
        <v>5</v>
      </c>
      <c r="C107" t="s">
        <v>9</v>
      </c>
      <c r="D107" t="s">
        <v>184</v>
      </c>
      <c r="E107" t="str">
        <f>"7."&amp;D107</f>
        <v>7.Macro + Event + Sentiment (Indirect)</v>
      </c>
      <c r="F107">
        <v>1</v>
      </c>
      <c r="G107" t="s">
        <v>367</v>
      </c>
      <c r="H107">
        <v>8.79904595730018</v>
      </c>
      <c r="I107">
        <v>7.0300426639934397</v>
      </c>
      <c r="J107">
        <v>0.53629964514922501</v>
      </c>
      <c r="K107">
        <v>7.32452175217992</v>
      </c>
      <c r="L107">
        <v>0.289092425150067</v>
      </c>
      <c r="M107">
        <v>5.5709968335700699</v>
      </c>
      <c r="N107">
        <v>0.40837718293624697</v>
      </c>
      <c r="O107">
        <v>4.6185302734375</v>
      </c>
      <c r="P107">
        <v>0.34320772136493599</v>
      </c>
      <c r="Q107" t="s">
        <v>90</v>
      </c>
    </row>
    <row r="108" spans="1:17" x14ac:dyDescent="0.6">
      <c r="A108" t="s">
        <v>368</v>
      </c>
      <c r="B108">
        <v>60</v>
      </c>
      <c r="C108" t="s">
        <v>99</v>
      </c>
      <c r="D108" t="s">
        <v>171</v>
      </c>
      <c r="E108" t="str">
        <f>"4."&amp;D108</f>
        <v>4.Macro + Sentiment (Indirect)</v>
      </c>
      <c r="F108">
        <v>1</v>
      </c>
      <c r="G108" t="s">
        <v>369</v>
      </c>
      <c r="H108">
        <v>8.4713589175148591</v>
      </c>
      <c r="I108">
        <v>6.8693348811222901</v>
      </c>
      <c r="J108">
        <v>0.53131671209533504</v>
      </c>
      <c r="K108">
        <v>7.3593117391534602</v>
      </c>
      <c r="L108">
        <v>0.287788257485387</v>
      </c>
      <c r="M108">
        <v>5.70770749178799</v>
      </c>
      <c r="N108">
        <v>0.41535426094452599</v>
      </c>
      <c r="O108">
        <v>4.62445068359375</v>
      </c>
      <c r="P108">
        <v>0.33636452091615499</v>
      </c>
      <c r="Q108" t="s">
        <v>135</v>
      </c>
    </row>
    <row r="109" spans="1:17" x14ac:dyDescent="0.6">
      <c r="A109" t="s">
        <v>370</v>
      </c>
      <c r="B109">
        <v>10</v>
      </c>
      <c r="C109" t="s">
        <v>99</v>
      </c>
      <c r="D109" t="s">
        <v>8</v>
      </c>
      <c r="E109" t="str">
        <f>"2."&amp;D109</f>
        <v>2.Macro + Event</v>
      </c>
      <c r="F109">
        <v>1</v>
      </c>
      <c r="G109" t="s">
        <v>108</v>
      </c>
      <c r="H109">
        <v>8.6456389999999992</v>
      </c>
      <c r="I109">
        <v>6.8323669999999996</v>
      </c>
      <c r="J109">
        <v>0.52072099999999999</v>
      </c>
      <c r="K109">
        <v>7.1114889999999997</v>
      </c>
      <c r="L109">
        <v>0.2722</v>
      </c>
      <c r="M109">
        <v>5.431991</v>
      </c>
      <c r="N109">
        <v>0.39815299999999998</v>
      </c>
      <c r="O109">
        <v>4.627014</v>
      </c>
      <c r="P109">
        <v>0.34491699999999997</v>
      </c>
      <c r="Q109" t="s">
        <v>90</v>
      </c>
    </row>
    <row r="110" spans="1:17" x14ac:dyDescent="0.6">
      <c r="A110" t="s">
        <v>371</v>
      </c>
      <c r="B110">
        <v>10</v>
      </c>
      <c r="C110" t="s">
        <v>99</v>
      </c>
      <c r="D110" t="s">
        <v>181</v>
      </c>
      <c r="E110" t="str">
        <f>"3."&amp;D110</f>
        <v>3.Macro + Sentiment (Direct)</v>
      </c>
      <c r="F110">
        <v>1</v>
      </c>
      <c r="G110" t="s">
        <v>372</v>
      </c>
      <c r="H110">
        <v>8.7444066450674001</v>
      </c>
      <c r="I110">
        <v>7.0166131159119196</v>
      </c>
      <c r="J110">
        <v>0.53503135592738005</v>
      </c>
      <c r="K110">
        <v>7.2158739814816801</v>
      </c>
      <c r="L110">
        <v>0.278922230648532</v>
      </c>
      <c r="M110">
        <v>5.5692090059803601</v>
      </c>
      <c r="N110">
        <v>0.40756084704942902</v>
      </c>
      <c r="O110">
        <v>4.6282958984375</v>
      </c>
      <c r="P110">
        <v>0.34074605390534402</v>
      </c>
      <c r="Q110" t="s">
        <v>90</v>
      </c>
    </row>
    <row r="111" spans="1:17" x14ac:dyDescent="0.6">
      <c r="A111" t="s">
        <v>373</v>
      </c>
      <c r="B111">
        <v>90</v>
      </c>
      <c r="C111" t="s">
        <v>9</v>
      </c>
      <c r="D111" t="s">
        <v>177</v>
      </c>
      <c r="E111" t="str">
        <f>"8."&amp;D111</f>
        <v>8.Macro + Event + Sentiment (Both)</v>
      </c>
      <c r="F111">
        <v>1</v>
      </c>
      <c r="G111" t="s">
        <v>374</v>
      </c>
      <c r="H111">
        <v>7.1161071875797699</v>
      </c>
      <c r="I111">
        <v>5.48372210878314</v>
      </c>
      <c r="J111">
        <v>0.42806987767764298</v>
      </c>
      <c r="K111">
        <v>7.7585138058188603</v>
      </c>
      <c r="L111">
        <v>0.32037516698767898</v>
      </c>
      <c r="M111">
        <v>6.0094596131207103</v>
      </c>
      <c r="N111">
        <v>0.43744283511870902</v>
      </c>
      <c r="O111">
        <v>4.63336181640625</v>
      </c>
      <c r="P111">
        <v>0.32960342413779697</v>
      </c>
      <c r="Q111" t="s">
        <v>114</v>
      </c>
    </row>
    <row r="112" spans="1:17" x14ac:dyDescent="0.6">
      <c r="A112" t="s">
        <v>375</v>
      </c>
      <c r="B112">
        <v>30</v>
      </c>
      <c r="C112" t="s">
        <v>9</v>
      </c>
      <c r="D112" t="s">
        <v>174</v>
      </c>
      <c r="E112" t="str">
        <f>"5."&amp;D112</f>
        <v>5.Macro + Sentiment (Both)</v>
      </c>
      <c r="F112">
        <v>1</v>
      </c>
      <c r="G112" t="s">
        <v>376</v>
      </c>
      <c r="H112">
        <v>8.8986155270151706</v>
      </c>
      <c r="I112">
        <v>7.1844565581633697</v>
      </c>
      <c r="J112">
        <v>0.54872979038542402</v>
      </c>
      <c r="K112">
        <v>7.3205897261233801</v>
      </c>
      <c r="L112">
        <v>0.28517133306265602</v>
      </c>
      <c r="M112">
        <v>5.7015777884177696</v>
      </c>
      <c r="N112">
        <v>0.41610052073683601</v>
      </c>
      <c r="O112">
        <v>4.63372802734375</v>
      </c>
      <c r="P112">
        <v>0.33984132753114499</v>
      </c>
      <c r="Q112" t="s">
        <v>93</v>
      </c>
    </row>
    <row r="113" spans="1:17" x14ac:dyDescent="0.6">
      <c r="A113" t="s">
        <v>377</v>
      </c>
      <c r="B113">
        <v>90</v>
      </c>
      <c r="C113" t="s">
        <v>99</v>
      </c>
      <c r="D113" t="s">
        <v>7</v>
      </c>
      <c r="E113" t="str">
        <f>"1."&amp;D113</f>
        <v>1.Macro Only</v>
      </c>
      <c r="F113">
        <v>1</v>
      </c>
      <c r="G113" t="s">
        <v>143</v>
      </c>
      <c r="H113">
        <v>6.9688939999999997</v>
      </c>
      <c r="I113">
        <v>5.5165740000000003</v>
      </c>
      <c r="J113">
        <v>0.43058000000000002</v>
      </c>
      <c r="K113">
        <v>7.3648809999999996</v>
      </c>
      <c r="L113">
        <v>0.28849999999999998</v>
      </c>
      <c r="M113">
        <v>5.6419259999999998</v>
      </c>
      <c r="N113">
        <v>0.41033900000000001</v>
      </c>
      <c r="O113">
        <v>4.6347659999999999</v>
      </c>
      <c r="P113">
        <v>0.33742</v>
      </c>
      <c r="Q113" t="s">
        <v>114</v>
      </c>
    </row>
    <row r="114" spans="1:17" x14ac:dyDescent="0.6">
      <c r="A114" t="s">
        <v>378</v>
      </c>
      <c r="B114">
        <v>5</v>
      </c>
      <c r="C114" t="s">
        <v>6</v>
      </c>
      <c r="D114" t="s">
        <v>167</v>
      </c>
      <c r="E114" t="str">
        <f>"6."&amp;D114</f>
        <v>6.Macro + Event + Sentiment (Direct)</v>
      </c>
      <c r="F114">
        <v>1</v>
      </c>
      <c r="G114" t="s">
        <v>364</v>
      </c>
      <c r="H114">
        <v>8.7512522035991793</v>
      </c>
      <c r="I114">
        <v>7.0562089907802203</v>
      </c>
      <c r="J114">
        <v>0.538205367598666</v>
      </c>
      <c r="K114">
        <v>7.2259619110420896</v>
      </c>
      <c r="L114">
        <v>0.281985910975312</v>
      </c>
      <c r="M114">
        <v>5.4821074514678001</v>
      </c>
      <c r="N114">
        <v>0.40222822587616602</v>
      </c>
      <c r="O114">
        <v>4.63623046875</v>
      </c>
      <c r="P114">
        <v>0.342098112034457</v>
      </c>
      <c r="Q114" t="s">
        <v>90</v>
      </c>
    </row>
    <row r="115" spans="1:17" x14ac:dyDescent="0.6">
      <c r="A115" t="s">
        <v>379</v>
      </c>
      <c r="B115">
        <v>90</v>
      </c>
      <c r="C115" t="s">
        <v>92</v>
      </c>
      <c r="D115" t="s">
        <v>167</v>
      </c>
      <c r="E115" t="str">
        <f>"6."&amp;D115</f>
        <v>6.Macro + Event + Sentiment (Direct)</v>
      </c>
      <c r="F115">
        <v>1</v>
      </c>
      <c r="G115" t="s">
        <v>380</v>
      </c>
      <c r="H115">
        <v>6.9366745123253502</v>
      </c>
      <c r="I115">
        <v>5.5578058416193103</v>
      </c>
      <c r="J115">
        <v>0.43383743933817198</v>
      </c>
      <c r="K115">
        <v>7.2921080689461002</v>
      </c>
      <c r="L115">
        <v>0.28358121502351796</v>
      </c>
      <c r="M115">
        <v>5.55034647902397</v>
      </c>
      <c r="N115">
        <v>0.40400552717175803</v>
      </c>
      <c r="O115">
        <v>4.6378173828125</v>
      </c>
      <c r="P115">
        <v>0.33613716261034199</v>
      </c>
      <c r="Q115" t="s">
        <v>114</v>
      </c>
    </row>
    <row r="116" spans="1:17" x14ac:dyDescent="0.6">
      <c r="A116" t="s">
        <v>381</v>
      </c>
      <c r="B116">
        <v>90</v>
      </c>
      <c r="C116" t="s">
        <v>9</v>
      </c>
      <c r="D116" t="s">
        <v>7</v>
      </c>
      <c r="E116" t="str">
        <f>"1."&amp;D116</f>
        <v>1.Macro Only</v>
      </c>
      <c r="F116">
        <v>1</v>
      </c>
      <c r="G116" t="s">
        <v>157</v>
      </c>
      <c r="H116" s="13">
        <v>6.8653947856092001</v>
      </c>
      <c r="I116" s="13">
        <v>5.4196222478693103</v>
      </c>
      <c r="J116" s="13">
        <v>0.422612175926948</v>
      </c>
      <c r="K116" s="13">
        <v>7.6237277753961603</v>
      </c>
      <c r="L116">
        <v>0.30664734052742898</v>
      </c>
      <c r="M116" s="13">
        <v>5.9513658497431496</v>
      </c>
      <c r="N116">
        <v>0.43191930452456301</v>
      </c>
      <c r="O116">
        <v>4.63812255859375</v>
      </c>
      <c r="P116" s="13">
        <v>0.33464390093780699</v>
      </c>
      <c r="Q116" t="s">
        <v>114</v>
      </c>
    </row>
    <row r="117" spans="1:17" x14ac:dyDescent="0.6">
      <c r="A117" t="s">
        <v>382</v>
      </c>
      <c r="B117">
        <v>10</v>
      </c>
      <c r="C117" t="s">
        <v>92</v>
      </c>
      <c r="D117" t="s">
        <v>171</v>
      </c>
      <c r="E117" t="str">
        <f>"4."&amp;D117</f>
        <v>4.Macro + Sentiment (Indirect)</v>
      </c>
      <c r="F117">
        <v>1</v>
      </c>
      <c r="G117" t="s">
        <v>383</v>
      </c>
      <c r="H117">
        <v>8.7002416321835607</v>
      </c>
      <c r="I117">
        <v>6.9171266857854903</v>
      </c>
      <c r="J117">
        <v>0.52753113084332304</v>
      </c>
      <c r="K117">
        <v>7.0525043958054798</v>
      </c>
      <c r="L117">
        <v>0.26778474446574302</v>
      </c>
      <c r="M117">
        <v>5.3917528000552997</v>
      </c>
      <c r="N117">
        <v>0.39514547581331499</v>
      </c>
      <c r="O117">
        <v>4.6395263671875</v>
      </c>
      <c r="P117">
        <v>0.33735504092539498</v>
      </c>
      <c r="Q117" t="s">
        <v>90</v>
      </c>
    </row>
    <row r="118" spans="1:17" x14ac:dyDescent="0.6">
      <c r="A118" t="s">
        <v>384</v>
      </c>
      <c r="B118">
        <v>5</v>
      </c>
      <c r="C118" t="s">
        <v>92</v>
      </c>
      <c r="D118" t="s">
        <v>177</v>
      </c>
      <c r="E118" t="str">
        <f>"8."&amp;D118</f>
        <v>8.Macro + Event + Sentiment (Both)</v>
      </c>
      <c r="F118">
        <v>1</v>
      </c>
      <c r="G118" t="s">
        <v>385</v>
      </c>
      <c r="H118">
        <v>8.7379989577400003</v>
      </c>
      <c r="I118">
        <v>6.9731691899754296</v>
      </c>
      <c r="J118">
        <v>0.53208160843939301</v>
      </c>
      <c r="K118">
        <v>7.1763460210166397</v>
      </c>
      <c r="L118">
        <v>0.27783581162850801</v>
      </c>
      <c r="M118">
        <v>5.4718112697849</v>
      </c>
      <c r="N118">
        <v>0.401332013174858</v>
      </c>
      <c r="O118">
        <v>4.6424560546875</v>
      </c>
      <c r="P118">
        <v>0.33895199298620399</v>
      </c>
      <c r="Q118" t="s">
        <v>90</v>
      </c>
    </row>
    <row r="119" spans="1:17" x14ac:dyDescent="0.6">
      <c r="A119" t="s">
        <v>386</v>
      </c>
      <c r="B119">
        <v>10</v>
      </c>
      <c r="C119" t="s">
        <v>92</v>
      </c>
      <c r="D119" t="s">
        <v>174</v>
      </c>
      <c r="E119" t="str">
        <f>"5."&amp;D119</f>
        <v>5.Macro + Sentiment (Both)</v>
      </c>
      <c r="F119">
        <v>1</v>
      </c>
      <c r="G119" t="s">
        <v>387</v>
      </c>
      <c r="H119">
        <v>8.6939082871343096</v>
      </c>
      <c r="I119">
        <v>6.9945714383822901</v>
      </c>
      <c r="J119">
        <v>0.53323873582341197</v>
      </c>
      <c r="K119">
        <v>7.2145968803774698</v>
      </c>
      <c r="L119">
        <v>0.27885130186110502</v>
      </c>
      <c r="M119">
        <v>5.5742862667657596</v>
      </c>
      <c r="N119">
        <v>0.40792730383599002</v>
      </c>
      <c r="O119">
        <v>4.642822265625</v>
      </c>
      <c r="P119">
        <v>0.33711135341323101</v>
      </c>
      <c r="Q119" t="s">
        <v>90</v>
      </c>
    </row>
    <row r="120" spans="1:17" x14ac:dyDescent="0.6">
      <c r="A120" t="s">
        <v>388</v>
      </c>
      <c r="B120">
        <v>5</v>
      </c>
      <c r="C120" t="s">
        <v>92</v>
      </c>
      <c r="D120" t="s">
        <v>8</v>
      </c>
      <c r="E120" t="str">
        <f>"2."&amp;D120</f>
        <v>2.Macro + Event</v>
      </c>
      <c r="F120">
        <v>1</v>
      </c>
      <c r="G120" t="s">
        <v>117</v>
      </c>
      <c r="H120">
        <v>8.7020579999999992</v>
      </c>
      <c r="I120">
        <v>6.9538469999999997</v>
      </c>
      <c r="J120">
        <v>0.53055399999999997</v>
      </c>
      <c r="K120">
        <v>7.1516469999999996</v>
      </c>
      <c r="L120">
        <v>0.27659999999999996</v>
      </c>
      <c r="M120">
        <v>5.4203900000000003</v>
      </c>
      <c r="N120">
        <v>0.397868</v>
      </c>
      <c r="O120">
        <v>4.642944</v>
      </c>
      <c r="P120">
        <v>0.33465699999999998</v>
      </c>
      <c r="Q120" t="s">
        <v>90</v>
      </c>
    </row>
    <row r="121" spans="1:17" x14ac:dyDescent="0.6">
      <c r="A121" t="s">
        <v>389</v>
      </c>
      <c r="B121">
        <v>90</v>
      </c>
      <c r="C121" t="s">
        <v>9</v>
      </c>
      <c r="D121" t="s">
        <v>167</v>
      </c>
      <c r="E121" t="str">
        <f>"6."&amp;D121</f>
        <v>6.Macro + Event + Sentiment (Direct)</v>
      </c>
      <c r="F121">
        <v>1</v>
      </c>
      <c r="G121" t="s">
        <v>390</v>
      </c>
      <c r="H121">
        <v>7.1019632840401297</v>
      </c>
      <c r="I121">
        <v>5.7325328480113598</v>
      </c>
      <c r="J121">
        <v>0.447586383810049</v>
      </c>
      <c r="K121">
        <v>7.6604377884602401</v>
      </c>
      <c r="L121">
        <v>0.31437827924956602</v>
      </c>
      <c r="M121">
        <v>5.7231328258775598</v>
      </c>
      <c r="N121">
        <v>0.41705939307897899</v>
      </c>
      <c r="O121">
        <v>4.64361572265625</v>
      </c>
      <c r="P121">
        <v>0.33006569205092501</v>
      </c>
      <c r="Q121" t="s">
        <v>114</v>
      </c>
    </row>
    <row r="122" spans="1:17" x14ac:dyDescent="0.6">
      <c r="A122" t="s">
        <v>391</v>
      </c>
      <c r="B122">
        <v>30</v>
      </c>
      <c r="C122" t="s">
        <v>6</v>
      </c>
      <c r="D122" t="s">
        <v>174</v>
      </c>
      <c r="E122" t="str">
        <f>"5."&amp;D122</f>
        <v>5.Macro + Sentiment (Both)</v>
      </c>
      <c r="F122">
        <v>1</v>
      </c>
      <c r="G122" t="s">
        <v>392</v>
      </c>
      <c r="H122">
        <v>8.9526549049167308</v>
      </c>
      <c r="I122">
        <v>7.1989741987095197</v>
      </c>
      <c r="J122">
        <v>0.55005995402508301</v>
      </c>
      <c r="K122">
        <v>7.3132836038622404</v>
      </c>
      <c r="L122">
        <v>0.28748316913089</v>
      </c>
      <c r="M122">
        <v>5.6368722267521196</v>
      </c>
      <c r="N122">
        <v>0.41241311872768599</v>
      </c>
      <c r="O122">
        <v>4.64453125</v>
      </c>
      <c r="P122">
        <v>0.33701328351869497</v>
      </c>
      <c r="Q122" t="s">
        <v>93</v>
      </c>
    </row>
    <row r="123" spans="1:17" x14ac:dyDescent="0.6">
      <c r="A123" t="s">
        <v>393</v>
      </c>
      <c r="B123">
        <v>10</v>
      </c>
      <c r="C123" t="s">
        <v>92</v>
      </c>
      <c r="D123" t="s">
        <v>167</v>
      </c>
      <c r="E123" t="str">
        <f>"6."&amp;D123</f>
        <v>6.Macro + Event + Sentiment (Direct)</v>
      </c>
      <c r="F123">
        <v>1</v>
      </c>
      <c r="G123" t="s">
        <v>394</v>
      </c>
      <c r="H123">
        <v>8.7385722848447607</v>
      </c>
      <c r="I123">
        <v>6.9592882619544199</v>
      </c>
      <c r="J123">
        <v>0.530693077211977</v>
      </c>
      <c r="K123">
        <v>7.0659314553125601</v>
      </c>
      <c r="L123">
        <v>0.26829408486026002</v>
      </c>
      <c r="M123">
        <v>5.4309805810978897</v>
      </c>
      <c r="N123">
        <v>0.39783717526518497</v>
      </c>
      <c r="O123">
        <v>4.646484375</v>
      </c>
      <c r="P123">
        <v>0.34405323508373897</v>
      </c>
      <c r="Q123" t="s">
        <v>90</v>
      </c>
    </row>
    <row r="124" spans="1:17" x14ac:dyDescent="0.6">
      <c r="A124" t="s">
        <v>395</v>
      </c>
      <c r="B124">
        <v>90</v>
      </c>
      <c r="C124" t="s">
        <v>92</v>
      </c>
      <c r="D124" t="s">
        <v>174</v>
      </c>
      <c r="E124" t="str">
        <f>"5."&amp;D124</f>
        <v>5.Macro + Sentiment (Both)</v>
      </c>
      <c r="F124">
        <v>1</v>
      </c>
      <c r="G124" t="s">
        <v>396</v>
      </c>
      <c r="H124">
        <v>6.9824003421249197</v>
      </c>
      <c r="I124">
        <v>5.6009336529356002</v>
      </c>
      <c r="J124">
        <v>0.43738369804145</v>
      </c>
      <c r="K124">
        <v>7.3084167625205403</v>
      </c>
      <c r="L124">
        <v>0.28416694373596202</v>
      </c>
      <c r="M124">
        <v>5.5689722348565898</v>
      </c>
      <c r="N124">
        <v>0.40508889316400898</v>
      </c>
      <c r="O124">
        <v>4.64886474609375</v>
      </c>
      <c r="P124">
        <v>0.34294493929323899</v>
      </c>
      <c r="Q124" t="s">
        <v>114</v>
      </c>
    </row>
    <row r="125" spans="1:17" x14ac:dyDescent="0.6">
      <c r="A125" t="s">
        <v>399</v>
      </c>
      <c r="B125">
        <v>90</v>
      </c>
      <c r="C125" t="s">
        <v>6</v>
      </c>
      <c r="D125" t="s">
        <v>171</v>
      </c>
      <c r="E125" t="str">
        <f>"4."&amp;D125</f>
        <v>4.Macro + Sentiment (Indirect)</v>
      </c>
      <c r="F125">
        <v>1</v>
      </c>
      <c r="G125" t="s">
        <v>400</v>
      </c>
      <c r="H125">
        <v>6.9410422607662596</v>
      </c>
      <c r="I125">
        <v>5.4809311375473397</v>
      </c>
      <c r="J125">
        <v>0.42763767218452298</v>
      </c>
      <c r="K125">
        <v>7.3749232163488596</v>
      </c>
      <c r="L125">
        <v>0.28960662887310001</v>
      </c>
      <c r="M125">
        <v>5.6479124304366399</v>
      </c>
      <c r="N125">
        <v>0.41086609026426701</v>
      </c>
      <c r="O125">
        <v>4.65625</v>
      </c>
      <c r="P125">
        <v>0.34347582789745301</v>
      </c>
      <c r="Q125" t="s">
        <v>114</v>
      </c>
    </row>
    <row r="126" spans="1:17" x14ac:dyDescent="0.6">
      <c r="A126" t="s">
        <v>401</v>
      </c>
      <c r="B126">
        <v>5</v>
      </c>
      <c r="C126" t="s">
        <v>6</v>
      </c>
      <c r="D126" t="s">
        <v>181</v>
      </c>
      <c r="E126" t="str">
        <f>"3."&amp;D126</f>
        <v>3.Macro + Sentiment (Direct)</v>
      </c>
      <c r="F126">
        <v>1</v>
      </c>
      <c r="G126" t="s">
        <v>402</v>
      </c>
      <c r="H126">
        <v>8.7493274051996206</v>
      </c>
      <c r="I126">
        <v>7.0805945631056604</v>
      </c>
      <c r="J126">
        <v>0.54009704991291396</v>
      </c>
      <c r="K126">
        <v>7.1820808355408703</v>
      </c>
      <c r="L126">
        <v>0.27845229147290501</v>
      </c>
      <c r="M126">
        <v>5.4664576146509702</v>
      </c>
      <c r="N126">
        <v>0.40104206090554601</v>
      </c>
      <c r="O126">
        <v>4.6578369140625</v>
      </c>
      <c r="P126">
        <v>0.34462971253671298</v>
      </c>
      <c r="Q126" t="s">
        <v>90</v>
      </c>
    </row>
    <row r="127" spans="1:17" x14ac:dyDescent="0.6">
      <c r="A127" t="s">
        <v>403</v>
      </c>
      <c r="B127">
        <v>20</v>
      </c>
      <c r="C127" t="s">
        <v>9</v>
      </c>
      <c r="D127" t="s">
        <v>7</v>
      </c>
      <c r="E127" t="str">
        <f>"1."&amp;D127</f>
        <v>1.Macro Only</v>
      </c>
      <c r="F127">
        <v>1</v>
      </c>
      <c r="G127" t="s">
        <v>129</v>
      </c>
      <c r="H127" s="13">
        <v>8.7757982914965407</v>
      </c>
      <c r="I127" s="13">
        <v>7.0594505251520996</v>
      </c>
      <c r="J127" s="13">
        <v>0.53841825360541395</v>
      </c>
      <c r="K127">
        <v>7.2321264129907004</v>
      </c>
      <c r="L127">
        <v>0.27998303400910501</v>
      </c>
      <c r="M127" s="13">
        <v>5.5785319010416599</v>
      </c>
      <c r="N127" s="13">
        <v>0.40792258672520099</v>
      </c>
      <c r="O127">
        <v>4.66253662109375</v>
      </c>
      <c r="P127" s="13">
        <v>0.34455413704927101</v>
      </c>
      <c r="Q127" t="s">
        <v>90</v>
      </c>
    </row>
    <row r="128" spans="1:17" x14ac:dyDescent="0.6">
      <c r="A128" t="s">
        <v>404</v>
      </c>
      <c r="B128">
        <v>20</v>
      </c>
      <c r="C128" t="s">
        <v>9</v>
      </c>
      <c r="D128" t="s">
        <v>171</v>
      </c>
      <c r="E128" t="str">
        <f>"4."&amp;D128</f>
        <v>4.Macro + Sentiment (Indirect)</v>
      </c>
      <c r="F128">
        <v>1</v>
      </c>
      <c r="G128" t="s">
        <v>405</v>
      </c>
      <c r="H128">
        <v>8.6926324931409908</v>
      </c>
      <c r="I128">
        <v>7.03764173502812</v>
      </c>
      <c r="J128">
        <v>0.53698618847993396</v>
      </c>
      <c r="K128">
        <v>7.0147425107692998</v>
      </c>
      <c r="L128">
        <v>0.26422597280589799</v>
      </c>
      <c r="M128">
        <v>5.3937383581090801</v>
      </c>
      <c r="N128">
        <v>0.394918445637228</v>
      </c>
      <c r="O128">
        <v>4.666259765625</v>
      </c>
      <c r="P128">
        <v>0.345290657902106</v>
      </c>
      <c r="Q128" t="s">
        <v>90</v>
      </c>
    </row>
    <row r="129" spans="1:17" x14ac:dyDescent="0.6">
      <c r="A129" t="s">
        <v>407</v>
      </c>
      <c r="B129">
        <v>10</v>
      </c>
      <c r="C129" t="s">
        <v>92</v>
      </c>
      <c r="D129" t="s">
        <v>7</v>
      </c>
      <c r="E129" t="str">
        <f>"1."&amp;D129</f>
        <v>1.Macro Only</v>
      </c>
      <c r="F129">
        <v>1</v>
      </c>
      <c r="G129" t="s">
        <v>110</v>
      </c>
      <c r="H129">
        <v>8.69163</v>
      </c>
      <c r="I129">
        <v>6.9685360000000003</v>
      </c>
      <c r="J129">
        <v>0.53141499999999997</v>
      </c>
      <c r="K129">
        <v>7.1164800000000001</v>
      </c>
      <c r="L129">
        <v>0.27200000000000002</v>
      </c>
      <c r="M129">
        <v>5.4687929999999998</v>
      </c>
      <c r="N129">
        <v>0.40054499999999998</v>
      </c>
      <c r="O129">
        <v>4.6674189999999998</v>
      </c>
      <c r="P129">
        <v>0.34352199999999999</v>
      </c>
      <c r="Q129" t="s">
        <v>90</v>
      </c>
    </row>
    <row r="130" spans="1:17" x14ac:dyDescent="0.6">
      <c r="A130" t="s">
        <v>408</v>
      </c>
      <c r="B130">
        <v>60</v>
      </c>
      <c r="C130" t="s">
        <v>92</v>
      </c>
      <c r="D130" t="s">
        <v>171</v>
      </c>
      <c r="E130" t="str">
        <f>"4."&amp;D130</f>
        <v>4.Macro + Sentiment (Indirect)</v>
      </c>
      <c r="F130">
        <v>1</v>
      </c>
      <c r="G130" t="s">
        <v>409</v>
      </c>
      <c r="H130">
        <v>8.4628294451149202</v>
      </c>
      <c r="I130">
        <v>6.8429747361403201</v>
      </c>
      <c r="J130">
        <v>0.52908364317769996</v>
      </c>
      <c r="K130">
        <v>7.3124180179365199</v>
      </c>
      <c r="L130">
        <v>0.284874932503275</v>
      </c>
      <c r="M130">
        <v>5.6562527743252797</v>
      </c>
      <c r="N130">
        <v>0.41188939315374401</v>
      </c>
      <c r="O130">
        <v>4.67230224609375</v>
      </c>
      <c r="P130">
        <v>0.34119604253692298</v>
      </c>
      <c r="Q130" t="s">
        <v>135</v>
      </c>
    </row>
    <row r="131" spans="1:17" x14ac:dyDescent="0.6">
      <c r="A131" t="s">
        <v>410</v>
      </c>
      <c r="B131">
        <v>30</v>
      </c>
      <c r="C131" t="s">
        <v>92</v>
      </c>
      <c r="D131" t="s">
        <v>167</v>
      </c>
      <c r="E131" t="str">
        <f>"6."&amp;D131</f>
        <v>6.Macro + Event + Sentiment (Direct)</v>
      </c>
      <c r="F131">
        <v>1</v>
      </c>
      <c r="G131" t="s">
        <v>411</v>
      </c>
      <c r="H131">
        <v>8.8844292708784494</v>
      </c>
      <c r="I131">
        <v>7.1715495476109101</v>
      </c>
      <c r="J131">
        <v>0.548031525480285</v>
      </c>
      <c r="K131">
        <v>7.3448530398125502</v>
      </c>
      <c r="L131">
        <v>0.28724003228810197</v>
      </c>
      <c r="M131">
        <v>5.7409259092460498</v>
      </c>
      <c r="N131">
        <v>0.41901546465815598</v>
      </c>
      <c r="O131">
        <v>4.67449951171875</v>
      </c>
      <c r="P131">
        <v>0.34660005144541101</v>
      </c>
      <c r="Q131" t="s">
        <v>93</v>
      </c>
    </row>
    <row r="132" spans="1:17" x14ac:dyDescent="0.6">
      <c r="A132" t="s">
        <v>412</v>
      </c>
      <c r="B132">
        <v>5</v>
      </c>
      <c r="C132" t="s">
        <v>9</v>
      </c>
      <c r="D132" t="s">
        <v>171</v>
      </c>
      <c r="E132" t="str">
        <f>"4."&amp;D132</f>
        <v>4.Macro + Sentiment (Indirect)</v>
      </c>
      <c r="F132">
        <v>1</v>
      </c>
      <c r="G132" t="s">
        <v>413</v>
      </c>
      <c r="H132">
        <v>8.8539301507731594</v>
      </c>
      <c r="I132">
        <v>7.03611180997353</v>
      </c>
      <c r="J132">
        <v>0.53661881079271101</v>
      </c>
      <c r="K132">
        <v>7.5553119917067004</v>
      </c>
      <c r="L132">
        <v>0.30639942705391204</v>
      </c>
      <c r="M132">
        <v>5.8581225903003196</v>
      </c>
      <c r="N132">
        <v>0.42890978603382401</v>
      </c>
      <c r="O132">
        <v>4.6826171875</v>
      </c>
      <c r="P132">
        <v>0.344150553041143</v>
      </c>
      <c r="Q132" t="s">
        <v>90</v>
      </c>
    </row>
    <row r="133" spans="1:17" x14ac:dyDescent="0.6">
      <c r="A133" t="s">
        <v>414</v>
      </c>
      <c r="B133">
        <v>10</v>
      </c>
      <c r="C133" t="s">
        <v>6</v>
      </c>
      <c r="D133" t="s">
        <v>174</v>
      </c>
      <c r="E133" t="str">
        <f>"5."&amp;D133</f>
        <v>5.Macro + Sentiment (Both)</v>
      </c>
      <c r="F133">
        <v>1</v>
      </c>
      <c r="G133" t="s">
        <v>415</v>
      </c>
      <c r="H133">
        <v>8.7035584878290795</v>
      </c>
      <c r="I133">
        <v>6.99040233675351</v>
      </c>
      <c r="J133">
        <v>0.53305700436503001</v>
      </c>
      <c r="K133">
        <v>7.2660344151961498</v>
      </c>
      <c r="L133">
        <v>0.28537178353830001</v>
      </c>
      <c r="M133">
        <v>5.5441462423949099</v>
      </c>
      <c r="N133">
        <v>0.40684344699911601</v>
      </c>
      <c r="O133">
        <v>4.69000244140625</v>
      </c>
      <c r="P133">
        <v>0.34720037359139599</v>
      </c>
      <c r="Q133" t="s">
        <v>90</v>
      </c>
    </row>
    <row r="134" spans="1:17" x14ac:dyDescent="0.6">
      <c r="A134" t="s">
        <v>416</v>
      </c>
      <c r="B134">
        <v>5</v>
      </c>
      <c r="C134" t="s">
        <v>99</v>
      </c>
      <c r="D134" t="s">
        <v>184</v>
      </c>
      <c r="E134" t="str">
        <f>"7."&amp;D134</f>
        <v>7.Macro + Event + Sentiment (Indirect)</v>
      </c>
      <c r="F134">
        <v>1</v>
      </c>
      <c r="G134" t="s">
        <v>417</v>
      </c>
      <c r="H134">
        <v>8.72736280506615</v>
      </c>
      <c r="I134">
        <v>6.9393144815223904</v>
      </c>
      <c r="J134">
        <v>0.52955366903621204</v>
      </c>
      <c r="K134">
        <v>7.25306791124759</v>
      </c>
      <c r="L134">
        <v>0.28371624795300399</v>
      </c>
      <c r="M134">
        <v>5.5204914307697504</v>
      </c>
      <c r="N134">
        <v>0.40481444776612102</v>
      </c>
      <c r="O134">
        <v>4.6929931640625</v>
      </c>
      <c r="P134">
        <v>0.343381678549535</v>
      </c>
      <c r="Q134" t="s">
        <v>90</v>
      </c>
    </row>
    <row r="135" spans="1:17" x14ac:dyDescent="0.6">
      <c r="A135" t="s">
        <v>419</v>
      </c>
      <c r="B135">
        <v>90</v>
      </c>
      <c r="C135" t="s">
        <v>9</v>
      </c>
      <c r="D135" t="s">
        <v>171</v>
      </c>
      <c r="E135" t="str">
        <f>"4."&amp;D135</f>
        <v>4.Macro + Sentiment (Indirect)</v>
      </c>
      <c r="F135">
        <v>1</v>
      </c>
      <c r="G135" t="s">
        <v>420</v>
      </c>
      <c r="H135">
        <v>6.90360057954216</v>
      </c>
      <c r="I135">
        <v>5.4312984582149602</v>
      </c>
      <c r="J135">
        <v>0.423955671485375</v>
      </c>
      <c r="K135">
        <v>7.6994646796775896</v>
      </c>
      <c r="L135">
        <v>0.312974443410244</v>
      </c>
      <c r="M135">
        <v>6.0165756434610396</v>
      </c>
      <c r="N135">
        <v>0.43660273249015702</v>
      </c>
      <c r="O135">
        <v>4.69482421875</v>
      </c>
      <c r="P135">
        <v>0.34256580186311397</v>
      </c>
      <c r="Q135" t="s">
        <v>114</v>
      </c>
    </row>
    <row r="136" spans="1:17" x14ac:dyDescent="0.6">
      <c r="A136" t="s">
        <v>422</v>
      </c>
      <c r="B136">
        <v>90</v>
      </c>
      <c r="C136" t="s">
        <v>99</v>
      </c>
      <c r="D136" t="s">
        <v>181</v>
      </c>
      <c r="E136" t="str">
        <f>"3."&amp;D136</f>
        <v>3.Macro + Sentiment (Direct)</v>
      </c>
      <c r="F136">
        <v>1</v>
      </c>
      <c r="G136" t="s">
        <v>423</v>
      </c>
      <c r="H136">
        <v>6.9234935603607504</v>
      </c>
      <c r="I136">
        <v>5.4822517163825699</v>
      </c>
      <c r="J136">
        <v>0.42746514338577302</v>
      </c>
      <c r="K136">
        <v>7.6098460562832901</v>
      </c>
      <c r="L136">
        <v>0.30686392654026901</v>
      </c>
      <c r="M136">
        <v>5.8823024802011901</v>
      </c>
      <c r="N136">
        <v>0.427302608746081</v>
      </c>
      <c r="O136">
        <v>4.699462890625</v>
      </c>
      <c r="P136">
        <v>0.336130694753147</v>
      </c>
      <c r="Q136" t="s">
        <v>114</v>
      </c>
    </row>
    <row r="137" spans="1:17" x14ac:dyDescent="0.6">
      <c r="A137" t="s">
        <v>424</v>
      </c>
      <c r="B137">
        <v>60</v>
      </c>
      <c r="C137" t="s">
        <v>99</v>
      </c>
      <c r="D137" t="s">
        <v>174</v>
      </c>
      <c r="E137" t="str">
        <f>"5."&amp;D137</f>
        <v>5.Macro + Sentiment (Both)</v>
      </c>
      <c r="F137">
        <v>1</v>
      </c>
      <c r="G137" t="s">
        <v>425</v>
      </c>
      <c r="H137">
        <v>8.4553001834462798</v>
      </c>
      <c r="I137">
        <v>6.8362669053968403</v>
      </c>
      <c r="J137">
        <v>0.528597292038536</v>
      </c>
      <c r="K137">
        <v>7.32781605705659</v>
      </c>
      <c r="L137">
        <v>0.28613997452560097</v>
      </c>
      <c r="M137">
        <v>5.5937832919034003</v>
      </c>
      <c r="N137">
        <v>0.40741885551096702</v>
      </c>
      <c r="O137">
        <v>4.70294189453125</v>
      </c>
      <c r="P137">
        <v>0.34730410517617699</v>
      </c>
      <c r="Q137" t="s">
        <v>135</v>
      </c>
    </row>
    <row r="138" spans="1:17" x14ac:dyDescent="0.6">
      <c r="A138" t="s">
        <v>426</v>
      </c>
      <c r="B138">
        <v>60</v>
      </c>
      <c r="C138" t="s">
        <v>6</v>
      </c>
      <c r="D138" t="s">
        <v>177</v>
      </c>
      <c r="E138" t="str">
        <f>"8."&amp;D138</f>
        <v>8.Macro + Event + Sentiment (Both)</v>
      </c>
      <c r="F138">
        <v>1</v>
      </c>
      <c r="G138" t="s">
        <v>357</v>
      </c>
      <c r="H138">
        <v>8.5184613368889508</v>
      </c>
      <c r="I138">
        <v>6.8522136813991601</v>
      </c>
      <c r="J138">
        <v>0.52986344317604495</v>
      </c>
      <c r="K138">
        <v>7.2612476137220998</v>
      </c>
      <c r="L138">
        <v>0.28027560940291302</v>
      </c>
      <c r="M138">
        <v>5.6495160189541904</v>
      </c>
      <c r="N138">
        <v>0.41121107275218399</v>
      </c>
      <c r="O138">
        <v>4.7030029296875</v>
      </c>
      <c r="P138">
        <v>0.345495597480868</v>
      </c>
      <c r="Q138" t="s">
        <v>135</v>
      </c>
    </row>
    <row r="139" spans="1:17" x14ac:dyDescent="0.6">
      <c r="A139" t="s">
        <v>427</v>
      </c>
      <c r="B139">
        <v>5</v>
      </c>
      <c r="C139" t="s">
        <v>99</v>
      </c>
      <c r="D139" t="s">
        <v>181</v>
      </c>
      <c r="E139" t="str">
        <f>"3."&amp;D139</f>
        <v>3.Macro + Sentiment (Direct)</v>
      </c>
      <c r="F139">
        <v>1</v>
      </c>
      <c r="G139" t="s">
        <v>428</v>
      </c>
      <c r="H139">
        <v>8.7271697719243093</v>
      </c>
      <c r="I139">
        <v>7.0582875158453602</v>
      </c>
      <c r="J139">
        <v>0.53823454729656495</v>
      </c>
      <c r="K139">
        <v>7.3164643827257496</v>
      </c>
      <c r="L139">
        <v>0.28857901898050603</v>
      </c>
      <c r="M139">
        <v>5.5876005098417201</v>
      </c>
      <c r="N139">
        <v>0.40965368709128702</v>
      </c>
      <c r="O139">
        <v>4.7071533203125</v>
      </c>
      <c r="P139">
        <v>0.350443747561754</v>
      </c>
      <c r="Q139" t="s">
        <v>90</v>
      </c>
    </row>
    <row r="140" spans="1:17" x14ac:dyDescent="0.6">
      <c r="A140" t="s">
        <v>429</v>
      </c>
      <c r="B140">
        <v>60</v>
      </c>
      <c r="C140" t="s">
        <v>92</v>
      </c>
      <c r="D140" t="s">
        <v>184</v>
      </c>
      <c r="E140" t="str">
        <f>"7."&amp;D140</f>
        <v>7.Macro + Event + Sentiment (Indirect)</v>
      </c>
      <c r="F140">
        <v>1</v>
      </c>
      <c r="G140" t="s">
        <v>430</v>
      </c>
      <c r="H140">
        <v>8.4727671494430492</v>
      </c>
      <c r="I140">
        <v>6.8421861418000898</v>
      </c>
      <c r="J140">
        <v>0.52923504658030696</v>
      </c>
      <c r="K140">
        <v>7.3560864645286204</v>
      </c>
      <c r="L140">
        <v>0.288087678727379</v>
      </c>
      <c r="M140">
        <v>5.6902049671519803</v>
      </c>
      <c r="N140">
        <v>0.41428189162756601</v>
      </c>
      <c r="O140">
        <v>4.71270751953125</v>
      </c>
      <c r="P140">
        <v>0.34084819087610102</v>
      </c>
      <c r="Q140" t="s">
        <v>135</v>
      </c>
    </row>
    <row r="141" spans="1:17" x14ac:dyDescent="0.6">
      <c r="A141" t="s">
        <v>431</v>
      </c>
      <c r="B141">
        <v>10</v>
      </c>
      <c r="C141" t="s">
        <v>9</v>
      </c>
      <c r="D141" t="s">
        <v>8</v>
      </c>
      <c r="E141" t="str">
        <f>"2."&amp;D141</f>
        <v>2.Macro + Event</v>
      </c>
      <c r="F141">
        <v>1</v>
      </c>
      <c r="G141" t="s">
        <v>155</v>
      </c>
      <c r="H141" s="13">
        <v>8.7932978914653397</v>
      </c>
      <c r="I141">
        <v>6.9862463305259004</v>
      </c>
      <c r="J141" s="13">
        <v>0.53310595664150895</v>
      </c>
      <c r="K141" s="13">
        <v>7.5700876998084103</v>
      </c>
      <c r="L141">
        <v>0.30700049499795001</v>
      </c>
      <c r="M141" s="13">
        <v>5.8563513291620497</v>
      </c>
      <c r="N141" s="13">
        <v>0.42847433538913698</v>
      </c>
      <c r="O141">
        <v>4.71337890625</v>
      </c>
      <c r="P141" s="13">
        <v>0.34797289463790698</v>
      </c>
      <c r="Q141" t="s">
        <v>90</v>
      </c>
    </row>
    <row r="142" spans="1:17" x14ac:dyDescent="0.6">
      <c r="A142" t="s">
        <v>432</v>
      </c>
      <c r="B142">
        <v>5</v>
      </c>
      <c r="C142" t="s">
        <v>9</v>
      </c>
      <c r="D142" t="s">
        <v>7</v>
      </c>
      <c r="E142" t="str">
        <f>"1."&amp;D142</f>
        <v>1.Macro Only</v>
      </c>
      <c r="F142">
        <v>1</v>
      </c>
      <c r="G142" t="s">
        <v>111</v>
      </c>
      <c r="H142" s="13">
        <v>8.7253390382096292</v>
      </c>
      <c r="I142" s="13">
        <v>7.0337735848200698</v>
      </c>
      <c r="J142" s="13">
        <v>0.53622051354803102</v>
      </c>
      <c r="K142" s="13">
        <v>7.9057553230941702</v>
      </c>
      <c r="L142">
        <v>0.33435530630523297</v>
      </c>
      <c r="M142">
        <v>6.2034996660240802</v>
      </c>
      <c r="N142" s="13">
        <v>0.45389565388400499</v>
      </c>
      <c r="O142">
        <v>4.714599609375</v>
      </c>
      <c r="P142" s="13">
        <v>0.34957932121485502</v>
      </c>
      <c r="Q142" t="s">
        <v>90</v>
      </c>
    </row>
    <row r="143" spans="1:17" x14ac:dyDescent="0.6">
      <c r="A143" t="s">
        <v>433</v>
      </c>
      <c r="B143">
        <v>10</v>
      </c>
      <c r="C143" t="s">
        <v>99</v>
      </c>
      <c r="D143" t="s">
        <v>167</v>
      </c>
      <c r="E143" t="str">
        <f>"6."&amp;D143</f>
        <v>6.Macro + Event + Sentiment (Direct)</v>
      </c>
      <c r="F143">
        <v>1</v>
      </c>
      <c r="G143" t="s">
        <v>434</v>
      </c>
      <c r="H143">
        <v>8.7321515687643494</v>
      </c>
      <c r="I143">
        <v>7.0009971837292602</v>
      </c>
      <c r="J143">
        <v>0.53398862333053998</v>
      </c>
      <c r="K143">
        <v>7.2947859071142096</v>
      </c>
      <c r="L143">
        <v>0.28531513066619801</v>
      </c>
      <c r="M143">
        <v>5.6279102426714598</v>
      </c>
      <c r="N143">
        <v>0.41199564832081398</v>
      </c>
      <c r="O143">
        <v>4.71820068359375</v>
      </c>
      <c r="P143">
        <v>0.34966537937533598</v>
      </c>
      <c r="Q143" t="s">
        <v>90</v>
      </c>
    </row>
    <row r="144" spans="1:17" x14ac:dyDescent="0.6">
      <c r="A144" t="s">
        <v>435</v>
      </c>
      <c r="B144">
        <v>10</v>
      </c>
      <c r="C144" t="s">
        <v>9</v>
      </c>
      <c r="D144" t="s">
        <v>171</v>
      </c>
      <c r="E144" t="str">
        <f>"4."&amp;D144</f>
        <v>4.Macro + Sentiment (Indirect)</v>
      </c>
      <c r="F144">
        <v>1</v>
      </c>
      <c r="G144" t="s">
        <v>436</v>
      </c>
      <c r="H144">
        <v>8.8153238358967894</v>
      </c>
      <c r="I144">
        <v>7.15273391930765</v>
      </c>
      <c r="J144">
        <v>0.54543639759102802</v>
      </c>
      <c r="K144">
        <v>7.4226188948973304</v>
      </c>
      <c r="L144">
        <v>0.29761907976365903</v>
      </c>
      <c r="M144">
        <v>5.6574318134679196</v>
      </c>
      <c r="N144">
        <v>0.415083236640442</v>
      </c>
      <c r="O144">
        <v>4.72760009765625</v>
      </c>
      <c r="P144">
        <v>0.34143272820905801</v>
      </c>
      <c r="Q144" t="s">
        <v>90</v>
      </c>
    </row>
    <row r="145" spans="1:17" x14ac:dyDescent="0.6">
      <c r="A145" t="s">
        <v>437</v>
      </c>
      <c r="B145">
        <v>90</v>
      </c>
      <c r="C145" t="s">
        <v>92</v>
      </c>
      <c r="D145" t="s">
        <v>171</v>
      </c>
      <c r="E145" t="str">
        <f>"4."&amp;D145</f>
        <v>4.Macro + Sentiment (Indirect)</v>
      </c>
      <c r="F145">
        <v>1</v>
      </c>
      <c r="G145" t="s">
        <v>438</v>
      </c>
      <c r="H145">
        <v>6.9968880096354704</v>
      </c>
      <c r="I145">
        <v>5.52183578953598</v>
      </c>
      <c r="J145">
        <v>0.43076675559257899</v>
      </c>
      <c r="K145">
        <v>7.1651081293329399</v>
      </c>
      <c r="L145">
        <v>0.27321265498536901</v>
      </c>
      <c r="M145">
        <v>5.48529052734375</v>
      </c>
      <c r="N145">
        <v>0.39905069176362601</v>
      </c>
      <c r="O145">
        <v>4.73004150390625</v>
      </c>
      <c r="P145">
        <v>0.34808540527424098</v>
      </c>
      <c r="Q145" t="s">
        <v>114</v>
      </c>
    </row>
    <row r="146" spans="1:17" x14ac:dyDescent="0.6">
      <c r="A146" t="s">
        <v>439</v>
      </c>
      <c r="B146">
        <v>10</v>
      </c>
      <c r="C146" t="s">
        <v>9</v>
      </c>
      <c r="D146" t="s">
        <v>181</v>
      </c>
      <c r="E146" t="str">
        <f>"3."&amp;D146</f>
        <v>3.Macro + Sentiment (Direct)</v>
      </c>
      <c r="F146">
        <v>1</v>
      </c>
      <c r="G146" t="s">
        <v>440</v>
      </c>
      <c r="H146">
        <v>8.7274215588814492</v>
      </c>
      <c r="I146">
        <v>7.0301428517245199</v>
      </c>
      <c r="J146">
        <v>0.53621518552584801</v>
      </c>
      <c r="K146">
        <v>7.6736323930710002</v>
      </c>
      <c r="L146">
        <v>0.31451542714890002</v>
      </c>
      <c r="M146">
        <v>6.0577279149958496</v>
      </c>
      <c r="N146">
        <v>0.44286991923153401</v>
      </c>
      <c r="O146">
        <v>4.73223876953125</v>
      </c>
      <c r="P146">
        <v>0.35045555498921899</v>
      </c>
      <c r="Q146" t="s">
        <v>90</v>
      </c>
    </row>
    <row r="147" spans="1:17" x14ac:dyDescent="0.6">
      <c r="A147" t="s">
        <v>441</v>
      </c>
      <c r="B147">
        <v>30</v>
      </c>
      <c r="C147" t="s">
        <v>6</v>
      </c>
      <c r="D147" t="s">
        <v>177</v>
      </c>
      <c r="E147" t="str">
        <f>"8."&amp;D147</f>
        <v>8.Macro + Event + Sentiment (Both)</v>
      </c>
      <c r="F147">
        <v>1</v>
      </c>
      <c r="G147" t="s">
        <v>442</v>
      </c>
      <c r="H147">
        <v>8.9872580356921397</v>
      </c>
      <c r="I147">
        <v>7.2062455314462897</v>
      </c>
      <c r="J147">
        <v>0.55084200822204898</v>
      </c>
      <c r="K147">
        <v>6.9798013124620901</v>
      </c>
      <c r="L147">
        <v>0.26082164329086599</v>
      </c>
      <c r="M147">
        <v>5.4144891535194102</v>
      </c>
      <c r="N147">
        <v>0.39583638770285101</v>
      </c>
      <c r="O147">
        <v>4.73431396484375</v>
      </c>
      <c r="P147">
        <v>0.34857923244910199</v>
      </c>
      <c r="Q147" t="s">
        <v>93</v>
      </c>
    </row>
    <row r="148" spans="1:17" x14ac:dyDescent="0.6">
      <c r="A148" t="s">
        <v>443</v>
      </c>
      <c r="B148">
        <v>10</v>
      </c>
      <c r="C148" t="s">
        <v>6</v>
      </c>
      <c r="D148" t="s">
        <v>181</v>
      </c>
      <c r="E148" t="str">
        <f>"3."&amp;D148</f>
        <v>3.Macro + Sentiment (Direct)</v>
      </c>
      <c r="F148">
        <v>1</v>
      </c>
      <c r="G148" t="s">
        <v>444</v>
      </c>
      <c r="H148">
        <v>8.7928004292582091</v>
      </c>
      <c r="I148">
        <v>7.0328106312010901</v>
      </c>
      <c r="J148">
        <v>0.53645452196939503</v>
      </c>
      <c r="K148">
        <v>7.1184178013132504</v>
      </c>
      <c r="L148">
        <v>0.27318807543470303</v>
      </c>
      <c r="M148">
        <v>5.4285737434319596</v>
      </c>
      <c r="N148">
        <v>0.39803273332605699</v>
      </c>
      <c r="O148">
        <v>4.74505615234375</v>
      </c>
      <c r="P148">
        <v>0.34974935026482301</v>
      </c>
      <c r="Q148" t="s">
        <v>90</v>
      </c>
    </row>
    <row r="149" spans="1:17" x14ac:dyDescent="0.6">
      <c r="A149" t="s">
        <v>445</v>
      </c>
      <c r="B149">
        <v>90</v>
      </c>
      <c r="C149" t="s">
        <v>6</v>
      </c>
      <c r="D149" t="s">
        <v>7</v>
      </c>
      <c r="E149" t="str">
        <f>"1."&amp;D149</f>
        <v>1.Macro Only</v>
      </c>
      <c r="F149">
        <v>1</v>
      </c>
      <c r="G149" t="s">
        <v>142</v>
      </c>
      <c r="H149" s="13">
        <v>7.1817983365045803</v>
      </c>
      <c r="I149" s="13">
        <v>5.6679317589962102</v>
      </c>
      <c r="J149" s="13">
        <v>0.44214617009805801</v>
      </c>
      <c r="K149" s="13">
        <v>7.3646177135076796</v>
      </c>
      <c r="L149">
        <v>0.28858870310324397</v>
      </c>
      <c r="M149" s="13">
        <v>5.6495085415774797</v>
      </c>
      <c r="N149" s="13">
        <v>0.41088423851464601</v>
      </c>
      <c r="O149">
        <v>4.7451171875</v>
      </c>
      <c r="P149" s="13">
        <v>0.34456918415495102</v>
      </c>
      <c r="Q149" t="s">
        <v>114</v>
      </c>
    </row>
    <row r="150" spans="1:17" x14ac:dyDescent="0.6">
      <c r="A150" t="s">
        <v>447</v>
      </c>
      <c r="B150">
        <v>10</v>
      </c>
      <c r="C150" t="s">
        <v>9</v>
      </c>
      <c r="D150" t="s">
        <v>174</v>
      </c>
      <c r="E150" t="str">
        <f>"5."&amp;D150</f>
        <v>5.Macro + Sentiment (Both)</v>
      </c>
      <c r="F150">
        <v>1</v>
      </c>
      <c r="G150" t="s">
        <v>448</v>
      </c>
      <c r="H150">
        <v>8.7251405323963596</v>
      </c>
      <c r="I150">
        <v>7.0472062745245303</v>
      </c>
      <c r="J150">
        <v>0.53754359428424003</v>
      </c>
      <c r="K150">
        <v>7.3395361896145204</v>
      </c>
      <c r="L150">
        <v>0.28775461404457303</v>
      </c>
      <c r="M150">
        <v>5.7080726285951302</v>
      </c>
      <c r="N150">
        <v>0.417446536240352</v>
      </c>
      <c r="O150">
        <v>4.7537841796875</v>
      </c>
      <c r="P150">
        <v>0.35221969897114402</v>
      </c>
      <c r="Q150" t="s">
        <v>90</v>
      </c>
    </row>
    <row r="151" spans="1:17" x14ac:dyDescent="0.6">
      <c r="A151" t="s">
        <v>449</v>
      </c>
      <c r="B151">
        <v>90</v>
      </c>
      <c r="C151" t="s">
        <v>6</v>
      </c>
      <c r="D151" t="s">
        <v>174</v>
      </c>
      <c r="E151" t="str">
        <f>"5."&amp;D151</f>
        <v>5.Macro + Sentiment (Both)</v>
      </c>
      <c r="F151">
        <v>1</v>
      </c>
      <c r="G151" t="s">
        <v>450</v>
      </c>
      <c r="H151">
        <v>6.9787853750523796</v>
      </c>
      <c r="I151">
        <v>5.5637502959280303</v>
      </c>
      <c r="J151">
        <v>0.43382506901921503</v>
      </c>
      <c r="K151">
        <v>7.2350759899235904</v>
      </c>
      <c r="L151">
        <v>0.27836455007248201</v>
      </c>
      <c r="M151">
        <v>5.5138156838613002</v>
      </c>
      <c r="N151">
        <v>0.40101829345992102</v>
      </c>
      <c r="O151">
        <v>4.75689697265625</v>
      </c>
      <c r="P151">
        <v>0.34506292345711898</v>
      </c>
      <c r="Q151" t="s">
        <v>114</v>
      </c>
    </row>
    <row r="152" spans="1:17" x14ac:dyDescent="0.6">
      <c r="A152" t="s">
        <v>451</v>
      </c>
      <c r="B152">
        <v>60</v>
      </c>
      <c r="C152" t="s">
        <v>6</v>
      </c>
      <c r="D152" t="s">
        <v>7</v>
      </c>
      <c r="E152" t="str">
        <f>"1."&amp;D152</f>
        <v>1.Macro Only</v>
      </c>
      <c r="F152">
        <v>1</v>
      </c>
      <c r="G152" t="s">
        <v>159</v>
      </c>
      <c r="H152" s="13">
        <v>8.4227743809161897</v>
      </c>
      <c r="I152" s="13">
        <v>6.7781490284007901</v>
      </c>
      <c r="J152" s="13">
        <v>0.52416896339033703</v>
      </c>
      <c r="K152" s="13">
        <v>7.64761302942697</v>
      </c>
      <c r="L152">
        <v>0.31321900543304299</v>
      </c>
      <c r="M152">
        <v>5.8081255826083096</v>
      </c>
      <c r="N152" s="13">
        <v>0.42361236748120401</v>
      </c>
      <c r="O152">
        <v>4.75750732421875</v>
      </c>
      <c r="P152" s="13">
        <v>0.349641073896789</v>
      </c>
      <c r="Q152" t="s">
        <v>135</v>
      </c>
    </row>
    <row r="153" spans="1:17" x14ac:dyDescent="0.6">
      <c r="A153" t="s">
        <v>453</v>
      </c>
      <c r="B153">
        <v>10</v>
      </c>
      <c r="C153" t="s">
        <v>9</v>
      </c>
      <c r="D153" t="s">
        <v>167</v>
      </c>
      <c r="E153" t="str">
        <f>"6."&amp;D153</f>
        <v>6.Macro + Event + Sentiment (Direct)</v>
      </c>
      <c r="F153">
        <v>1</v>
      </c>
      <c r="G153" t="s">
        <v>239</v>
      </c>
      <c r="H153">
        <v>8.7499056145477496</v>
      </c>
      <c r="I153">
        <v>7.0042934964325196</v>
      </c>
      <c r="J153">
        <v>0.53419181357830503</v>
      </c>
      <c r="K153">
        <v>7.2537872446932798</v>
      </c>
      <c r="L153">
        <v>0.283884721386781</v>
      </c>
      <c r="M153">
        <v>5.5576533764864404</v>
      </c>
      <c r="N153">
        <v>0.407546010856768</v>
      </c>
      <c r="O153">
        <v>4.76275634765625</v>
      </c>
      <c r="P153">
        <v>0.35536452389761197</v>
      </c>
      <c r="Q153" t="s">
        <v>90</v>
      </c>
    </row>
    <row r="154" spans="1:17" x14ac:dyDescent="0.6">
      <c r="A154" t="s">
        <v>454</v>
      </c>
      <c r="B154">
        <v>60</v>
      </c>
      <c r="C154" t="s">
        <v>9</v>
      </c>
      <c r="D154" t="s">
        <v>171</v>
      </c>
      <c r="E154" t="str">
        <f>"4."&amp;D154</f>
        <v>4.Macro + Sentiment (Indirect)</v>
      </c>
      <c r="F154">
        <v>1</v>
      </c>
      <c r="G154" t="s">
        <v>455</v>
      </c>
      <c r="H154">
        <v>8.5101380933122392</v>
      </c>
      <c r="I154">
        <v>6.8405174003852496</v>
      </c>
      <c r="J154">
        <v>0.52892139212356803</v>
      </c>
      <c r="K154">
        <v>7.54626779721458</v>
      </c>
      <c r="L154">
        <v>0.30261386437443399</v>
      </c>
      <c r="M154">
        <v>5.8844521262428904</v>
      </c>
      <c r="N154">
        <v>0.42830052535298102</v>
      </c>
      <c r="O154">
        <v>4.76800537109375</v>
      </c>
      <c r="P154">
        <v>0.34497756898159698</v>
      </c>
      <c r="Q154" t="s">
        <v>135</v>
      </c>
    </row>
    <row r="155" spans="1:17" x14ac:dyDescent="0.6">
      <c r="A155" t="s">
        <v>456</v>
      </c>
      <c r="B155">
        <v>10</v>
      </c>
      <c r="C155" t="s">
        <v>92</v>
      </c>
      <c r="D155" t="s">
        <v>8</v>
      </c>
      <c r="E155" t="str">
        <f>"2."&amp;D155</f>
        <v>2.Macro + Event</v>
      </c>
      <c r="F155">
        <v>1</v>
      </c>
      <c r="G155" t="s">
        <v>104</v>
      </c>
      <c r="H155">
        <v>8.6712380000000007</v>
      </c>
      <c r="I155">
        <v>6.9364549999999996</v>
      </c>
      <c r="J155">
        <v>0.52906200000000003</v>
      </c>
      <c r="K155">
        <v>7.0868869999999999</v>
      </c>
      <c r="L155">
        <v>0.2702</v>
      </c>
      <c r="M155">
        <v>5.4353389999999999</v>
      </c>
      <c r="N155">
        <v>0.398316</v>
      </c>
      <c r="O155">
        <v>4.7739260000000003</v>
      </c>
      <c r="P155">
        <v>0.35355300000000001</v>
      </c>
      <c r="Q155" t="s">
        <v>90</v>
      </c>
    </row>
    <row r="156" spans="1:17" x14ac:dyDescent="0.6">
      <c r="A156" t="s">
        <v>457</v>
      </c>
      <c r="B156">
        <v>60</v>
      </c>
      <c r="C156" t="s">
        <v>92</v>
      </c>
      <c r="D156" t="s">
        <v>177</v>
      </c>
      <c r="E156" t="str">
        <f>"8."&amp;D156</f>
        <v>8.Macro + Event + Sentiment (Both)</v>
      </c>
      <c r="F156">
        <v>1</v>
      </c>
      <c r="G156" t="s">
        <v>458</v>
      </c>
      <c r="H156">
        <v>8.45611977723288</v>
      </c>
      <c r="I156">
        <v>6.8436202164534601</v>
      </c>
      <c r="J156">
        <v>0.52921683018643295</v>
      </c>
      <c r="K156">
        <v>7.3231435715426496</v>
      </c>
      <c r="L156">
        <v>0.28557285003386101</v>
      </c>
      <c r="M156">
        <v>5.6495555530894803</v>
      </c>
      <c r="N156">
        <v>0.41140818053238398</v>
      </c>
      <c r="O156">
        <v>4.7750244140625</v>
      </c>
      <c r="P156">
        <v>0.347665050761577</v>
      </c>
      <c r="Q156" t="s">
        <v>135</v>
      </c>
    </row>
    <row r="157" spans="1:17" x14ac:dyDescent="0.6">
      <c r="A157" t="s">
        <v>459</v>
      </c>
      <c r="B157">
        <v>60</v>
      </c>
      <c r="C157" t="s">
        <v>9</v>
      </c>
      <c r="D157" t="s">
        <v>174</v>
      </c>
      <c r="E157" t="str">
        <f>"5."&amp;D157</f>
        <v>5.Macro + Sentiment (Both)</v>
      </c>
      <c r="F157">
        <v>1</v>
      </c>
      <c r="G157" t="s">
        <v>202</v>
      </c>
      <c r="H157">
        <v>8.5579672302040493</v>
      </c>
      <c r="I157">
        <v>6.9921169071407103</v>
      </c>
      <c r="J157">
        <v>0.54077751454273404</v>
      </c>
      <c r="K157">
        <v>7.4022491320757302</v>
      </c>
      <c r="L157">
        <v>0.29280848898636297</v>
      </c>
      <c r="M157">
        <v>5.6577973799272003</v>
      </c>
      <c r="N157">
        <v>0.41224095624104301</v>
      </c>
      <c r="O157">
        <v>4.776123046875</v>
      </c>
      <c r="P157">
        <v>0.34587998503832701</v>
      </c>
      <c r="Q157" t="s">
        <v>135</v>
      </c>
    </row>
    <row r="158" spans="1:17" x14ac:dyDescent="0.6">
      <c r="A158" t="s">
        <v>460</v>
      </c>
      <c r="B158">
        <v>30</v>
      </c>
      <c r="C158" t="s">
        <v>92</v>
      </c>
      <c r="D158" t="s">
        <v>8</v>
      </c>
      <c r="E158" t="str">
        <f>"2."&amp;D158</f>
        <v>2.Macro + Event</v>
      </c>
      <c r="F158">
        <v>1</v>
      </c>
      <c r="G158" t="s">
        <v>145</v>
      </c>
      <c r="H158">
        <v>8.8409189999999995</v>
      </c>
      <c r="I158">
        <v>7.1143619999999999</v>
      </c>
      <c r="J158">
        <v>0.54365799999999997</v>
      </c>
      <c r="K158">
        <v>7.3824569999999996</v>
      </c>
      <c r="L158">
        <v>0.2903</v>
      </c>
      <c r="M158">
        <v>5.7939259999999999</v>
      </c>
      <c r="N158">
        <v>0.42299999999999999</v>
      </c>
      <c r="O158">
        <v>4.7860719999999999</v>
      </c>
      <c r="P158">
        <v>0.34620400000000001</v>
      </c>
      <c r="Q158" t="s">
        <v>93</v>
      </c>
    </row>
    <row r="159" spans="1:17" x14ac:dyDescent="0.6">
      <c r="A159" t="s">
        <v>461</v>
      </c>
      <c r="B159">
        <v>30</v>
      </c>
      <c r="C159" t="s">
        <v>9</v>
      </c>
      <c r="D159" t="s">
        <v>181</v>
      </c>
      <c r="E159" t="str">
        <f>"3."&amp;D159</f>
        <v>3.Macro + Sentiment (Direct)</v>
      </c>
      <c r="F159">
        <v>1</v>
      </c>
      <c r="G159" t="s">
        <v>462</v>
      </c>
      <c r="H159">
        <v>8.8991461628525403</v>
      </c>
      <c r="I159">
        <v>7.2642000549675698</v>
      </c>
      <c r="J159">
        <v>0.55503529068433499</v>
      </c>
      <c r="K159">
        <v>7.6559406937640704</v>
      </c>
      <c r="L159">
        <v>0.31150548917759202</v>
      </c>
      <c r="M159">
        <v>6.1104576333055203</v>
      </c>
      <c r="N159">
        <v>0.44575702008327101</v>
      </c>
      <c r="O159">
        <v>4.8057861328125</v>
      </c>
      <c r="P159">
        <v>0.35668302215224201</v>
      </c>
      <c r="Q159" t="s">
        <v>93</v>
      </c>
    </row>
    <row r="160" spans="1:17" x14ac:dyDescent="0.6">
      <c r="A160" t="s">
        <v>463</v>
      </c>
      <c r="B160">
        <v>20</v>
      </c>
      <c r="C160" t="s">
        <v>99</v>
      </c>
      <c r="D160" t="s">
        <v>7</v>
      </c>
      <c r="E160" t="str">
        <f>"1."&amp;D160</f>
        <v>1.Macro Only</v>
      </c>
      <c r="F160">
        <v>1</v>
      </c>
      <c r="G160" t="s">
        <v>100</v>
      </c>
      <c r="H160">
        <v>8.6930429999999994</v>
      </c>
      <c r="I160">
        <v>6.9213950000000004</v>
      </c>
      <c r="J160">
        <v>0.52815900000000005</v>
      </c>
      <c r="K160">
        <v>7.0688050000000002</v>
      </c>
      <c r="L160">
        <v>0.26840000000000003</v>
      </c>
      <c r="M160">
        <v>5.4607749999999999</v>
      </c>
      <c r="N160">
        <v>0.39980300000000002</v>
      </c>
      <c r="O160">
        <v>4.8067019999999996</v>
      </c>
      <c r="P160">
        <v>0.34881099999999998</v>
      </c>
      <c r="Q160" t="s">
        <v>90</v>
      </c>
    </row>
    <row r="161" spans="1:17" x14ac:dyDescent="0.6">
      <c r="A161" t="s">
        <v>464</v>
      </c>
      <c r="B161">
        <v>60</v>
      </c>
      <c r="C161" t="s">
        <v>6</v>
      </c>
      <c r="D161" t="s">
        <v>8</v>
      </c>
      <c r="E161" t="str">
        <f>"2."&amp;D161</f>
        <v>2.Macro + Event</v>
      </c>
      <c r="F161">
        <v>1</v>
      </c>
      <c r="G161" t="s">
        <v>152</v>
      </c>
      <c r="H161" s="13">
        <v>8.4546367438248797</v>
      </c>
      <c r="I161" s="13">
        <v>6.7967955201536698</v>
      </c>
      <c r="J161" s="13">
        <v>0.52560094765660204</v>
      </c>
      <c r="K161" s="13">
        <v>7.5197311902796899</v>
      </c>
      <c r="L161">
        <v>0.30258052650601697</v>
      </c>
      <c r="M161" s="13">
        <v>5.7225223888050403</v>
      </c>
      <c r="N161" s="13">
        <v>0.417181750445344</v>
      </c>
      <c r="O161">
        <v>4.81048583984375</v>
      </c>
      <c r="P161" s="13">
        <v>0.34794145670430998</v>
      </c>
      <c r="Q161" t="s">
        <v>135</v>
      </c>
    </row>
    <row r="162" spans="1:17" x14ac:dyDescent="0.6">
      <c r="A162" t="s">
        <v>465</v>
      </c>
      <c r="B162">
        <v>90</v>
      </c>
      <c r="C162" t="s">
        <v>92</v>
      </c>
      <c r="D162" t="s">
        <v>181</v>
      </c>
      <c r="E162" t="str">
        <f>"3."&amp;D162</f>
        <v>3.Macro + Sentiment (Direct)</v>
      </c>
      <c r="F162">
        <v>1</v>
      </c>
      <c r="G162" t="s">
        <v>466</v>
      </c>
      <c r="H162">
        <v>6.9960574108104003</v>
      </c>
      <c r="I162">
        <v>5.53389300722064</v>
      </c>
      <c r="J162">
        <v>0.431737190783477</v>
      </c>
      <c r="K162">
        <v>7.3029645210249399</v>
      </c>
      <c r="L162">
        <v>0.28436727033558301</v>
      </c>
      <c r="M162">
        <v>5.5629180490154102</v>
      </c>
      <c r="N162">
        <v>0.40486600115916499</v>
      </c>
      <c r="O162">
        <v>4.81304931640625</v>
      </c>
      <c r="P162">
        <v>0.34186826066634102</v>
      </c>
      <c r="Q162" t="s">
        <v>114</v>
      </c>
    </row>
    <row r="163" spans="1:17" x14ac:dyDescent="0.6">
      <c r="A163" t="s">
        <v>468</v>
      </c>
      <c r="B163">
        <v>60</v>
      </c>
      <c r="C163" t="s">
        <v>9</v>
      </c>
      <c r="D163" t="s">
        <v>177</v>
      </c>
      <c r="E163" t="str">
        <f>"8."&amp;D163</f>
        <v>8.Macro + Event + Sentiment (Both)</v>
      </c>
      <c r="F163">
        <v>1</v>
      </c>
      <c r="G163" t="s">
        <v>469</v>
      </c>
      <c r="H163">
        <v>8.3916550202199502</v>
      </c>
      <c r="I163">
        <v>6.8334509880988099</v>
      </c>
      <c r="J163">
        <v>0.52800674555390703</v>
      </c>
      <c r="K163">
        <v>7.37626180038394</v>
      </c>
      <c r="L163">
        <v>0.29004984907526199</v>
      </c>
      <c r="M163">
        <v>5.6494709361683197</v>
      </c>
      <c r="N163">
        <v>0.41165577686693999</v>
      </c>
      <c r="O163">
        <v>4.81903076171875</v>
      </c>
      <c r="P163">
        <v>0.35215536061831498</v>
      </c>
      <c r="Q163" t="s">
        <v>135</v>
      </c>
    </row>
    <row r="164" spans="1:17" x14ac:dyDescent="0.6">
      <c r="A164" t="s">
        <v>470</v>
      </c>
      <c r="B164">
        <v>20</v>
      </c>
      <c r="C164" t="s">
        <v>9</v>
      </c>
      <c r="D164" t="s">
        <v>8</v>
      </c>
      <c r="E164" t="str">
        <f>"2."&amp;D164</f>
        <v>2.Macro + Event</v>
      </c>
      <c r="F164">
        <v>1</v>
      </c>
      <c r="G164" t="s">
        <v>97</v>
      </c>
      <c r="H164" s="13">
        <v>8.6669084631691398</v>
      </c>
      <c r="I164" s="13">
        <v>6.9536505306468204</v>
      </c>
      <c r="J164" s="13">
        <v>0.53038521894520296</v>
      </c>
      <c r="K164" s="13">
        <v>6.9988769277651004</v>
      </c>
      <c r="L164">
        <v>0.26266763540183202</v>
      </c>
      <c r="M164" s="13">
        <v>5.3779223406756298</v>
      </c>
      <c r="N164" s="13">
        <v>0.39357667406389801</v>
      </c>
      <c r="O164">
        <v>4.82080078125</v>
      </c>
      <c r="P164" s="13">
        <v>0.35856878623634098</v>
      </c>
      <c r="Q164" t="s">
        <v>90</v>
      </c>
    </row>
    <row r="165" spans="1:17" x14ac:dyDescent="0.6">
      <c r="A165" t="s">
        <v>471</v>
      </c>
      <c r="B165">
        <v>20</v>
      </c>
      <c r="C165" t="s">
        <v>99</v>
      </c>
      <c r="D165" t="s">
        <v>174</v>
      </c>
      <c r="E165" t="str">
        <f>"5."&amp;D165</f>
        <v>5.Macro + Sentiment (Both)</v>
      </c>
      <c r="F165">
        <v>1</v>
      </c>
      <c r="G165" t="s">
        <v>472</v>
      </c>
      <c r="H165">
        <v>8.6907892198157803</v>
      </c>
      <c r="I165">
        <v>6.9767812353265803</v>
      </c>
      <c r="J165">
        <v>0.53262794261620905</v>
      </c>
      <c r="K165">
        <v>7.1590788883339096</v>
      </c>
      <c r="L165">
        <v>0.27363082178873299</v>
      </c>
      <c r="M165">
        <v>5.5988294813368</v>
      </c>
      <c r="N165">
        <v>0.40915770507754101</v>
      </c>
      <c r="O165">
        <v>4.8211669921875</v>
      </c>
      <c r="P165">
        <v>0.35089346536636701</v>
      </c>
      <c r="Q165" t="s">
        <v>90</v>
      </c>
    </row>
    <row r="166" spans="1:17" x14ac:dyDescent="0.6">
      <c r="A166" t="s">
        <v>473</v>
      </c>
      <c r="B166">
        <v>30</v>
      </c>
      <c r="C166" t="s">
        <v>99</v>
      </c>
      <c r="D166" t="s">
        <v>181</v>
      </c>
      <c r="E166" t="str">
        <f>"3."&amp;D166</f>
        <v>3.Macro + Sentiment (Direct)</v>
      </c>
      <c r="F166">
        <v>1</v>
      </c>
      <c r="G166" t="s">
        <v>474</v>
      </c>
      <c r="H166">
        <v>8.8110462843122903</v>
      </c>
      <c r="I166">
        <v>7.0888984237427</v>
      </c>
      <c r="J166">
        <v>0.54163860229384897</v>
      </c>
      <c r="K166">
        <v>7.2015741183594502</v>
      </c>
      <c r="L166">
        <v>0.277904134572794</v>
      </c>
      <c r="M166">
        <v>5.4982489428473897</v>
      </c>
      <c r="N166">
        <v>0.401961006605496</v>
      </c>
      <c r="O166">
        <v>4.825439453125</v>
      </c>
      <c r="P166">
        <v>0.35399384259641598</v>
      </c>
      <c r="Q166" t="s">
        <v>93</v>
      </c>
    </row>
    <row r="167" spans="1:17" x14ac:dyDescent="0.6">
      <c r="A167" t="s">
        <v>475</v>
      </c>
      <c r="B167">
        <v>60</v>
      </c>
      <c r="C167" t="s">
        <v>6</v>
      </c>
      <c r="D167" t="s">
        <v>181</v>
      </c>
      <c r="E167" t="str">
        <f>"3."&amp;D167</f>
        <v>3.Macro + Sentiment (Direct)</v>
      </c>
      <c r="F167">
        <v>1</v>
      </c>
      <c r="G167" t="s">
        <v>476</v>
      </c>
      <c r="H167">
        <v>8.5012392623478306</v>
      </c>
      <c r="I167">
        <v>6.8809406154758301</v>
      </c>
      <c r="J167">
        <v>0.53203447111958102</v>
      </c>
      <c r="K167">
        <v>7.30784420965343</v>
      </c>
      <c r="L167">
        <v>0.28358682077658803</v>
      </c>
      <c r="M167">
        <v>5.6755794178355803</v>
      </c>
      <c r="N167">
        <v>0.412918643932984</v>
      </c>
      <c r="O167">
        <v>4.83056640625</v>
      </c>
      <c r="P167">
        <v>0.35216855020230198</v>
      </c>
      <c r="Q167" t="s">
        <v>135</v>
      </c>
    </row>
    <row r="168" spans="1:17" x14ac:dyDescent="0.6">
      <c r="A168" t="s">
        <v>477</v>
      </c>
      <c r="B168">
        <v>90</v>
      </c>
      <c r="C168" t="s">
        <v>9</v>
      </c>
      <c r="D168" t="s">
        <v>184</v>
      </c>
      <c r="E168" t="str">
        <f>"7."&amp;D168</f>
        <v>7.Macro + Event + Sentiment (Indirect)</v>
      </c>
      <c r="F168">
        <v>1</v>
      </c>
      <c r="G168" t="s">
        <v>279</v>
      </c>
      <c r="H168">
        <v>7.1091731673947098</v>
      </c>
      <c r="I168">
        <v>5.6164828213778399</v>
      </c>
      <c r="J168">
        <v>0.43861545904206101</v>
      </c>
      <c r="K168">
        <v>7.3784115958374699</v>
      </c>
      <c r="L168">
        <v>0.29007639683795799</v>
      </c>
      <c r="M168">
        <v>5.6676100639447702</v>
      </c>
      <c r="N168">
        <v>0.41246891827340798</v>
      </c>
      <c r="O168">
        <v>4.85382080078125</v>
      </c>
      <c r="P168">
        <v>0.34834370254367197</v>
      </c>
      <c r="Q168" t="s">
        <v>114</v>
      </c>
    </row>
    <row r="169" spans="1:17" x14ac:dyDescent="0.6">
      <c r="A169" t="s">
        <v>478</v>
      </c>
      <c r="B169">
        <v>30</v>
      </c>
      <c r="C169" t="s">
        <v>9</v>
      </c>
      <c r="D169" t="s">
        <v>184</v>
      </c>
      <c r="E169" t="str">
        <f>"7."&amp;D169</f>
        <v>7.Macro + Event + Sentiment (Indirect)</v>
      </c>
      <c r="F169">
        <v>1</v>
      </c>
      <c r="G169" t="s">
        <v>479</v>
      </c>
      <c r="H169">
        <v>8.9456934502875995</v>
      </c>
      <c r="I169">
        <v>7.1996250393212096</v>
      </c>
      <c r="J169">
        <v>0.550249093754686</v>
      </c>
      <c r="K169">
        <v>7.3475514076060398</v>
      </c>
      <c r="L169">
        <v>0.28750274999018499</v>
      </c>
      <c r="M169">
        <v>5.7964430133115901</v>
      </c>
      <c r="N169">
        <v>0.42306592490230899</v>
      </c>
      <c r="O169">
        <v>4.862060546875</v>
      </c>
      <c r="P169">
        <v>0.35609102374177898</v>
      </c>
      <c r="Q169" t="s">
        <v>93</v>
      </c>
    </row>
    <row r="170" spans="1:17" x14ac:dyDescent="0.6">
      <c r="A170" t="s">
        <v>481</v>
      </c>
      <c r="B170">
        <v>20</v>
      </c>
      <c r="C170" t="s">
        <v>9</v>
      </c>
      <c r="D170" t="s">
        <v>177</v>
      </c>
      <c r="E170" t="str">
        <f>"8."&amp;D170</f>
        <v>8.Macro + Event + Sentiment (Both)</v>
      </c>
      <c r="F170">
        <v>1</v>
      </c>
      <c r="G170" t="s">
        <v>482</v>
      </c>
      <c r="H170">
        <v>8.6923914436300098</v>
      </c>
      <c r="I170">
        <v>6.9108248659411897</v>
      </c>
      <c r="J170">
        <v>0.52712663147449001</v>
      </c>
      <c r="K170">
        <v>7.1770669020604698</v>
      </c>
      <c r="L170">
        <v>0.27684675420888</v>
      </c>
      <c r="M170">
        <v>5.5409432870370301</v>
      </c>
      <c r="N170">
        <v>0.40575503653005801</v>
      </c>
      <c r="O170">
        <v>4.86456298828125</v>
      </c>
      <c r="P170">
        <v>0.35346825011495597</v>
      </c>
      <c r="Q170" t="s">
        <v>90</v>
      </c>
    </row>
    <row r="171" spans="1:17" x14ac:dyDescent="0.6">
      <c r="A171" t="s">
        <v>483</v>
      </c>
      <c r="B171">
        <v>60</v>
      </c>
      <c r="C171" t="s">
        <v>99</v>
      </c>
      <c r="D171" t="s">
        <v>177</v>
      </c>
      <c r="E171" t="str">
        <f>"8."&amp;D171</f>
        <v>8.Macro + Event + Sentiment (Both)</v>
      </c>
      <c r="F171">
        <v>1</v>
      </c>
      <c r="G171" t="s">
        <v>484</v>
      </c>
      <c r="H171">
        <v>8.35493218463224</v>
      </c>
      <c r="I171">
        <v>6.8471704000955098</v>
      </c>
      <c r="J171">
        <v>0.52924593685908305</v>
      </c>
      <c r="K171">
        <v>7.3469796233474902</v>
      </c>
      <c r="L171">
        <v>0.287759521678638</v>
      </c>
      <c r="M171">
        <v>5.6367152820933901</v>
      </c>
      <c r="N171">
        <v>0.41066738992697299</v>
      </c>
      <c r="O171">
        <v>4.87017822265625</v>
      </c>
      <c r="P171">
        <v>0.35273478554103399</v>
      </c>
      <c r="Q171" t="s">
        <v>135</v>
      </c>
    </row>
    <row r="172" spans="1:17" x14ac:dyDescent="0.6">
      <c r="A172" t="s">
        <v>485</v>
      </c>
      <c r="B172">
        <v>60</v>
      </c>
      <c r="C172" t="s">
        <v>99</v>
      </c>
      <c r="D172" t="s">
        <v>184</v>
      </c>
      <c r="E172" t="str">
        <f>"7."&amp;D172</f>
        <v>7.Macro + Event + Sentiment (Indirect)</v>
      </c>
      <c r="F172">
        <v>1</v>
      </c>
      <c r="G172" t="s">
        <v>486</v>
      </c>
      <c r="H172">
        <v>8.43844576759526</v>
      </c>
      <c r="I172">
        <v>6.8093557672186202</v>
      </c>
      <c r="J172">
        <v>0.52672990391220198</v>
      </c>
      <c r="K172">
        <v>7.7454439846394001</v>
      </c>
      <c r="L172">
        <v>0.31773376668291603</v>
      </c>
      <c r="M172">
        <v>6.0763272372159003</v>
      </c>
      <c r="N172">
        <v>0.44181479734763102</v>
      </c>
      <c r="O172">
        <v>4.87310791015625</v>
      </c>
      <c r="P172">
        <v>0.35573152882837</v>
      </c>
      <c r="Q172" t="s">
        <v>135</v>
      </c>
    </row>
    <row r="173" spans="1:17" x14ac:dyDescent="0.6">
      <c r="A173" t="s">
        <v>487</v>
      </c>
      <c r="B173">
        <v>30</v>
      </c>
      <c r="C173" t="s">
        <v>6</v>
      </c>
      <c r="D173" t="s">
        <v>8</v>
      </c>
      <c r="E173" t="str">
        <f>"2."&amp;D173</f>
        <v>2.Macro + Event</v>
      </c>
      <c r="F173">
        <v>1</v>
      </c>
      <c r="G173" t="s">
        <v>148</v>
      </c>
      <c r="H173" s="13">
        <v>8.9019591773170497</v>
      </c>
      <c r="I173" s="13">
        <v>7.1205688681895198</v>
      </c>
      <c r="J173" s="13">
        <v>0.54399636865956602</v>
      </c>
      <c r="K173" s="13">
        <v>7.4534726521353596</v>
      </c>
      <c r="L173">
        <v>0.297923999794178</v>
      </c>
      <c r="M173" s="13">
        <v>5.6844968332827603</v>
      </c>
      <c r="N173" s="13">
        <v>0.41555569837169198</v>
      </c>
      <c r="O173">
        <v>4.8734130859375</v>
      </c>
      <c r="P173">
        <v>0.35191326993736</v>
      </c>
      <c r="Q173" t="s">
        <v>93</v>
      </c>
    </row>
    <row r="174" spans="1:17" x14ac:dyDescent="0.6">
      <c r="A174" t="s">
        <v>488</v>
      </c>
      <c r="B174">
        <v>5</v>
      </c>
      <c r="C174" t="s">
        <v>9</v>
      </c>
      <c r="D174" t="s">
        <v>181</v>
      </c>
      <c r="E174" t="str">
        <f>"3."&amp;D174</f>
        <v>3.Macro + Sentiment (Direct)</v>
      </c>
      <c r="F174">
        <v>1</v>
      </c>
      <c r="G174" t="s">
        <v>489</v>
      </c>
      <c r="H174">
        <v>8.8131852468105496</v>
      </c>
      <c r="I174">
        <v>7.1070443724555004</v>
      </c>
      <c r="J174">
        <v>0.54216563981148902</v>
      </c>
      <c r="K174">
        <v>7.8153564668495701</v>
      </c>
      <c r="L174">
        <v>0.32665605654852503</v>
      </c>
      <c r="M174">
        <v>6.0984082242627098</v>
      </c>
      <c r="N174">
        <v>0.44620880016050501</v>
      </c>
      <c r="O174">
        <v>4.8770751953125</v>
      </c>
      <c r="P174">
        <v>0.35800665112229002</v>
      </c>
      <c r="Q174" t="s">
        <v>90</v>
      </c>
    </row>
    <row r="175" spans="1:17" x14ac:dyDescent="0.6">
      <c r="A175" t="s">
        <v>490</v>
      </c>
      <c r="B175">
        <v>30</v>
      </c>
      <c r="C175" t="s">
        <v>9</v>
      </c>
      <c r="D175" t="s">
        <v>8</v>
      </c>
      <c r="E175" t="str">
        <f>"2."&amp;D175</f>
        <v>2.Macro + Event</v>
      </c>
      <c r="F175">
        <v>1</v>
      </c>
      <c r="G175" t="s">
        <v>142</v>
      </c>
      <c r="H175" s="13">
        <v>8.9341371463538</v>
      </c>
      <c r="I175" s="13">
        <v>7.18222605430147</v>
      </c>
      <c r="J175" s="13">
        <v>0.54882554776852699</v>
      </c>
      <c r="K175" s="13">
        <v>7.6305046082067403</v>
      </c>
      <c r="L175">
        <v>0.30891904762220601</v>
      </c>
      <c r="M175" s="13">
        <v>5.89081877180673</v>
      </c>
      <c r="N175" s="13">
        <v>0.429472085769944</v>
      </c>
      <c r="O175">
        <v>4.89654541015625</v>
      </c>
      <c r="P175" s="13">
        <v>0.36789645511561497</v>
      </c>
      <c r="Q175" t="s">
        <v>93</v>
      </c>
    </row>
    <row r="176" spans="1:17" x14ac:dyDescent="0.6">
      <c r="A176" t="s">
        <v>491</v>
      </c>
      <c r="B176">
        <v>20</v>
      </c>
      <c r="C176" t="s">
        <v>9</v>
      </c>
      <c r="D176" t="s">
        <v>181</v>
      </c>
      <c r="E176" t="str">
        <f>"3."&amp;D176</f>
        <v>3.Macro + Sentiment (Direct)</v>
      </c>
      <c r="F176">
        <v>1</v>
      </c>
      <c r="G176" t="s">
        <v>492</v>
      </c>
      <c r="H176">
        <v>8.7599004546532893</v>
      </c>
      <c r="I176">
        <v>7.0939811843130602</v>
      </c>
      <c r="J176">
        <v>0.54095334134578499</v>
      </c>
      <c r="K176">
        <v>7.1281889888302103</v>
      </c>
      <c r="L176">
        <v>0.27280504637108</v>
      </c>
      <c r="M176">
        <v>5.5096119068286997</v>
      </c>
      <c r="N176">
        <v>0.40321809579413098</v>
      </c>
      <c r="O176">
        <v>4.90338134765625</v>
      </c>
      <c r="P176">
        <v>0.35899666830147298</v>
      </c>
      <c r="Q176" t="s">
        <v>90</v>
      </c>
    </row>
    <row r="177" spans="1:17" x14ac:dyDescent="0.6">
      <c r="A177" t="s">
        <v>493</v>
      </c>
      <c r="B177">
        <v>60</v>
      </c>
      <c r="C177" t="s">
        <v>99</v>
      </c>
      <c r="D177" t="s">
        <v>7</v>
      </c>
      <c r="E177" t="str">
        <f>"1."&amp;D177</f>
        <v>1.Macro Only</v>
      </c>
      <c r="F177">
        <v>1</v>
      </c>
      <c r="G177" t="s">
        <v>146</v>
      </c>
      <c r="H177">
        <v>8.5050179999999997</v>
      </c>
      <c r="I177">
        <v>6.8979920000000003</v>
      </c>
      <c r="J177">
        <v>0.53338200000000002</v>
      </c>
      <c r="K177">
        <v>7.4350009999999997</v>
      </c>
      <c r="L177">
        <v>0.29480000000000001</v>
      </c>
      <c r="M177">
        <v>5.7304399999999998</v>
      </c>
      <c r="N177">
        <v>0.41740500000000003</v>
      </c>
      <c r="O177">
        <v>4.920471</v>
      </c>
      <c r="P177">
        <v>0.36538900000000002</v>
      </c>
      <c r="Q177" t="s">
        <v>135</v>
      </c>
    </row>
    <row r="178" spans="1:17" x14ac:dyDescent="0.6">
      <c r="A178" t="s">
        <v>494</v>
      </c>
      <c r="B178">
        <v>30</v>
      </c>
      <c r="C178" t="s">
        <v>9</v>
      </c>
      <c r="D178" t="s">
        <v>167</v>
      </c>
      <c r="E178" t="str">
        <f>"6."&amp;D178</f>
        <v>6.Macro + Event + Sentiment (Direct)</v>
      </c>
      <c r="F178">
        <v>1</v>
      </c>
      <c r="G178" t="s">
        <v>495</v>
      </c>
      <c r="H178">
        <v>9.0288617058515293</v>
      </c>
      <c r="I178">
        <v>7.2732422413998403</v>
      </c>
      <c r="J178">
        <v>0.55605312826123099</v>
      </c>
      <c r="K178">
        <v>7.5860740225330501</v>
      </c>
      <c r="L178">
        <v>0.306127902829955</v>
      </c>
      <c r="M178">
        <v>5.9595176918992703</v>
      </c>
      <c r="N178">
        <v>0.434843067375556</v>
      </c>
      <c r="O178">
        <v>4.92999267578125</v>
      </c>
      <c r="P178">
        <v>0.35561045297433203</v>
      </c>
      <c r="Q178" t="s">
        <v>93</v>
      </c>
    </row>
    <row r="179" spans="1:17" x14ac:dyDescent="0.6">
      <c r="A179" t="s">
        <v>497</v>
      </c>
      <c r="B179">
        <v>60</v>
      </c>
      <c r="C179" t="s">
        <v>9</v>
      </c>
      <c r="D179" t="s">
        <v>181</v>
      </c>
      <c r="E179" t="str">
        <f>"3."&amp;D179</f>
        <v>3.Macro + Sentiment (Direct)</v>
      </c>
      <c r="F179">
        <v>1</v>
      </c>
      <c r="G179" t="s">
        <v>498</v>
      </c>
      <c r="H179">
        <v>8.4275419344071594</v>
      </c>
      <c r="I179">
        <v>6.8962098006363703</v>
      </c>
      <c r="J179">
        <v>0.53325182268081095</v>
      </c>
      <c r="K179">
        <v>7.9026667244677</v>
      </c>
      <c r="L179">
        <v>0.33001757237976403</v>
      </c>
      <c r="M179">
        <v>6.26910192316228</v>
      </c>
      <c r="N179">
        <v>0.45541081717975301</v>
      </c>
      <c r="O179">
        <v>4.94244384765625</v>
      </c>
      <c r="P179">
        <v>0.35711145075657102</v>
      </c>
      <c r="Q179" t="s">
        <v>135</v>
      </c>
    </row>
    <row r="180" spans="1:17" x14ac:dyDescent="0.6">
      <c r="A180" t="s">
        <v>499</v>
      </c>
      <c r="B180">
        <v>60</v>
      </c>
      <c r="C180" t="s">
        <v>99</v>
      </c>
      <c r="D180" t="s">
        <v>181</v>
      </c>
      <c r="E180" t="str">
        <f>"3."&amp;D180</f>
        <v>3.Macro + Sentiment (Direct)</v>
      </c>
      <c r="F180">
        <v>1</v>
      </c>
      <c r="G180" t="s">
        <v>500</v>
      </c>
      <c r="H180">
        <v>8.4026799112959996</v>
      </c>
      <c r="I180">
        <v>6.7740459232539898</v>
      </c>
      <c r="J180">
        <v>0.52363805007484199</v>
      </c>
      <c r="K180">
        <v>7.26221736148542</v>
      </c>
      <c r="L180">
        <v>0.28053172886977101</v>
      </c>
      <c r="M180">
        <v>5.6549204046075996</v>
      </c>
      <c r="N180">
        <v>0.41162120498544202</v>
      </c>
      <c r="O180">
        <v>4.94586181640625</v>
      </c>
      <c r="P180">
        <v>0.36269718029901998</v>
      </c>
      <c r="Q180" t="s">
        <v>135</v>
      </c>
    </row>
    <row r="181" spans="1:17" x14ac:dyDescent="0.6">
      <c r="A181" t="s">
        <v>501</v>
      </c>
      <c r="B181">
        <v>30</v>
      </c>
      <c r="C181" t="s">
        <v>9</v>
      </c>
      <c r="D181" t="s">
        <v>7</v>
      </c>
      <c r="E181" t="str">
        <f>"1."&amp;D181</f>
        <v>1.Macro Only</v>
      </c>
      <c r="F181">
        <v>1</v>
      </c>
      <c r="G181" t="s">
        <v>131</v>
      </c>
      <c r="H181" s="13">
        <v>8.8739930205350408</v>
      </c>
      <c r="I181" s="13">
        <v>7.1211096376205703</v>
      </c>
      <c r="J181" s="13">
        <v>0.54376340261262601</v>
      </c>
      <c r="K181" s="13">
        <v>7.2593668102643196</v>
      </c>
      <c r="L181">
        <v>0.281065693167936</v>
      </c>
      <c r="M181" s="13">
        <v>5.6277566557948999</v>
      </c>
      <c r="N181" s="13">
        <v>0.41086201470158601</v>
      </c>
      <c r="O181">
        <v>4.9595947265625</v>
      </c>
      <c r="P181" s="13">
        <v>0.35968189239605097</v>
      </c>
      <c r="Q181" t="s">
        <v>93</v>
      </c>
    </row>
    <row r="182" spans="1:17" x14ac:dyDescent="0.6">
      <c r="A182" t="s">
        <v>502</v>
      </c>
      <c r="B182">
        <v>60</v>
      </c>
      <c r="C182" t="s">
        <v>99</v>
      </c>
      <c r="D182" t="s">
        <v>8</v>
      </c>
      <c r="E182" t="str">
        <f>"2."&amp;D182</f>
        <v>2.Macro + Event</v>
      </c>
      <c r="F182">
        <v>1</v>
      </c>
      <c r="G182" t="s">
        <v>147</v>
      </c>
      <c r="H182">
        <v>8.3207690000000003</v>
      </c>
      <c r="I182">
        <v>6.7146280000000003</v>
      </c>
      <c r="J182">
        <v>0.51918600000000004</v>
      </c>
      <c r="K182">
        <v>7.4376990000000003</v>
      </c>
      <c r="L182">
        <v>0.29450000000000004</v>
      </c>
      <c r="M182">
        <v>5.6944710000000001</v>
      </c>
      <c r="N182">
        <v>0.41458800000000001</v>
      </c>
      <c r="O182">
        <v>4.959778</v>
      </c>
      <c r="P182">
        <v>0.34940700000000002</v>
      </c>
      <c r="Q182" t="s">
        <v>135</v>
      </c>
    </row>
    <row r="183" spans="1:17" x14ac:dyDescent="0.6">
      <c r="A183" t="s">
        <v>503</v>
      </c>
      <c r="B183">
        <v>90</v>
      </c>
      <c r="C183" t="s">
        <v>9</v>
      </c>
      <c r="D183" t="s">
        <v>174</v>
      </c>
      <c r="E183" t="str">
        <f>"5."&amp;D183</f>
        <v>5.Macro + Sentiment (Both)</v>
      </c>
      <c r="F183">
        <v>1</v>
      </c>
      <c r="G183" t="s">
        <v>504</v>
      </c>
      <c r="H183">
        <v>6.9628105548455199</v>
      </c>
      <c r="I183">
        <v>5.5185713334516997</v>
      </c>
      <c r="J183">
        <v>0.43025861526637099</v>
      </c>
      <c r="K183">
        <v>7.69863226859691</v>
      </c>
      <c r="L183">
        <v>0.31373632310565203</v>
      </c>
      <c r="M183">
        <v>5.9821116826305598</v>
      </c>
      <c r="N183">
        <v>0.43451663128978602</v>
      </c>
      <c r="O183">
        <v>4.9730224609375</v>
      </c>
      <c r="P183">
        <v>0.35725420148611398</v>
      </c>
      <c r="Q183" t="s">
        <v>114</v>
      </c>
    </row>
    <row r="184" spans="1:17" x14ac:dyDescent="0.6">
      <c r="A184" t="s">
        <v>506</v>
      </c>
      <c r="B184">
        <v>5</v>
      </c>
      <c r="C184" t="s">
        <v>9</v>
      </c>
      <c r="D184" t="s">
        <v>174</v>
      </c>
      <c r="E184" t="str">
        <f>"5."&amp;D184</f>
        <v>5.Macro + Sentiment (Both)</v>
      </c>
      <c r="F184">
        <v>1</v>
      </c>
      <c r="G184" t="s">
        <v>507</v>
      </c>
      <c r="H184">
        <v>8.8475952623840097</v>
      </c>
      <c r="I184">
        <v>7.1050947971298797</v>
      </c>
      <c r="J184">
        <v>0.54179603130251897</v>
      </c>
      <c r="K184">
        <v>7.5260731211752496</v>
      </c>
      <c r="L184">
        <v>0.30478380704257502</v>
      </c>
      <c r="M184">
        <v>5.8091787363027496</v>
      </c>
      <c r="N184">
        <v>0.425661662904531</v>
      </c>
      <c r="O184">
        <v>4.9931640625</v>
      </c>
      <c r="P184">
        <v>0.36733003602327102</v>
      </c>
      <c r="Q184" t="s">
        <v>90</v>
      </c>
    </row>
    <row r="185" spans="1:17" x14ac:dyDescent="0.6">
      <c r="A185" t="s">
        <v>508</v>
      </c>
      <c r="B185">
        <v>30</v>
      </c>
      <c r="C185" t="s">
        <v>99</v>
      </c>
      <c r="D185" t="s">
        <v>8</v>
      </c>
      <c r="E185" t="str">
        <f>"2."&amp;D185</f>
        <v>2.Macro + Event</v>
      </c>
      <c r="F185">
        <v>1</v>
      </c>
      <c r="G185" t="s">
        <v>123</v>
      </c>
      <c r="H185">
        <v>8.9601459999999999</v>
      </c>
      <c r="I185">
        <v>7.140936</v>
      </c>
      <c r="J185">
        <v>0.545902</v>
      </c>
      <c r="K185">
        <v>7.1938149999999998</v>
      </c>
      <c r="L185">
        <v>0.27739999999999998</v>
      </c>
      <c r="M185">
        <v>5.5053179999999999</v>
      </c>
      <c r="N185">
        <v>0.40247699999999997</v>
      </c>
      <c r="O185">
        <v>5.0181269999999998</v>
      </c>
      <c r="P185">
        <v>0.36741200000000002</v>
      </c>
      <c r="Q185" t="s">
        <v>93</v>
      </c>
    </row>
    <row r="186" spans="1:17" x14ac:dyDescent="0.6">
      <c r="A186" t="s">
        <v>509</v>
      </c>
      <c r="B186">
        <v>10</v>
      </c>
      <c r="C186" t="s">
        <v>9</v>
      </c>
      <c r="D186" t="s">
        <v>177</v>
      </c>
      <c r="E186" t="str">
        <f>"8."&amp;D186</f>
        <v>8.Macro + Event + Sentiment (Both)</v>
      </c>
      <c r="F186">
        <v>1</v>
      </c>
      <c r="G186" t="s">
        <v>510</v>
      </c>
      <c r="H186">
        <v>8.8173881404505892</v>
      </c>
      <c r="I186">
        <v>7.0042532666236497</v>
      </c>
      <c r="J186">
        <v>0.53413118367795098</v>
      </c>
      <c r="K186">
        <v>7.90428773126101</v>
      </c>
      <c r="L186">
        <v>0.33355741985811804</v>
      </c>
      <c r="M186">
        <v>6.1869263775580698</v>
      </c>
      <c r="N186">
        <v>0.45222766404382803</v>
      </c>
      <c r="O186">
        <v>5.03265380859375</v>
      </c>
      <c r="P186">
        <v>0.37123944864299402</v>
      </c>
      <c r="Q186" t="s">
        <v>90</v>
      </c>
    </row>
    <row r="187" spans="1:17" x14ac:dyDescent="0.6">
      <c r="A187" t="s">
        <v>511</v>
      </c>
      <c r="B187">
        <v>60</v>
      </c>
      <c r="C187" t="s">
        <v>6</v>
      </c>
      <c r="D187" t="s">
        <v>184</v>
      </c>
      <c r="E187" t="str">
        <f>"7."&amp;D187</f>
        <v>7.Macro + Event + Sentiment (Indirect)</v>
      </c>
      <c r="F187">
        <v>1</v>
      </c>
      <c r="G187" t="s">
        <v>512</v>
      </c>
      <c r="H187">
        <v>8.5795763157925808</v>
      </c>
      <c r="I187">
        <v>6.9870960948231398</v>
      </c>
      <c r="J187">
        <v>0.54004097813003504</v>
      </c>
      <c r="K187">
        <v>7.4011120402700499</v>
      </c>
      <c r="L187">
        <v>0.29177870784014698</v>
      </c>
      <c r="M187">
        <v>5.6897693980823796</v>
      </c>
      <c r="N187">
        <v>0.41433295624949801</v>
      </c>
      <c r="O187">
        <v>5.03582763671875</v>
      </c>
      <c r="P187">
        <v>0.36658699078364498</v>
      </c>
      <c r="Q187" t="s">
        <v>135</v>
      </c>
    </row>
    <row r="188" spans="1:17" x14ac:dyDescent="0.6">
      <c r="A188" t="s">
        <v>513</v>
      </c>
      <c r="B188">
        <v>60</v>
      </c>
      <c r="C188" t="s">
        <v>9</v>
      </c>
      <c r="D188" t="s">
        <v>7</v>
      </c>
      <c r="E188" t="str">
        <f>"1."&amp;D188</f>
        <v>1.Macro Only</v>
      </c>
      <c r="F188">
        <v>1</v>
      </c>
      <c r="G188" t="s">
        <v>151</v>
      </c>
      <c r="H188" s="13">
        <v>8.4122978795674204</v>
      </c>
      <c r="I188" s="13">
        <v>6.7384807880108104</v>
      </c>
      <c r="J188" s="13">
        <v>0.52093204641101198</v>
      </c>
      <c r="K188" s="13">
        <v>7.4964709123166404</v>
      </c>
      <c r="L188">
        <v>0.29857578610777497</v>
      </c>
      <c r="M188" s="13">
        <v>5.80583121559836</v>
      </c>
      <c r="N188" s="13">
        <v>0.42238218251780701</v>
      </c>
      <c r="O188">
        <v>5.040283203125</v>
      </c>
      <c r="P188" s="13">
        <v>0.36676610353741701</v>
      </c>
      <c r="Q188" t="s">
        <v>135</v>
      </c>
    </row>
    <row r="189" spans="1:17" x14ac:dyDescent="0.6">
      <c r="A189" t="s">
        <v>514</v>
      </c>
      <c r="B189">
        <v>5</v>
      </c>
      <c r="C189" t="s">
        <v>92</v>
      </c>
      <c r="D189" t="s">
        <v>7</v>
      </c>
      <c r="E189" t="str">
        <f>"1."&amp;D189</f>
        <v>1.Macro Only</v>
      </c>
      <c r="F189">
        <v>1</v>
      </c>
      <c r="G189" t="s">
        <v>161</v>
      </c>
      <c r="H189">
        <v>8.7052849999999999</v>
      </c>
      <c r="I189">
        <v>6.9406249999999998</v>
      </c>
      <c r="J189">
        <v>0.52950699999999995</v>
      </c>
      <c r="K189">
        <v>7.942977</v>
      </c>
      <c r="L189">
        <v>0.3372</v>
      </c>
      <c r="M189">
        <v>6.1162039999999998</v>
      </c>
      <c r="N189">
        <v>0.44723200000000002</v>
      </c>
      <c r="O189">
        <v>5.09314</v>
      </c>
      <c r="P189">
        <v>0.36770399999999998</v>
      </c>
      <c r="Q189" t="s">
        <v>90</v>
      </c>
    </row>
    <row r="190" spans="1:17" x14ac:dyDescent="0.6">
      <c r="A190" t="s">
        <v>515</v>
      </c>
      <c r="B190">
        <v>20</v>
      </c>
      <c r="C190" t="s">
        <v>99</v>
      </c>
      <c r="D190" t="s">
        <v>181</v>
      </c>
      <c r="E190" t="str">
        <f>"3."&amp;D190</f>
        <v>3.Macro + Sentiment (Direct)</v>
      </c>
      <c r="F190">
        <v>1</v>
      </c>
      <c r="G190" t="s">
        <v>516</v>
      </c>
      <c r="H190">
        <v>8.6663720940151201</v>
      </c>
      <c r="I190">
        <v>6.9919034562757201</v>
      </c>
      <c r="J190">
        <v>0.53359337471985602</v>
      </c>
      <c r="K190">
        <v>7.7886830169821701</v>
      </c>
      <c r="L190">
        <v>0.32140821459116997</v>
      </c>
      <c r="M190">
        <v>6.1441819932725696</v>
      </c>
      <c r="N190">
        <v>0.44815480141739</v>
      </c>
      <c r="O190">
        <v>5.101318359375</v>
      </c>
      <c r="P190">
        <v>0.37490279869072701</v>
      </c>
      <c r="Q190" t="s">
        <v>90</v>
      </c>
    </row>
    <row r="191" spans="1:17" x14ac:dyDescent="0.6">
      <c r="A191" t="s">
        <v>517</v>
      </c>
      <c r="B191">
        <v>30</v>
      </c>
      <c r="C191" t="s">
        <v>99</v>
      </c>
      <c r="D191" t="s">
        <v>171</v>
      </c>
      <c r="E191" t="str">
        <f>"4."&amp;D191</f>
        <v>4.Macro + Sentiment (Indirect)</v>
      </c>
      <c r="F191">
        <v>1</v>
      </c>
      <c r="G191" t="s">
        <v>518</v>
      </c>
      <c r="H191">
        <v>8.9479494476045804</v>
      </c>
      <c r="I191">
        <v>7.2351347311290999</v>
      </c>
      <c r="J191">
        <v>0.55292169301476102</v>
      </c>
      <c r="K191">
        <v>7.3695552686568204</v>
      </c>
      <c r="L191">
        <v>0.28993969433729</v>
      </c>
      <c r="M191">
        <v>5.7950273532311796</v>
      </c>
      <c r="N191">
        <v>0.42326796982553799</v>
      </c>
      <c r="O191">
        <v>5.1556396484375</v>
      </c>
      <c r="P191">
        <v>0.37674241214093401</v>
      </c>
      <c r="Q191" t="s">
        <v>93</v>
      </c>
    </row>
    <row r="192" spans="1:17" x14ac:dyDescent="0.6">
      <c r="A192" t="s">
        <v>519</v>
      </c>
      <c r="B192">
        <v>5</v>
      </c>
      <c r="C192" t="s">
        <v>9</v>
      </c>
      <c r="D192" t="s">
        <v>167</v>
      </c>
      <c r="E192" t="str">
        <f>"6."&amp;D192</f>
        <v>6.Macro + Event + Sentiment (Direct)</v>
      </c>
      <c r="F192">
        <v>1</v>
      </c>
      <c r="G192" t="s">
        <v>520</v>
      </c>
      <c r="H192">
        <v>8.8106496881332603</v>
      </c>
      <c r="I192">
        <v>7.1220133596410999</v>
      </c>
      <c r="J192">
        <v>0.54329429447225097</v>
      </c>
      <c r="K192">
        <v>8.4645931985328904</v>
      </c>
      <c r="L192">
        <v>0.38259773982981798</v>
      </c>
      <c r="M192">
        <v>6.6893971100513996</v>
      </c>
      <c r="N192">
        <v>0.489208471328962</v>
      </c>
      <c r="O192">
        <v>5.6036376953125</v>
      </c>
      <c r="P192">
        <v>0.41343295075061198</v>
      </c>
      <c r="Q192" t="s">
        <v>90</v>
      </c>
    </row>
    <row r="193" spans="1:17" x14ac:dyDescent="0.6">
      <c r="A193" t="s">
        <v>521</v>
      </c>
      <c r="B193">
        <v>20</v>
      </c>
      <c r="C193" t="s">
        <v>9</v>
      </c>
      <c r="D193" t="s">
        <v>174</v>
      </c>
      <c r="E193" t="str">
        <f>"5."&amp;D193</f>
        <v>5.Macro + Sentiment (Both)</v>
      </c>
      <c r="F193">
        <v>1</v>
      </c>
      <c r="G193" t="s">
        <v>522</v>
      </c>
      <c r="H193">
        <v>8.6495261083544808</v>
      </c>
      <c r="I193">
        <v>6.97481234421205</v>
      </c>
      <c r="J193">
        <v>0.53231305028138598</v>
      </c>
      <c r="K193">
        <v>8.5861351734384694</v>
      </c>
      <c r="L193">
        <v>0.38921599682209401</v>
      </c>
      <c r="M193">
        <v>6.9375333432798003</v>
      </c>
      <c r="N193">
        <v>0.505550684847207</v>
      </c>
      <c r="O193">
        <v>6.66937255859375</v>
      </c>
      <c r="P193">
        <v>0.48618920957419698</v>
      </c>
      <c r="Q193" t="s">
        <v>90</v>
      </c>
    </row>
  </sheetData>
  <autoFilter ref="A1:Q193" xr:uid="{45A83A16-C463-4530-B652-221EE5F573A9}">
    <sortState xmlns:xlrd2="http://schemas.microsoft.com/office/spreadsheetml/2017/richdata2" ref="A2:Q193">
      <sortCondition ref="O1:O193"/>
    </sortState>
  </autoFilter>
  <sortState xmlns:xlrd2="http://schemas.microsoft.com/office/spreadsheetml/2017/richdata2" ref="A2:Q175">
    <sortCondition ref="A2:A175"/>
    <sortCondition descending="1" ref="B2:B175"/>
    <sortCondition ref="D2:D175"/>
  </sortState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Q33"/>
  <sheetViews>
    <sheetView workbookViewId="0">
      <selection activeCell="B4" sqref="B4:I4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533</v>
      </c>
      <c r="K1" t="s">
        <v>528</v>
      </c>
    </row>
    <row r="2" spans="1:17" x14ac:dyDescent="0.6">
      <c r="A2">
        <v>5</v>
      </c>
      <c r="B2" t="s">
        <v>9</v>
      </c>
      <c r="C2" t="s">
        <v>177</v>
      </c>
      <c r="D2">
        <v>7.1823392070000001</v>
      </c>
      <c r="E2">
        <v>0.27906638</v>
      </c>
      <c r="F2">
        <v>5.4315624150000001</v>
      </c>
      <c r="G2">
        <v>0.39875422300000002</v>
      </c>
      <c r="H2">
        <v>4.271484375</v>
      </c>
      <c r="I2">
        <v>0.313879674</v>
      </c>
      <c r="J2">
        <f t="shared" ref="J2:J33" si="0">SUM(L2:Q2)</f>
        <v>5.8038895217552637</v>
      </c>
      <c r="K2">
        <f t="shared" ref="K2:K33" si="1">0.5*SIN(RADIANS(60))*((L2*M2)+(M2*N2)+(N2*O2)+(O2*P2)+(P2*Q2)+(Q2*L2))</f>
        <v>2.4314804670864598</v>
      </c>
      <c r="L2">
        <f t="shared" ref="L2:L33" si="2">(MAX(D:D)-D2)/(MAX(D:D)-MIN(D:D))</f>
        <v>0.93433297116642844</v>
      </c>
      <c r="M2">
        <f t="shared" ref="M2:M33" si="3">(MAX(E:E)-E2)/(MAX(E:E)-MIN(E:E))</f>
        <v>0.93273371886841649</v>
      </c>
      <c r="N2">
        <f t="shared" ref="N2:N33" si="4">(MAX(F:F)-F2)/(MAX(F:F)-MIN(F:F))</f>
        <v>0.96922366540621274</v>
      </c>
      <c r="O2">
        <f t="shared" ref="O2:O33" si="5">(MAX(G:G)-G2)/(MAX(G:G)-MIN(G:G))</f>
        <v>0.96759916631420562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5</v>
      </c>
      <c r="B3" t="s">
        <v>99</v>
      </c>
      <c r="C3" t="s">
        <v>167</v>
      </c>
      <c r="D3">
        <v>7.1365300339999997</v>
      </c>
      <c r="E3">
        <v>0.27521844099999998</v>
      </c>
      <c r="F3">
        <v>5.4294058400000003</v>
      </c>
      <c r="G3">
        <v>0.39845836899999998</v>
      </c>
      <c r="H3">
        <v>4.3968505860000002</v>
      </c>
      <c r="I3">
        <v>0.32197364499999998</v>
      </c>
      <c r="J3">
        <f t="shared" si="0"/>
        <v>5.7013515317366519</v>
      </c>
      <c r="K3">
        <f t="shared" si="1"/>
        <v>2.3463155239534648</v>
      </c>
      <c r="L3">
        <f t="shared" si="2"/>
        <v>0.96771248956356615</v>
      </c>
      <c r="M3">
        <f t="shared" si="3"/>
        <v>0.96740053338190146</v>
      </c>
      <c r="N3">
        <f t="shared" si="4"/>
        <v>0.97088541279999352</v>
      </c>
      <c r="O3">
        <f t="shared" si="5"/>
        <v>0.97076394950659661</v>
      </c>
      <c r="P3">
        <f t="shared" si="6"/>
        <v>0.90589205527784122</v>
      </c>
      <c r="Q3">
        <f t="shared" si="7"/>
        <v>0.9186970912067518</v>
      </c>
    </row>
    <row r="4" spans="1:17" x14ac:dyDescent="0.6">
      <c r="A4">
        <v>5</v>
      </c>
      <c r="B4" t="s">
        <v>99</v>
      </c>
      <c r="C4" t="s">
        <v>174</v>
      </c>
      <c r="D4">
        <v>7.092219504</v>
      </c>
      <c r="E4">
        <v>0.271810475</v>
      </c>
      <c r="F4">
        <v>5.3916216429999997</v>
      </c>
      <c r="G4">
        <v>0.39572529000000001</v>
      </c>
      <c r="H4">
        <v>4.5201416019999998</v>
      </c>
      <c r="I4">
        <v>0.32848809400000001</v>
      </c>
      <c r="J4">
        <f t="shared" si="0"/>
        <v>5.6647057128067386</v>
      </c>
      <c r="K4">
        <f t="shared" si="1"/>
        <v>2.3195631278615805</v>
      </c>
      <c r="L4">
        <f t="shared" si="2"/>
        <v>1</v>
      </c>
      <c r="M4">
        <f t="shared" si="3"/>
        <v>0.9981035474344272</v>
      </c>
      <c r="N4">
        <f t="shared" si="4"/>
        <v>1</v>
      </c>
      <c r="O4">
        <f t="shared" si="5"/>
        <v>1</v>
      </c>
      <c r="P4">
        <f t="shared" si="6"/>
        <v>0.813341885452044</v>
      </c>
      <c r="Q4">
        <f t="shared" si="7"/>
        <v>0.85326027992026809</v>
      </c>
    </row>
    <row r="5" spans="1:17" x14ac:dyDescent="0.6">
      <c r="A5">
        <v>5</v>
      </c>
      <c r="B5" t="s">
        <v>6</v>
      </c>
      <c r="C5" t="s">
        <v>177</v>
      </c>
      <c r="D5" s="13">
        <v>7.1274443940000003</v>
      </c>
      <c r="E5">
        <v>0.27499322900000001</v>
      </c>
      <c r="F5">
        <v>5.4261025429999998</v>
      </c>
      <c r="G5">
        <v>0.398301829</v>
      </c>
      <c r="H5">
        <v>4.4005126949999998</v>
      </c>
      <c r="I5">
        <v>0.33017576999999998</v>
      </c>
      <c r="J5">
        <f t="shared" si="0"/>
        <v>5.6290824553172918</v>
      </c>
      <c r="K5">
        <f t="shared" si="1"/>
        <v>2.2877013038355334</v>
      </c>
      <c r="L5">
        <f t="shared" si="2"/>
        <v>0.97433287294245297</v>
      </c>
      <c r="M5">
        <f t="shared" si="3"/>
        <v>0.96942951113602127</v>
      </c>
      <c r="N5">
        <f t="shared" si="4"/>
        <v>0.97343076604791445</v>
      </c>
      <c r="O5">
        <f t="shared" si="5"/>
        <v>0.97243847532317085</v>
      </c>
      <c r="P5">
        <f t="shared" si="6"/>
        <v>0.90314304062238138</v>
      </c>
      <c r="Q5">
        <f t="shared" si="7"/>
        <v>0.83630778924535065</v>
      </c>
    </row>
    <row r="6" spans="1:17" x14ac:dyDescent="0.6">
      <c r="A6">
        <v>5</v>
      </c>
      <c r="B6" t="s">
        <v>99</v>
      </c>
      <c r="C6" t="s">
        <v>171</v>
      </c>
      <c r="D6">
        <v>7.1488639369999998</v>
      </c>
      <c r="E6">
        <v>0.27624827499999999</v>
      </c>
      <c r="F6">
        <v>5.4371781779999999</v>
      </c>
      <c r="G6">
        <v>0.399022551</v>
      </c>
      <c r="H6">
        <v>4.4279785159999996</v>
      </c>
      <c r="I6">
        <v>0.33270807299999999</v>
      </c>
      <c r="J6">
        <f t="shared" si="0"/>
        <v>5.5398696059619814</v>
      </c>
      <c r="K6">
        <f t="shared" si="1"/>
        <v>2.2163077210614195</v>
      </c>
      <c r="L6">
        <f t="shared" si="2"/>
        <v>0.95872521223164375</v>
      </c>
      <c r="M6">
        <f t="shared" si="3"/>
        <v>0.95812256295209985</v>
      </c>
      <c r="N6">
        <f t="shared" si="4"/>
        <v>0.96489644306090105</v>
      </c>
      <c r="O6">
        <f t="shared" si="5"/>
        <v>0.96472883180986324</v>
      </c>
      <c r="P6">
        <f t="shared" si="6"/>
        <v>0.88252542807910461</v>
      </c>
      <c r="Q6">
        <f t="shared" si="7"/>
        <v>0.81087112782836879</v>
      </c>
    </row>
    <row r="7" spans="1:17" x14ac:dyDescent="0.6">
      <c r="A7">
        <v>5</v>
      </c>
      <c r="B7" t="s">
        <v>99</v>
      </c>
      <c r="C7" t="s">
        <v>7</v>
      </c>
      <c r="D7">
        <v>7.1601179999999998</v>
      </c>
      <c r="E7">
        <v>0.2772</v>
      </c>
      <c r="F7">
        <v>5.4565830000000002</v>
      </c>
      <c r="G7">
        <v>0.40040500000000001</v>
      </c>
      <c r="H7">
        <v>4.5373539999999997</v>
      </c>
      <c r="I7">
        <v>0.32225999999999999</v>
      </c>
      <c r="J7">
        <f t="shared" si="0"/>
        <v>5.5161996025725957</v>
      </c>
      <c r="K7">
        <f t="shared" si="1"/>
        <v>2.1957565251042892</v>
      </c>
      <c r="L7">
        <f t="shared" si="2"/>
        <v>0.9505247759794756</v>
      </c>
      <c r="M7">
        <f t="shared" si="3"/>
        <v>0.94954829136337482</v>
      </c>
      <c r="N7">
        <f t="shared" si="4"/>
        <v>0.94994407071805087</v>
      </c>
      <c r="O7">
        <f t="shared" si="5"/>
        <v>0.94994062086954434</v>
      </c>
      <c r="P7">
        <f t="shared" si="6"/>
        <v>0.80042115197370844</v>
      </c>
      <c r="Q7">
        <f t="shared" si="7"/>
        <v>0.91582069166844204</v>
      </c>
    </row>
    <row r="8" spans="1:17" x14ac:dyDescent="0.6">
      <c r="A8">
        <v>5</v>
      </c>
      <c r="B8" t="s">
        <v>99</v>
      </c>
      <c r="C8" t="s">
        <v>8</v>
      </c>
      <c r="D8">
        <v>7.2173910000000001</v>
      </c>
      <c r="E8">
        <v>0.28079999999999999</v>
      </c>
      <c r="F8">
        <v>5.4710340000000004</v>
      </c>
      <c r="G8">
        <v>0.40113599999999999</v>
      </c>
      <c r="H8">
        <v>4.3646240000000001</v>
      </c>
      <c r="I8">
        <v>0.32753700000000002</v>
      </c>
      <c r="J8">
        <f t="shared" si="0"/>
        <v>5.4997343776937484</v>
      </c>
      <c r="K8">
        <f t="shared" si="1"/>
        <v>2.1831603086914573</v>
      </c>
      <c r="L8">
        <f t="shared" si="2"/>
        <v>0.90879197374881182</v>
      </c>
      <c r="M8">
        <f t="shared" si="3"/>
        <v>0.91711520647077527</v>
      </c>
      <c r="N8">
        <f t="shared" si="4"/>
        <v>0.93880886253492357</v>
      </c>
      <c r="O8">
        <f t="shared" si="5"/>
        <v>0.94212103244539802</v>
      </c>
      <c r="P8">
        <f t="shared" si="6"/>
        <v>0.93008340436369585</v>
      </c>
      <c r="Q8">
        <f t="shared" si="7"/>
        <v>0.86281389813014364</v>
      </c>
    </row>
    <row r="9" spans="1:17" x14ac:dyDescent="0.6">
      <c r="A9">
        <v>5</v>
      </c>
      <c r="B9" t="s">
        <v>92</v>
      </c>
      <c r="C9" t="s">
        <v>174</v>
      </c>
      <c r="D9">
        <v>7.1141418810000001</v>
      </c>
      <c r="E9">
        <v>0.27338674800000001</v>
      </c>
      <c r="F9">
        <v>5.4146337469999999</v>
      </c>
      <c r="G9">
        <v>0.39730070099999998</v>
      </c>
      <c r="H9">
        <v>4.578613281</v>
      </c>
      <c r="I9">
        <v>0.33754725200000002</v>
      </c>
      <c r="J9">
        <f t="shared" si="0"/>
        <v>5.465055709456478</v>
      </c>
      <c r="K9">
        <f t="shared" si="1"/>
        <v>2.1622257193337515</v>
      </c>
      <c r="L9">
        <f t="shared" si="2"/>
        <v>0.98402594200116889</v>
      </c>
      <c r="M9">
        <f t="shared" si="3"/>
        <v>0.98390260409472907</v>
      </c>
      <c r="N9">
        <f t="shared" si="4"/>
        <v>0.98226803897503467</v>
      </c>
      <c r="O9">
        <f t="shared" si="5"/>
        <v>0.98314765305215734</v>
      </c>
      <c r="P9">
        <f t="shared" si="6"/>
        <v>0.7694492808080079</v>
      </c>
      <c r="Q9">
        <f t="shared" si="7"/>
        <v>0.76226219052538047</v>
      </c>
    </row>
    <row r="10" spans="1:17" x14ac:dyDescent="0.6">
      <c r="A10">
        <v>5</v>
      </c>
      <c r="B10" t="s">
        <v>6</v>
      </c>
      <c r="C10" t="s">
        <v>8</v>
      </c>
      <c r="D10" s="13">
        <v>7.1444564289999999</v>
      </c>
      <c r="E10">
        <v>0.27593425999999999</v>
      </c>
      <c r="F10">
        <v>5.394038213</v>
      </c>
      <c r="G10">
        <v>0.39588277399999999</v>
      </c>
      <c r="H10">
        <v>4.6175537110000002</v>
      </c>
      <c r="I10">
        <v>0.33884469299999997</v>
      </c>
      <c r="J10">
        <f t="shared" si="0"/>
        <v>5.4087893296252609</v>
      </c>
      <c r="K10">
        <f t="shared" si="1"/>
        <v>2.1192807290590352</v>
      </c>
      <c r="L10">
        <f t="shared" si="2"/>
        <v>0.96193680686950223</v>
      </c>
      <c r="M10">
        <f t="shared" si="3"/>
        <v>0.9609515838278081</v>
      </c>
      <c r="N10">
        <f t="shared" si="4"/>
        <v>0.99813791363648863</v>
      </c>
      <c r="O10">
        <f t="shared" si="5"/>
        <v>0.9983153761102761</v>
      </c>
      <c r="P10">
        <f t="shared" si="6"/>
        <v>0.74021808841042391</v>
      </c>
      <c r="Q10">
        <f t="shared" si="7"/>
        <v>0.74922956077076219</v>
      </c>
    </row>
    <row r="11" spans="1:17" x14ac:dyDescent="0.6">
      <c r="A11">
        <v>5</v>
      </c>
      <c r="B11" t="s">
        <v>92</v>
      </c>
      <c r="C11" t="s">
        <v>8</v>
      </c>
      <c r="D11">
        <v>7.1516469999999996</v>
      </c>
      <c r="E11">
        <v>0.27660000000000001</v>
      </c>
      <c r="F11">
        <v>5.4203900000000003</v>
      </c>
      <c r="G11">
        <v>0.397868</v>
      </c>
      <c r="H11">
        <v>4.642944</v>
      </c>
      <c r="I11">
        <v>0.33465699999999998</v>
      </c>
      <c r="J11">
        <f t="shared" si="0"/>
        <v>5.3790157609723668</v>
      </c>
      <c r="K11">
        <f t="shared" si="1"/>
        <v>2.0936655036818204</v>
      </c>
      <c r="L11">
        <f t="shared" si="2"/>
        <v>0.95669729300662554</v>
      </c>
      <c r="M11">
        <f t="shared" si="3"/>
        <v>0.95495380551214137</v>
      </c>
      <c r="N11">
        <f t="shared" si="4"/>
        <v>0.97783256215614645</v>
      </c>
      <c r="O11">
        <f t="shared" si="5"/>
        <v>0.9770791924592297</v>
      </c>
      <c r="P11">
        <f t="shared" si="6"/>
        <v>0.72115850373739265</v>
      </c>
      <c r="Q11">
        <f t="shared" si="7"/>
        <v>0.79129440410083152</v>
      </c>
    </row>
    <row r="12" spans="1:17" x14ac:dyDescent="0.6">
      <c r="A12">
        <v>5</v>
      </c>
      <c r="B12" t="s">
        <v>92</v>
      </c>
      <c r="C12" t="s">
        <v>181</v>
      </c>
      <c r="D12">
        <v>7.1550957420000003</v>
      </c>
      <c r="E12">
        <v>0.27660694800000002</v>
      </c>
      <c r="F12">
        <v>5.4251307369999999</v>
      </c>
      <c r="G12">
        <v>0.39810931900000002</v>
      </c>
      <c r="H12">
        <v>4.591796875</v>
      </c>
      <c r="I12">
        <v>0.338867476</v>
      </c>
      <c r="J12">
        <f t="shared" si="0"/>
        <v>5.3663064287965243</v>
      </c>
      <c r="K12">
        <f t="shared" si="1"/>
        <v>2.0847337922617468</v>
      </c>
      <c r="L12">
        <f t="shared" si="2"/>
        <v>0.95418431712216667</v>
      </c>
      <c r="M12">
        <f t="shared" si="3"/>
        <v>0.95489120965829855</v>
      </c>
      <c r="N12">
        <f t="shared" si="4"/>
        <v>0.97417959049768332</v>
      </c>
      <c r="O12">
        <f t="shared" si="5"/>
        <v>0.9744977762363477</v>
      </c>
      <c r="P12">
        <f t="shared" si="6"/>
        <v>0.75955282684728809</v>
      </c>
      <c r="Q12">
        <f t="shared" si="7"/>
        <v>0.74900070843474087</v>
      </c>
    </row>
    <row r="13" spans="1:17" x14ac:dyDescent="0.6">
      <c r="A13">
        <v>5</v>
      </c>
      <c r="B13" t="s">
        <v>92</v>
      </c>
      <c r="C13" t="s">
        <v>184</v>
      </c>
      <c r="D13">
        <v>7.1642622090000003</v>
      </c>
      <c r="E13">
        <v>0.27686743200000002</v>
      </c>
      <c r="F13">
        <v>5.4519497430000001</v>
      </c>
      <c r="G13">
        <v>0.39985611700000001</v>
      </c>
      <c r="H13">
        <v>4.5842285159999996</v>
      </c>
      <c r="I13">
        <v>0.33526829200000002</v>
      </c>
      <c r="J13">
        <f t="shared" si="0"/>
        <v>5.3597639827637744</v>
      </c>
      <c r="K13">
        <f t="shared" si="1"/>
        <v>2.0777551155171921</v>
      </c>
      <c r="L13">
        <f t="shared" si="2"/>
        <v>0.94750503797728336</v>
      </c>
      <c r="M13">
        <f t="shared" si="3"/>
        <v>0.95254445974575297</v>
      </c>
      <c r="N13">
        <f t="shared" si="4"/>
        <v>0.95351422373589956</v>
      </c>
      <c r="O13">
        <f t="shared" si="5"/>
        <v>0.95581208345916246</v>
      </c>
      <c r="P13">
        <f t="shared" si="6"/>
        <v>0.76523412410217195</v>
      </c>
      <c r="Q13">
        <f t="shared" si="7"/>
        <v>0.78515405374350433</v>
      </c>
    </row>
    <row r="14" spans="1:17" x14ac:dyDescent="0.6">
      <c r="A14">
        <v>5</v>
      </c>
      <c r="B14" t="s">
        <v>6</v>
      </c>
      <c r="C14" t="s">
        <v>174</v>
      </c>
      <c r="D14" s="13">
        <v>7.1018774059999998</v>
      </c>
      <c r="E14">
        <v>0.27159997299999999</v>
      </c>
      <c r="F14">
        <v>5.4605311270000003</v>
      </c>
      <c r="G14">
        <v>0.40031509500000001</v>
      </c>
      <c r="H14">
        <v>4.5845947269999998</v>
      </c>
      <c r="I14">
        <v>0.34339883399999999</v>
      </c>
      <c r="J14">
        <f t="shared" si="0"/>
        <v>5.3592098349067481</v>
      </c>
      <c r="K14">
        <f t="shared" si="1"/>
        <v>2.0803431496452753</v>
      </c>
      <c r="L14">
        <f t="shared" si="2"/>
        <v>0.99296262961379489</v>
      </c>
      <c r="M14">
        <f t="shared" si="3"/>
        <v>1</v>
      </c>
      <c r="N14">
        <f t="shared" si="4"/>
        <v>0.9469018441539081</v>
      </c>
      <c r="O14">
        <f t="shared" si="5"/>
        <v>0.95090234466882329</v>
      </c>
      <c r="P14">
        <f t="shared" si="6"/>
        <v>0.76495922256155935</v>
      </c>
      <c r="Q14">
        <f t="shared" si="7"/>
        <v>0.70348379390866267</v>
      </c>
    </row>
    <row r="15" spans="1:17" x14ac:dyDescent="0.6">
      <c r="A15">
        <v>5</v>
      </c>
      <c r="B15" t="s">
        <v>6</v>
      </c>
      <c r="C15" t="s">
        <v>184</v>
      </c>
      <c r="D15" s="13">
        <v>7.176378519</v>
      </c>
      <c r="E15">
        <v>0.27840726999999998</v>
      </c>
      <c r="F15">
        <v>5.4287067100000002</v>
      </c>
      <c r="G15">
        <v>0.398591998</v>
      </c>
      <c r="H15">
        <v>4.604003906</v>
      </c>
      <c r="I15">
        <v>0.33747643500000002</v>
      </c>
      <c r="J15">
        <f t="shared" si="0"/>
        <v>5.3314696935381942</v>
      </c>
      <c r="K15">
        <f t="shared" si="1"/>
        <v>2.0571061406777189</v>
      </c>
      <c r="L15">
        <f t="shared" si="2"/>
        <v>0.93867631294113374</v>
      </c>
      <c r="M15">
        <f t="shared" si="3"/>
        <v>0.93867176625273918</v>
      </c>
      <c r="N15">
        <f t="shared" si="4"/>
        <v>0.97142412694414071</v>
      </c>
      <c r="O15">
        <f t="shared" si="5"/>
        <v>0.96933450520901732</v>
      </c>
      <c r="P15">
        <f t="shared" si="6"/>
        <v>0.75038944391175633</v>
      </c>
      <c r="Q15">
        <f t="shared" si="7"/>
        <v>0.76297353827940773</v>
      </c>
    </row>
    <row r="16" spans="1:17" x14ac:dyDescent="0.6">
      <c r="A16">
        <v>5</v>
      </c>
      <c r="B16" t="s">
        <v>92</v>
      </c>
      <c r="C16" t="s">
        <v>167</v>
      </c>
      <c r="D16">
        <v>7.2003101789999997</v>
      </c>
      <c r="E16">
        <v>0.27951829299999997</v>
      </c>
      <c r="F16">
        <v>5.502846194</v>
      </c>
      <c r="G16">
        <v>0.40349583500000002</v>
      </c>
      <c r="H16">
        <v>4.5789794920000002</v>
      </c>
      <c r="I16">
        <v>0.33384713399999999</v>
      </c>
      <c r="J16">
        <f t="shared" si="0"/>
        <v>5.2496779074663786</v>
      </c>
      <c r="K16">
        <f t="shared" si="1"/>
        <v>1.9916390037677369</v>
      </c>
      <c r="L16">
        <f t="shared" si="2"/>
        <v>0.92123816173844708</v>
      </c>
      <c r="M16">
        <f t="shared" si="3"/>
        <v>0.92866234867589748</v>
      </c>
      <c r="N16">
        <f t="shared" si="4"/>
        <v>0.91429599816899587</v>
      </c>
      <c r="O16">
        <f t="shared" si="5"/>
        <v>0.91687761459465078</v>
      </c>
      <c r="P16">
        <f t="shared" si="6"/>
        <v>0.76917437926739529</v>
      </c>
      <c r="Q16">
        <f t="shared" si="7"/>
        <v>0.79942940502099202</v>
      </c>
    </row>
    <row r="17" spans="1:17" x14ac:dyDescent="0.6">
      <c r="A17">
        <v>5</v>
      </c>
      <c r="B17" t="s">
        <v>92</v>
      </c>
      <c r="C17" t="s">
        <v>177</v>
      </c>
      <c r="D17">
        <v>7.1763460209999996</v>
      </c>
      <c r="E17">
        <v>0.27783581200000002</v>
      </c>
      <c r="F17">
        <v>5.4718112699999999</v>
      </c>
      <c r="G17">
        <v>0.40133201299999999</v>
      </c>
      <c r="H17">
        <v>4.6424560550000002</v>
      </c>
      <c r="I17">
        <v>0.33895199300000001</v>
      </c>
      <c r="J17">
        <f t="shared" si="0"/>
        <v>5.2304308629672249</v>
      </c>
      <c r="K17">
        <f t="shared" si="1"/>
        <v>1.9804946021163503</v>
      </c>
      <c r="L17">
        <f t="shared" si="2"/>
        <v>0.93869999308023777</v>
      </c>
      <c r="M17">
        <f t="shared" si="3"/>
        <v>0.94382014009344872</v>
      </c>
      <c r="N17">
        <f t="shared" si="4"/>
        <v>0.93820993766712946</v>
      </c>
      <c r="O17">
        <f t="shared" si="5"/>
        <v>0.94002425955103108</v>
      </c>
      <c r="P17">
        <f t="shared" si="6"/>
        <v>0.72152478665143416</v>
      </c>
      <c r="Q17">
        <f t="shared" si="7"/>
        <v>0.74815174592394373</v>
      </c>
    </row>
    <row r="18" spans="1:17" x14ac:dyDescent="0.6">
      <c r="A18">
        <v>5</v>
      </c>
      <c r="B18" t="s">
        <v>6</v>
      </c>
      <c r="C18" t="s">
        <v>7</v>
      </c>
      <c r="D18">
        <v>7.211831321</v>
      </c>
      <c r="E18">
        <v>0.279697639</v>
      </c>
      <c r="F18" s="13">
        <v>5.5325652940000003</v>
      </c>
      <c r="G18" s="13">
        <v>0.40542800000000001</v>
      </c>
      <c r="H18">
        <v>4.5231933590000004</v>
      </c>
      <c r="I18" s="13">
        <v>0.33638539499999998</v>
      </c>
      <c r="J18">
        <f t="shared" si="0"/>
        <v>5.2124786338003242</v>
      </c>
      <c r="K18">
        <f t="shared" si="1"/>
        <v>1.9626475899024873</v>
      </c>
      <c r="L18">
        <f t="shared" si="2"/>
        <v>0.91284311449878086</v>
      </c>
      <c r="M18">
        <f t="shared" si="3"/>
        <v>0.92704658644168936</v>
      </c>
      <c r="N18">
        <f t="shared" si="4"/>
        <v>0.89139596595564197</v>
      </c>
      <c r="O18">
        <f t="shared" si="5"/>
        <v>0.89620903037092836</v>
      </c>
      <c r="P18">
        <f t="shared" si="6"/>
        <v>0.81105104028115893</v>
      </c>
      <c r="Q18">
        <f t="shared" si="7"/>
        <v>0.77393289625212458</v>
      </c>
    </row>
    <row r="19" spans="1:17" x14ac:dyDescent="0.6">
      <c r="A19">
        <v>5</v>
      </c>
      <c r="B19" t="s">
        <v>99</v>
      </c>
      <c r="C19" t="s">
        <v>177</v>
      </c>
      <c r="D19">
        <v>7.245783716</v>
      </c>
      <c r="E19">
        <v>0.28280973700000001</v>
      </c>
      <c r="F19">
        <v>5.5456035659999996</v>
      </c>
      <c r="G19">
        <v>0.40650269300000003</v>
      </c>
      <c r="H19">
        <v>4.5252685550000002</v>
      </c>
      <c r="I19">
        <v>0.32929940200000002</v>
      </c>
      <c r="J19">
        <f t="shared" si="0"/>
        <v>5.2077786258095502</v>
      </c>
      <c r="K19">
        <f t="shared" si="1"/>
        <v>1.9577895704173791</v>
      </c>
      <c r="L19">
        <f t="shared" si="2"/>
        <v>0.88810320938131937</v>
      </c>
      <c r="M19">
        <f t="shared" si="3"/>
        <v>0.89900910348944219</v>
      </c>
      <c r="N19">
        <f t="shared" si="4"/>
        <v>0.88134933436833118</v>
      </c>
      <c r="O19">
        <f t="shared" si="5"/>
        <v>0.88471291964273202</v>
      </c>
      <c r="P19">
        <f t="shared" si="6"/>
        <v>0.80949326463413362</v>
      </c>
      <c r="Q19">
        <f t="shared" si="7"/>
        <v>0.84511079429359193</v>
      </c>
    </row>
    <row r="20" spans="1:17" x14ac:dyDescent="0.6">
      <c r="A20">
        <v>5</v>
      </c>
      <c r="B20" t="s">
        <v>6</v>
      </c>
      <c r="C20" t="s">
        <v>171</v>
      </c>
      <c r="D20" s="13">
        <v>7.2455522400000003</v>
      </c>
      <c r="E20">
        <v>0.28318028000000001</v>
      </c>
      <c r="F20" s="13">
        <v>5.5436261330000001</v>
      </c>
      <c r="G20" s="13">
        <v>0.40654590499999999</v>
      </c>
      <c r="H20">
        <v>4.4367675780000004</v>
      </c>
      <c r="I20" s="13">
        <v>0.33768952800000002</v>
      </c>
      <c r="J20">
        <f t="shared" si="0"/>
        <v>5.1878272477303602</v>
      </c>
      <c r="K20">
        <f t="shared" si="1"/>
        <v>1.9415618585780514</v>
      </c>
      <c r="L20">
        <f t="shared" si="2"/>
        <v>0.88827187772642324</v>
      </c>
      <c r="M20">
        <f t="shared" si="3"/>
        <v>0.8956708111073981</v>
      </c>
      <c r="N20">
        <f t="shared" si="4"/>
        <v>0.88287304401632649</v>
      </c>
      <c r="O20">
        <f t="shared" si="5"/>
        <v>0.8842506760654627</v>
      </c>
      <c r="P20">
        <f t="shared" si="6"/>
        <v>0.87592779260573361</v>
      </c>
      <c r="Q20">
        <f t="shared" si="7"/>
        <v>0.76083304620901615</v>
      </c>
    </row>
    <row r="21" spans="1:17" x14ac:dyDescent="0.6">
      <c r="A21">
        <v>5</v>
      </c>
      <c r="B21" t="s">
        <v>6</v>
      </c>
      <c r="C21" t="s">
        <v>181</v>
      </c>
      <c r="D21" s="13">
        <v>7.1820808359999999</v>
      </c>
      <c r="E21">
        <v>0.27845229100000002</v>
      </c>
      <c r="F21" s="13">
        <v>5.4664576150000004</v>
      </c>
      <c r="G21" s="13">
        <v>0.40104206100000001</v>
      </c>
      <c r="H21">
        <v>4.6578369139999998</v>
      </c>
      <c r="I21" s="13">
        <v>0.344629713</v>
      </c>
      <c r="J21">
        <f t="shared" si="0"/>
        <v>5.1593471968782092</v>
      </c>
      <c r="K21">
        <f t="shared" si="1"/>
        <v>1.9294516461560458</v>
      </c>
      <c r="L21">
        <f t="shared" si="2"/>
        <v>0.93452123694341138</v>
      </c>
      <c r="M21">
        <f t="shared" si="3"/>
        <v>0.93826616349858627</v>
      </c>
      <c r="N21">
        <f t="shared" si="4"/>
        <v>0.9423351928720034</v>
      </c>
      <c r="O21">
        <f t="shared" si="5"/>
        <v>0.94312590839201327</v>
      </c>
      <c r="P21">
        <f t="shared" si="6"/>
        <v>0.70997892419770436</v>
      </c>
      <c r="Q21">
        <f t="shared" si="7"/>
        <v>0.69111977097449029</v>
      </c>
    </row>
    <row r="22" spans="1:17" x14ac:dyDescent="0.6">
      <c r="A22">
        <v>5</v>
      </c>
      <c r="B22" t="s">
        <v>6</v>
      </c>
      <c r="C22" t="s">
        <v>167</v>
      </c>
      <c r="D22" s="13">
        <v>7.2259619109999997</v>
      </c>
      <c r="E22">
        <v>0.28198591099999998</v>
      </c>
      <c r="F22">
        <v>5.4821074510000001</v>
      </c>
      <c r="G22">
        <v>0.40222822600000002</v>
      </c>
      <c r="H22">
        <v>4.636230469</v>
      </c>
      <c r="I22">
        <v>0.34209811200000001</v>
      </c>
      <c r="J22">
        <f t="shared" si="0"/>
        <v>5.1124388484497318</v>
      </c>
      <c r="K22">
        <f t="shared" si="1"/>
        <v>1.8921136711497779</v>
      </c>
      <c r="L22">
        <f t="shared" si="2"/>
        <v>0.90254665512224075</v>
      </c>
      <c r="M22">
        <f t="shared" si="3"/>
        <v>0.90643110865464549</v>
      </c>
      <c r="N22">
        <f t="shared" si="4"/>
        <v>0.93027622242761943</v>
      </c>
      <c r="O22">
        <f t="shared" si="5"/>
        <v>0.93043736926324727</v>
      </c>
      <c r="P22">
        <f t="shared" si="6"/>
        <v>0.72619811209118179</v>
      </c>
      <c r="Q22">
        <f t="shared" si="7"/>
        <v>0.71654938089079667</v>
      </c>
    </row>
    <row r="23" spans="1:17" x14ac:dyDescent="0.6">
      <c r="A23">
        <v>5</v>
      </c>
      <c r="B23" t="s">
        <v>92</v>
      </c>
      <c r="C23" t="s">
        <v>171</v>
      </c>
      <c r="D23">
        <v>7.3180839579999999</v>
      </c>
      <c r="E23">
        <v>0.288439891</v>
      </c>
      <c r="F23">
        <v>5.6063993380000001</v>
      </c>
      <c r="G23">
        <v>0.410949332</v>
      </c>
      <c r="H23">
        <v>4.5218505860000002</v>
      </c>
      <c r="I23">
        <v>0.33376193199999998</v>
      </c>
      <c r="J23">
        <f t="shared" si="0"/>
        <v>4.9677007453563418</v>
      </c>
      <c r="K23">
        <f t="shared" si="1"/>
        <v>1.781172074884686</v>
      </c>
      <c r="L23">
        <f t="shared" si="2"/>
        <v>0.83542058928781782</v>
      </c>
      <c r="M23">
        <f t="shared" si="3"/>
        <v>0.84828597497821734</v>
      </c>
      <c r="N23">
        <f t="shared" si="4"/>
        <v>0.83450319376394833</v>
      </c>
      <c r="O23">
        <f t="shared" si="5"/>
        <v>0.83714672696043579</v>
      </c>
      <c r="P23">
        <f t="shared" si="6"/>
        <v>0.81205901209629516</v>
      </c>
      <c r="Q23">
        <f t="shared" si="7"/>
        <v>0.80028524826962766</v>
      </c>
    </row>
    <row r="24" spans="1:17" x14ac:dyDescent="0.6">
      <c r="A24">
        <v>5</v>
      </c>
      <c r="B24" t="s">
        <v>99</v>
      </c>
      <c r="C24" t="s">
        <v>184</v>
      </c>
      <c r="D24">
        <v>7.2530679109999996</v>
      </c>
      <c r="E24">
        <v>0.283716248</v>
      </c>
      <c r="F24">
        <v>5.5204914309999999</v>
      </c>
      <c r="G24">
        <v>0.40481444799999999</v>
      </c>
      <c r="H24">
        <v>4.6929931639999998</v>
      </c>
      <c r="I24">
        <v>0.343381679</v>
      </c>
      <c r="J24">
        <f t="shared" si="0"/>
        <v>4.9643538802683969</v>
      </c>
      <c r="K24">
        <f t="shared" si="1"/>
        <v>1.7845575923970061</v>
      </c>
      <c r="L24">
        <f t="shared" si="2"/>
        <v>0.88279547503276823</v>
      </c>
      <c r="M24">
        <f t="shared" si="3"/>
        <v>0.89084217342858796</v>
      </c>
      <c r="N24">
        <f t="shared" si="4"/>
        <v>0.90069947284648411</v>
      </c>
      <c r="O24">
        <f t="shared" si="5"/>
        <v>0.90277226445685466</v>
      </c>
      <c r="P24">
        <f t="shared" si="6"/>
        <v>0.68358838080289452</v>
      </c>
      <c r="Q24">
        <f t="shared" si="7"/>
        <v>0.70365611370080772</v>
      </c>
    </row>
    <row r="25" spans="1:17" x14ac:dyDescent="0.6">
      <c r="A25">
        <v>5</v>
      </c>
      <c r="B25" t="s">
        <v>9</v>
      </c>
      <c r="C25" t="s">
        <v>184</v>
      </c>
      <c r="D25">
        <v>7.3245217519999999</v>
      </c>
      <c r="E25">
        <v>0.28909242499999999</v>
      </c>
      <c r="F25" s="13">
        <v>5.5709968339999998</v>
      </c>
      <c r="G25" s="13">
        <v>0.40837718299999998</v>
      </c>
      <c r="H25">
        <v>4.6185302730000002</v>
      </c>
      <c r="I25">
        <v>0.34320772100000002</v>
      </c>
      <c r="J25">
        <f t="shared" si="0"/>
        <v>4.8444691475134691</v>
      </c>
      <c r="K25">
        <f t="shared" si="1"/>
        <v>1.6965322358983685</v>
      </c>
      <c r="L25">
        <f t="shared" si="2"/>
        <v>0.8307295973054919</v>
      </c>
      <c r="M25">
        <f t="shared" si="3"/>
        <v>0.84240717202896531</v>
      </c>
      <c r="N25">
        <f t="shared" si="4"/>
        <v>0.8617825690489801</v>
      </c>
      <c r="O25">
        <f t="shared" si="5"/>
        <v>0.86466129131827496</v>
      </c>
      <c r="P25">
        <f t="shared" si="6"/>
        <v>0.73948501813590028</v>
      </c>
      <c r="Q25">
        <f t="shared" si="7"/>
        <v>0.70540349967585669</v>
      </c>
    </row>
    <row r="26" spans="1:17" x14ac:dyDescent="0.6">
      <c r="A26">
        <v>5</v>
      </c>
      <c r="B26" t="s">
        <v>99</v>
      </c>
      <c r="C26" t="s">
        <v>181</v>
      </c>
      <c r="D26">
        <v>7.3164643829999996</v>
      </c>
      <c r="E26">
        <v>0.28857901899999999</v>
      </c>
      <c r="F26">
        <v>5.5876005099999997</v>
      </c>
      <c r="G26">
        <v>0.40965368699999999</v>
      </c>
      <c r="H26">
        <v>4.7071533199999998</v>
      </c>
      <c r="I26">
        <v>0.350443748</v>
      </c>
      <c r="J26">
        <f t="shared" si="0"/>
        <v>4.6893056499124928</v>
      </c>
      <c r="K26">
        <f t="shared" si="1"/>
        <v>1.5926477178383232</v>
      </c>
      <c r="L26">
        <f t="shared" si="2"/>
        <v>0.83660071610451581</v>
      </c>
      <c r="M26">
        <f t="shared" si="3"/>
        <v>0.84703254435740138</v>
      </c>
      <c r="N26">
        <f t="shared" si="4"/>
        <v>0.84898861784386004</v>
      </c>
      <c r="O26">
        <f t="shared" si="5"/>
        <v>0.85100638584388799</v>
      </c>
      <c r="P26">
        <f t="shared" si="6"/>
        <v>0.67295885656765109</v>
      </c>
      <c r="Q26">
        <f t="shared" si="7"/>
        <v>0.63271852919517657</v>
      </c>
    </row>
    <row r="27" spans="1:17" x14ac:dyDescent="0.6">
      <c r="A27">
        <v>5</v>
      </c>
      <c r="B27" t="s">
        <v>9</v>
      </c>
      <c r="C27" t="s">
        <v>8</v>
      </c>
      <c r="D27">
        <v>7.4566945310000001</v>
      </c>
      <c r="E27">
        <v>0.29974140100000002</v>
      </c>
      <c r="F27" s="13">
        <v>5.6596484159999996</v>
      </c>
      <c r="G27" s="13">
        <v>0.414828003</v>
      </c>
      <c r="H27">
        <v>4.5623779300000002</v>
      </c>
      <c r="I27" s="13">
        <v>0.33639218500000001</v>
      </c>
      <c r="J27">
        <f t="shared" si="0"/>
        <v>4.6255180817503652</v>
      </c>
      <c r="K27">
        <f t="shared" si="1"/>
        <v>1.5445524030744804</v>
      </c>
      <c r="L27">
        <f t="shared" si="2"/>
        <v>0.73441998463836755</v>
      </c>
      <c r="M27">
        <f t="shared" si="3"/>
        <v>0.74646852129917152</v>
      </c>
      <c r="N27">
        <f t="shared" si="4"/>
        <v>0.7934721530685247</v>
      </c>
      <c r="O27">
        <f t="shared" si="5"/>
        <v>0.7956561512385848</v>
      </c>
      <c r="P27">
        <f t="shared" si="6"/>
        <v>0.78163657993961211</v>
      </c>
      <c r="Q27">
        <f t="shared" si="7"/>
        <v>0.77386469156610471</v>
      </c>
    </row>
    <row r="28" spans="1:17" x14ac:dyDescent="0.6">
      <c r="A28">
        <v>5</v>
      </c>
      <c r="B28" t="s">
        <v>9</v>
      </c>
      <c r="C28" t="s">
        <v>171</v>
      </c>
      <c r="D28">
        <v>7.555311992</v>
      </c>
      <c r="E28">
        <v>0.306399427</v>
      </c>
      <c r="F28" s="13">
        <v>5.8581225899999998</v>
      </c>
      <c r="G28" s="13">
        <v>0.42890978600000002</v>
      </c>
      <c r="H28">
        <v>4.682617188</v>
      </c>
      <c r="I28" s="13">
        <v>0.34415055300000003</v>
      </c>
      <c r="J28">
        <f t="shared" si="0"/>
        <v>4.0219159315647763</v>
      </c>
      <c r="K28">
        <f t="shared" si="1"/>
        <v>1.167368655868722</v>
      </c>
      <c r="L28">
        <f t="shared" si="2"/>
        <v>0.66256094117280484</v>
      </c>
      <c r="M28">
        <f t="shared" si="3"/>
        <v>0.68648509838941174</v>
      </c>
      <c r="N28">
        <f t="shared" si="4"/>
        <v>0.64053801380728359</v>
      </c>
      <c r="O28">
        <f t="shared" si="5"/>
        <v>0.64502174995521366</v>
      </c>
      <c r="P28">
        <f t="shared" si="6"/>
        <v>0.69137725603536382</v>
      </c>
      <c r="Q28">
        <f t="shared" si="7"/>
        <v>0.69593287220469868</v>
      </c>
    </row>
    <row r="29" spans="1:17" x14ac:dyDescent="0.6">
      <c r="A29">
        <v>5</v>
      </c>
      <c r="B29" t="s">
        <v>9</v>
      </c>
      <c r="C29" t="s">
        <v>174</v>
      </c>
      <c r="D29">
        <v>7.5260731209999996</v>
      </c>
      <c r="E29">
        <v>0.30478380700000002</v>
      </c>
      <c r="F29" s="13">
        <v>5.8091787359999998</v>
      </c>
      <c r="G29" s="13">
        <v>0.42566166300000002</v>
      </c>
      <c r="H29">
        <v>4.993164063</v>
      </c>
      <c r="I29" s="13">
        <v>0.36733003600000003</v>
      </c>
      <c r="J29">
        <f t="shared" si="0"/>
        <v>3.6642844498474649</v>
      </c>
      <c r="K29">
        <f t="shared" si="1"/>
        <v>0.97704142499303215</v>
      </c>
      <c r="L29">
        <f t="shared" si="2"/>
        <v>0.68386626865505484</v>
      </c>
      <c r="M29">
        <f t="shared" si="3"/>
        <v>0.70104052633779546</v>
      </c>
      <c r="N29">
        <f t="shared" si="4"/>
        <v>0.67825166708903428</v>
      </c>
      <c r="O29">
        <f t="shared" si="5"/>
        <v>0.67976728348599924</v>
      </c>
      <c r="P29">
        <f t="shared" si="6"/>
        <v>0.45826078938121012</v>
      </c>
      <c r="Q29">
        <f t="shared" si="7"/>
        <v>0.46309791489837115</v>
      </c>
    </row>
    <row r="30" spans="1:17" x14ac:dyDescent="0.6">
      <c r="A30">
        <v>5</v>
      </c>
      <c r="B30" t="s">
        <v>9</v>
      </c>
      <c r="C30" t="s">
        <v>181</v>
      </c>
      <c r="D30">
        <v>7.815356467</v>
      </c>
      <c r="E30">
        <v>0.326656057</v>
      </c>
      <c r="F30" s="13">
        <v>6.0984082239999999</v>
      </c>
      <c r="G30" s="13">
        <v>0.44620880000000002</v>
      </c>
      <c r="H30">
        <v>4.8770751949999998</v>
      </c>
      <c r="I30">
        <v>0.35800665100000001</v>
      </c>
      <c r="J30">
        <f t="shared" si="0"/>
        <v>2.9945780745706996</v>
      </c>
      <c r="K30">
        <f t="shared" si="1"/>
        <v>0.64748813798898741</v>
      </c>
      <c r="L30">
        <f t="shared" si="2"/>
        <v>0.47307576235640375</v>
      </c>
      <c r="M30">
        <f t="shared" si="3"/>
        <v>0.50398926493719465</v>
      </c>
      <c r="N30">
        <f t="shared" si="4"/>
        <v>0.45538608259112656</v>
      </c>
      <c r="O30">
        <f t="shared" si="5"/>
        <v>0.45997227030603477</v>
      </c>
      <c r="P30">
        <f t="shared" si="6"/>
        <v>0.5454045634927368</v>
      </c>
      <c r="Q30">
        <f t="shared" si="7"/>
        <v>0.55675013088720315</v>
      </c>
    </row>
    <row r="31" spans="1:17" x14ac:dyDescent="0.6">
      <c r="A31">
        <v>5</v>
      </c>
      <c r="B31" t="s">
        <v>9</v>
      </c>
      <c r="C31" t="s">
        <v>7</v>
      </c>
      <c r="D31">
        <v>7.9057553230000002</v>
      </c>
      <c r="E31">
        <v>0.33435530600000002</v>
      </c>
      <c r="F31">
        <v>6.2034996659999999</v>
      </c>
      <c r="G31">
        <v>0.45389565399999998</v>
      </c>
      <c r="H31">
        <v>4.7145996090000004</v>
      </c>
      <c r="I31">
        <v>0.349579321</v>
      </c>
      <c r="J31">
        <f t="shared" si="0"/>
        <v>2.9027544524595412</v>
      </c>
      <c r="K31">
        <f t="shared" si="1"/>
        <v>0.61594711217442311</v>
      </c>
      <c r="L31">
        <f t="shared" si="2"/>
        <v>0.40720532464009335</v>
      </c>
      <c r="M31">
        <f t="shared" si="3"/>
        <v>0.4346252659298992</v>
      </c>
      <c r="N31">
        <f t="shared" si="4"/>
        <v>0.37440794371250036</v>
      </c>
      <c r="O31">
        <f t="shared" si="5"/>
        <v>0.3777451368498041</v>
      </c>
      <c r="P31">
        <f t="shared" si="6"/>
        <v>0.66736919290941643</v>
      </c>
      <c r="Q31">
        <f t="shared" si="7"/>
        <v>0.64140158841782779</v>
      </c>
    </row>
    <row r="32" spans="1:17" x14ac:dyDescent="0.6">
      <c r="A32">
        <v>5</v>
      </c>
      <c r="B32" t="s">
        <v>92</v>
      </c>
      <c r="C32" t="s">
        <v>7</v>
      </c>
      <c r="D32">
        <v>7.942977</v>
      </c>
      <c r="E32">
        <v>0.3372</v>
      </c>
      <c r="F32">
        <v>6.1162039999999998</v>
      </c>
      <c r="G32">
        <v>0.44723200000000002</v>
      </c>
      <c r="H32">
        <v>5.09314</v>
      </c>
      <c r="I32">
        <v>0.36770399999999998</v>
      </c>
      <c r="J32">
        <f t="shared" si="0"/>
        <v>2.5223345439113425</v>
      </c>
      <c r="K32">
        <f t="shared" si="1"/>
        <v>0.45774005257232564</v>
      </c>
      <c r="L32">
        <f t="shared" si="2"/>
        <v>0.38008320977035315</v>
      </c>
      <c r="M32">
        <f t="shared" si="3"/>
        <v>0.40899687648671357</v>
      </c>
      <c r="N32">
        <f t="shared" si="4"/>
        <v>0.44167355954495019</v>
      </c>
      <c r="O32">
        <f t="shared" si="5"/>
        <v>0.44902698593450702</v>
      </c>
      <c r="P32">
        <f t="shared" si="6"/>
        <v>0.38321241807211787</v>
      </c>
      <c r="Q32">
        <f t="shared" si="7"/>
        <v>0.45934149410270059</v>
      </c>
    </row>
    <row r="33" spans="1:17" x14ac:dyDescent="0.6">
      <c r="A33">
        <v>5</v>
      </c>
      <c r="B33" t="s">
        <v>9</v>
      </c>
      <c r="C33" t="s">
        <v>167</v>
      </c>
      <c r="D33">
        <v>8.4645931989999994</v>
      </c>
      <c r="E33">
        <v>0.38259774000000002</v>
      </c>
      <c r="F33" s="13">
        <v>6.6893971099999998</v>
      </c>
      <c r="G33" s="13">
        <v>0.48920847099999998</v>
      </c>
      <c r="H33">
        <v>5.6036376949999998</v>
      </c>
      <c r="I33" s="13">
        <v>0.41343295099999999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  <c r="P33">
        <f t="shared" si="6"/>
        <v>0</v>
      </c>
      <c r="Q33">
        <f t="shared" si="7"/>
        <v>0</v>
      </c>
    </row>
  </sheetData>
  <autoFilter ref="A1:P33" xr:uid="{7428AB68-54D6-4E57-B51C-3C52895577F3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68" priority="6" percent="1" bottom="1" rank="5"/>
  </conditionalFormatting>
  <conditionalFormatting sqref="D1:K1">
    <cfRule type="top10" dxfId="67" priority="66" percent="1" bottom="1" rank="10"/>
  </conditionalFormatting>
  <conditionalFormatting sqref="E1:E1048576">
    <cfRule type="top10" dxfId="66" priority="5" percent="1" bottom="1" rank="5"/>
  </conditionalFormatting>
  <conditionalFormatting sqref="F1:F1048576">
    <cfRule type="top10" dxfId="65" priority="4" percent="1" bottom="1" rank="5"/>
  </conditionalFormatting>
  <conditionalFormatting sqref="G1:G1048576">
    <cfRule type="top10" dxfId="64" priority="3" percent="1" bottom="1" rank="5"/>
  </conditionalFormatting>
  <conditionalFormatting sqref="H1:H1048576">
    <cfRule type="top10" dxfId="63" priority="2" percent="1" bottom="1" rank="5"/>
  </conditionalFormatting>
  <conditionalFormatting sqref="K1 I1:J1048576">
    <cfRule type="top10" dxfId="62" priority="68" percent="1" bottom="1" rank="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Q33"/>
  <sheetViews>
    <sheetView workbookViewId="0">
      <selection activeCell="B6" sqref="B6:I6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533</v>
      </c>
      <c r="K1" t="s">
        <v>528</v>
      </c>
    </row>
    <row r="2" spans="1:17" x14ac:dyDescent="0.6">
      <c r="A2">
        <v>10</v>
      </c>
      <c r="B2" t="s">
        <v>6</v>
      </c>
      <c r="C2" t="s">
        <v>177</v>
      </c>
      <c r="D2" s="13">
        <v>7.1317229129999999</v>
      </c>
      <c r="E2">
        <v>0.27480635199999998</v>
      </c>
      <c r="F2" s="13">
        <v>5.4402314580000004</v>
      </c>
      <c r="G2" s="13">
        <v>0.39915139199999999</v>
      </c>
      <c r="H2">
        <v>4.3818969729999999</v>
      </c>
      <c r="I2" s="13">
        <v>0.32080249</v>
      </c>
      <c r="J2">
        <f t="shared" ref="J2:J33" si="0">SUM(L2:Q2)</f>
        <v>5.631339529277458</v>
      </c>
      <c r="K2">
        <f t="shared" ref="K2:K33" si="1">0.5*SIN(RADIANS(60))*((L2*M2)+(M2*N2)+(N2*O2)+(O2*P2)+(P2*Q2)+(Q2*L2))</f>
        <v>2.29007008065815</v>
      </c>
      <c r="L2">
        <f t="shared" ref="L2:L33" si="2">(MAX(D:D)-D2)/(MAX(D:D)-MIN(D:D))</f>
        <v>0.88848330297666533</v>
      </c>
      <c r="M2">
        <f t="shared" ref="M2:M33" si="3">(MAX(E:E)-E2)/(MAX(E:E)-MIN(E:E))</f>
        <v>0.87400039788237804</v>
      </c>
      <c r="N2">
        <f t="shared" ref="N2:N33" si="4">(MAX(F:F)-F2)/(MAX(F:F)-MIN(F:F))</f>
        <v>0.93903386714390991</v>
      </c>
      <c r="O2">
        <f t="shared" ref="O2:O33" si="5">(MAX(G:G)-G2)/(MAX(G:G)-MIN(G:G))</f>
        <v>0.92982196127450478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10</v>
      </c>
      <c r="B3" t="s">
        <v>99</v>
      </c>
      <c r="C3" t="s">
        <v>184</v>
      </c>
      <c r="D3">
        <v>7.0933020459999998</v>
      </c>
      <c r="E3">
        <v>0.27127378499999999</v>
      </c>
      <c r="F3">
        <v>5.4057876450000002</v>
      </c>
      <c r="G3">
        <v>0.39638479300000001</v>
      </c>
      <c r="H3">
        <v>4.5213012700000004</v>
      </c>
      <c r="I3">
        <v>0.32774827400000001</v>
      </c>
      <c r="J3">
        <f t="shared" si="0"/>
        <v>5.467928969690079</v>
      </c>
      <c r="K3">
        <f t="shared" si="1"/>
        <v>2.1589608803024047</v>
      </c>
      <c r="L3">
        <f t="shared" si="2"/>
        <v>0.93266897907793878</v>
      </c>
      <c r="M3">
        <f t="shared" si="3"/>
        <v>0.92655203768484329</v>
      </c>
      <c r="N3">
        <f t="shared" si="4"/>
        <v>0.98234996057678325</v>
      </c>
      <c r="O3">
        <f t="shared" si="5"/>
        <v>0.9782889016097277</v>
      </c>
      <c r="P3">
        <f t="shared" si="6"/>
        <v>0.78578127913818729</v>
      </c>
      <c r="Q3">
        <f t="shared" si="7"/>
        <v>0.8622878116025986</v>
      </c>
    </row>
    <row r="4" spans="1:17" x14ac:dyDescent="0.6">
      <c r="A4">
        <v>10</v>
      </c>
      <c r="B4" t="s">
        <v>99</v>
      </c>
      <c r="C4" t="s">
        <v>171</v>
      </c>
      <c r="D4">
        <v>7.1364558499999999</v>
      </c>
      <c r="E4">
        <v>0.274404969</v>
      </c>
      <c r="F4">
        <v>5.477234427</v>
      </c>
      <c r="G4">
        <v>0.40156658099999998</v>
      </c>
      <c r="H4">
        <v>4.4888916019999998</v>
      </c>
      <c r="I4">
        <v>0.32502688800000001</v>
      </c>
      <c r="J4">
        <f t="shared" si="0"/>
        <v>5.294850684353162</v>
      </c>
      <c r="K4">
        <f t="shared" si="1"/>
        <v>2.0225146103499956</v>
      </c>
      <c r="L4">
        <f t="shared" si="2"/>
        <v>0.88304021859000292</v>
      </c>
      <c r="M4">
        <f t="shared" si="3"/>
        <v>0.87997150468341867</v>
      </c>
      <c r="N4">
        <f t="shared" si="4"/>
        <v>0.89249941224782492</v>
      </c>
      <c r="O4">
        <f t="shared" si="5"/>
        <v>0.88751123205018023</v>
      </c>
      <c r="P4">
        <f t="shared" si="6"/>
        <v>0.83558431801091393</v>
      </c>
      <c r="Q4">
        <f t="shared" si="7"/>
        <v>0.91624399877082163</v>
      </c>
    </row>
    <row r="5" spans="1:17" x14ac:dyDescent="0.6">
      <c r="A5">
        <v>10</v>
      </c>
      <c r="B5" t="s">
        <v>92</v>
      </c>
      <c r="C5" t="s">
        <v>177</v>
      </c>
      <c r="D5">
        <v>7.1431431080000003</v>
      </c>
      <c r="E5">
        <v>0.27378740699999998</v>
      </c>
      <c r="F5">
        <v>5.5197159759999996</v>
      </c>
      <c r="G5">
        <v>0.40412142600000001</v>
      </c>
      <c r="H5">
        <v>4.4171752929999997</v>
      </c>
      <c r="I5">
        <v>0.32674482700000002</v>
      </c>
      <c r="J5">
        <f t="shared" si="0"/>
        <v>5.2743089010990651</v>
      </c>
      <c r="K5">
        <f t="shared" si="1"/>
        <v>2.0070890597100748</v>
      </c>
      <c r="L5">
        <f t="shared" si="2"/>
        <v>0.87534957964649174</v>
      </c>
      <c r="M5">
        <f t="shared" si="3"/>
        <v>0.88915856207813782</v>
      </c>
      <c r="N5">
        <f t="shared" si="4"/>
        <v>0.83907516605135524</v>
      </c>
      <c r="O5">
        <f t="shared" si="5"/>
        <v>0.84275392526999815</v>
      </c>
      <c r="P5">
        <f t="shared" si="6"/>
        <v>0.94578878307780123</v>
      </c>
      <c r="Q5">
        <f t="shared" si="7"/>
        <v>0.8821828849752813</v>
      </c>
    </row>
    <row r="6" spans="1:17" x14ac:dyDescent="0.6">
      <c r="A6">
        <v>10</v>
      </c>
      <c r="B6" t="s">
        <v>99</v>
      </c>
      <c r="C6" t="s">
        <v>177</v>
      </c>
      <c r="D6">
        <v>7.0347555570000004</v>
      </c>
      <c r="E6">
        <v>0.26633654899999998</v>
      </c>
      <c r="F6">
        <v>5.4116259549999999</v>
      </c>
      <c r="G6">
        <v>0.39669362699999999</v>
      </c>
      <c r="H6">
        <v>4.5540771480000002</v>
      </c>
      <c r="I6">
        <v>0.34145180400000003</v>
      </c>
      <c r="J6">
        <f t="shared" si="0"/>
        <v>5.2738934489698561</v>
      </c>
      <c r="K6">
        <f t="shared" si="1"/>
        <v>2.0195555449706037</v>
      </c>
      <c r="L6">
        <f t="shared" si="2"/>
        <v>1</v>
      </c>
      <c r="M6">
        <f t="shared" si="3"/>
        <v>1</v>
      </c>
      <c r="N6">
        <f t="shared" si="4"/>
        <v>0.97500777748427658</v>
      </c>
      <c r="O6">
        <f t="shared" si="5"/>
        <v>0.97287856239848414</v>
      </c>
      <c r="P6">
        <f t="shared" si="6"/>
        <v>0.7354154955046831</v>
      </c>
      <c r="Q6">
        <f t="shared" si="7"/>
        <v>0.5905916135824123</v>
      </c>
    </row>
    <row r="7" spans="1:17" x14ac:dyDescent="0.6">
      <c r="A7">
        <v>10</v>
      </c>
      <c r="B7" t="s">
        <v>92</v>
      </c>
      <c r="C7" t="s">
        <v>171</v>
      </c>
      <c r="D7">
        <v>7.0525043959999998</v>
      </c>
      <c r="E7">
        <v>0.26778474400000002</v>
      </c>
      <c r="F7">
        <v>5.3917527999999999</v>
      </c>
      <c r="G7">
        <v>0.395145476</v>
      </c>
      <c r="H7">
        <v>4.6395263670000002</v>
      </c>
      <c r="I7">
        <v>0.33735504100000002</v>
      </c>
      <c r="J7">
        <f t="shared" si="0"/>
        <v>5.2339693079277154</v>
      </c>
      <c r="K7">
        <f t="shared" si="1"/>
        <v>1.9940244513495071</v>
      </c>
      <c r="L7">
        <f t="shared" si="2"/>
        <v>0.97958805949830285</v>
      </c>
      <c r="M7">
        <f t="shared" si="3"/>
        <v>0.97845617025700182</v>
      </c>
      <c r="N7">
        <f t="shared" si="4"/>
        <v>1</v>
      </c>
      <c r="O7">
        <f t="shared" si="5"/>
        <v>1</v>
      </c>
      <c r="P7">
        <f t="shared" si="6"/>
        <v>0.60410804812506003</v>
      </c>
      <c r="Q7">
        <f t="shared" si="7"/>
        <v>0.67181703004735027</v>
      </c>
    </row>
    <row r="8" spans="1:17" x14ac:dyDescent="0.6">
      <c r="A8">
        <v>10</v>
      </c>
      <c r="B8" t="s">
        <v>6</v>
      </c>
      <c r="C8" t="s">
        <v>167</v>
      </c>
      <c r="D8" s="13">
        <v>7.0570886359999996</v>
      </c>
      <c r="E8">
        <v>0.26787085999999999</v>
      </c>
      <c r="F8">
        <v>5.4104095729999999</v>
      </c>
      <c r="G8">
        <v>0.39643145400000002</v>
      </c>
      <c r="H8">
        <v>4.6129760739999996</v>
      </c>
      <c r="I8">
        <v>0.33730529599999998</v>
      </c>
      <c r="J8">
        <f t="shared" si="0"/>
        <v>5.2232104717156611</v>
      </c>
      <c r="K8">
        <f t="shared" si="1"/>
        <v>1.983483935949097</v>
      </c>
      <c r="L8">
        <f t="shared" si="2"/>
        <v>0.9743159831599294</v>
      </c>
      <c r="M8">
        <f t="shared" si="3"/>
        <v>0.9771750800432204</v>
      </c>
      <c r="N8">
        <f t="shared" si="4"/>
        <v>0.97653748374420957</v>
      </c>
      <c r="O8">
        <f t="shared" si="5"/>
        <v>0.97747146623041115</v>
      </c>
      <c r="P8">
        <f t="shared" si="6"/>
        <v>0.64490714777524116</v>
      </c>
      <c r="Q8">
        <f t="shared" si="7"/>
        <v>0.67280331076264965</v>
      </c>
    </row>
    <row r="9" spans="1:17" x14ac:dyDescent="0.6">
      <c r="A9">
        <v>10</v>
      </c>
      <c r="B9" t="s">
        <v>6</v>
      </c>
      <c r="C9" t="s">
        <v>171</v>
      </c>
      <c r="D9">
        <v>7.118390496</v>
      </c>
      <c r="E9">
        <v>0.27302164499999998</v>
      </c>
      <c r="F9">
        <v>5.4122206430000004</v>
      </c>
      <c r="G9">
        <v>0.39672678099999997</v>
      </c>
      <c r="H9">
        <v>4.5758056639999998</v>
      </c>
      <c r="I9">
        <v>0.333067748</v>
      </c>
      <c r="J9">
        <f t="shared" si="0"/>
        <v>5.209770033836751</v>
      </c>
      <c r="K9">
        <f t="shared" si="1"/>
        <v>1.9643553216989758</v>
      </c>
      <c r="L9">
        <f t="shared" si="2"/>
        <v>0.90381616517389551</v>
      </c>
      <c r="M9">
        <f t="shared" si="3"/>
        <v>0.90055029188776803</v>
      </c>
      <c r="N9">
        <f t="shared" si="4"/>
        <v>0.9742599055523441</v>
      </c>
      <c r="O9">
        <f t="shared" si="5"/>
        <v>0.97229775074494385</v>
      </c>
      <c r="P9">
        <f t="shared" si="6"/>
        <v>0.70202588697815882</v>
      </c>
      <c r="Q9">
        <f t="shared" si="7"/>
        <v>0.75682003349964055</v>
      </c>
    </row>
    <row r="10" spans="1:17" x14ac:dyDescent="0.6">
      <c r="A10">
        <v>10</v>
      </c>
      <c r="B10" t="s">
        <v>92</v>
      </c>
      <c r="C10" t="s">
        <v>184</v>
      </c>
      <c r="D10">
        <v>7.1144293689999998</v>
      </c>
      <c r="E10">
        <v>0.27191211599999998</v>
      </c>
      <c r="F10">
        <v>5.4626734910000003</v>
      </c>
      <c r="G10">
        <v>0.400141688</v>
      </c>
      <c r="H10">
        <v>4.5383300780000004</v>
      </c>
      <c r="I10">
        <v>0.33446566799999999</v>
      </c>
      <c r="J10">
        <f t="shared" si="0"/>
        <v>5.1374294989765499</v>
      </c>
      <c r="K10">
        <f t="shared" si="1"/>
        <v>1.9089992209095197</v>
      </c>
      <c r="L10">
        <f t="shared" si="2"/>
        <v>0.90837163433126811</v>
      </c>
      <c r="M10">
        <f t="shared" si="3"/>
        <v>0.91705601374906309</v>
      </c>
      <c r="N10">
        <f t="shared" si="4"/>
        <v>0.91081105690360298</v>
      </c>
      <c r="O10">
        <f t="shared" si="5"/>
        <v>0.91247336209326801</v>
      </c>
      <c r="P10">
        <f t="shared" si="6"/>
        <v>0.75961358168506365</v>
      </c>
      <c r="Q10">
        <f t="shared" si="7"/>
        <v>0.72910385021428437</v>
      </c>
    </row>
    <row r="11" spans="1:17" x14ac:dyDescent="0.6">
      <c r="A11">
        <v>10</v>
      </c>
      <c r="B11" t="s">
        <v>9</v>
      </c>
      <c r="C11" t="s">
        <v>184</v>
      </c>
      <c r="D11">
        <v>7.2017669529999999</v>
      </c>
      <c r="E11">
        <v>0.278693409</v>
      </c>
      <c r="F11" s="13">
        <v>5.5002295569999999</v>
      </c>
      <c r="G11" s="13">
        <v>0.402959601</v>
      </c>
      <c r="H11">
        <v>4.4947509769999998</v>
      </c>
      <c r="I11" s="13">
        <v>0.32732746899999998</v>
      </c>
      <c r="J11">
        <f t="shared" si="0"/>
        <v>5.0480047275511462</v>
      </c>
      <c r="K11">
        <f t="shared" si="1"/>
        <v>1.8386115957979159</v>
      </c>
      <c r="L11">
        <f t="shared" si="2"/>
        <v>0.8079295959438535</v>
      </c>
      <c r="M11">
        <f t="shared" si="3"/>
        <v>0.81617524711930578</v>
      </c>
      <c r="N11">
        <f t="shared" si="4"/>
        <v>0.86358103437888623</v>
      </c>
      <c r="O11">
        <f t="shared" si="5"/>
        <v>0.86310747233445206</v>
      </c>
      <c r="P11">
        <f t="shared" si="6"/>
        <v>0.82658037878836843</v>
      </c>
      <c r="Q11">
        <f t="shared" si="7"/>
        <v>0.87063099898627938</v>
      </c>
    </row>
    <row r="12" spans="1:17" x14ac:dyDescent="0.6">
      <c r="A12">
        <v>10</v>
      </c>
      <c r="B12" t="s">
        <v>99</v>
      </c>
      <c r="C12" t="s">
        <v>174</v>
      </c>
      <c r="D12">
        <v>7.150513235</v>
      </c>
      <c r="E12">
        <v>0.27492379300000003</v>
      </c>
      <c r="F12">
        <v>5.4828005089999996</v>
      </c>
      <c r="G12">
        <v>0.40173450700000002</v>
      </c>
      <c r="H12">
        <v>4.5423583980000002</v>
      </c>
      <c r="I12">
        <v>0.33483871100000001</v>
      </c>
      <c r="J12">
        <f t="shared" si="0"/>
        <v>4.9843269024117687</v>
      </c>
      <c r="K12">
        <f t="shared" si="1"/>
        <v>1.7959786822228114</v>
      </c>
      <c r="L12">
        <f t="shared" si="2"/>
        <v>0.86687361151055042</v>
      </c>
      <c r="M12">
        <f t="shared" si="3"/>
        <v>0.87225330656605082</v>
      </c>
      <c r="N12">
        <f t="shared" si="4"/>
        <v>0.885499579564753</v>
      </c>
      <c r="O12">
        <f t="shared" si="5"/>
        <v>0.88456940368158232</v>
      </c>
      <c r="P12">
        <f t="shared" si="6"/>
        <v>0.7534233739497741</v>
      </c>
      <c r="Q12">
        <f t="shared" si="7"/>
        <v>0.72170762713905856</v>
      </c>
    </row>
    <row r="13" spans="1:17" x14ac:dyDescent="0.6">
      <c r="A13">
        <v>10</v>
      </c>
      <c r="B13" t="s">
        <v>92</v>
      </c>
      <c r="C13" t="s">
        <v>167</v>
      </c>
      <c r="D13">
        <v>7.0659314550000003</v>
      </c>
      <c r="E13">
        <v>0.26829408500000002</v>
      </c>
      <c r="F13">
        <v>5.430980581</v>
      </c>
      <c r="G13">
        <v>0.39783717499999999</v>
      </c>
      <c r="H13">
        <v>4.646484375</v>
      </c>
      <c r="I13">
        <v>0.34405323500000001</v>
      </c>
      <c r="J13">
        <f t="shared" si="0"/>
        <v>4.9709678642672284</v>
      </c>
      <c r="K13">
        <f t="shared" si="1"/>
        <v>1.8056078918566469</v>
      </c>
      <c r="L13">
        <f t="shared" si="2"/>
        <v>0.96414635486507039</v>
      </c>
      <c r="M13">
        <f t="shared" si="3"/>
        <v>0.97087904439679107</v>
      </c>
      <c r="N13">
        <f t="shared" si="4"/>
        <v>0.95066765032778777</v>
      </c>
      <c r="O13">
        <f t="shared" si="5"/>
        <v>0.95284520278024398</v>
      </c>
      <c r="P13">
        <f t="shared" si="6"/>
        <v>0.59341587001016149</v>
      </c>
      <c r="Q13">
        <f t="shared" si="7"/>
        <v>0.5390137418871741</v>
      </c>
    </row>
    <row r="14" spans="1:17" x14ac:dyDescent="0.6">
      <c r="A14">
        <v>10</v>
      </c>
      <c r="B14" t="s">
        <v>6</v>
      </c>
      <c r="C14" t="s">
        <v>184</v>
      </c>
      <c r="D14" s="13">
        <v>7.1531664460000002</v>
      </c>
      <c r="E14">
        <v>0.27550402299999999</v>
      </c>
      <c r="F14">
        <v>5.4249386409999998</v>
      </c>
      <c r="G14">
        <v>0.39757794600000002</v>
      </c>
      <c r="H14">
        <v>4.6130371090000004</v>
      </c>
      <c r="I14">
        <v>0.33746517799999998</v>
      </c>
      <c r="J14">
        <f t="shared" si="0"/>
        <v>4.9575430934368354</v>
      </c>
      <c r="K14">
        <f t="shared" si="1"/>
        <v>1.7834035406007258</v>
      </c>
      <c r="L14">
        <f t="shared" si="2"/>
        <v>0.8638223029111286</v>
      </c>
      <c r="M14">
        <f t="shared" si="3"/>
        <v>0.86362161240070801</v>
      </c>
      <c r="N14">
        <f t="shared" si="4"/>
        <v>0.95826591587277332</v>
      </c>
      <c r="O14">
        <f t="shared" si="5"/>
        <v>0.9573865318547351</v>
      </c>
      <c r="P14">
        <f t="shared" si="6"/>
        <v>0.64481335698177678</v>
      </c>
      <c r="Q14">
        <f t="shared" si="7"/>
        <v>0.66963337341571327</v>
      </c>
    </row>
    <row r="15" spans="1:17" x14ac:dyDescent="0.6">
      <c r="A15">
        <v>10</v>
      </c>
      <c r="B15" t="s">
        <v>9</v>
      </c>
      <c r="C15" t="s">
        <v>7</v>
      </c>
      <c r="D15">
        <v>7.1804869379999996</v>
      </c>
      <c r="E15">
        <v>0.27834729899999999</v>
      </c>
      <c r="F15">
        <v>5.4466844410000004</v>
      </c>
      <c r="G15">
        <v>0.39956306699999999</v>
      </c>
      <c r="H15">
        <v>4.5809326170000002</v>
      </c>
      <c r="I15">
        <v>0.334844325</v>
      </c>
      <c r="J15">
        <f t="shared" si="0"/>
        <v>4.9229990688007268</v>
      </c>
      <c r="K15">
        <f t="shared" si="1"/>
        <v>1.7533174883792222</v>
      </c>
      <c r="L15">
        <f t="shared" si="2"/>
        <v>0.8324025431634009</v>
      </c>
      <c r="M15">
        <f t="shared" si="3"/>
        <v>0.82132409441704479</v>
      </c>
      <c r="N15">
        <f t="shared" si="4"/>
        <v>0.9309186792421309</v>
      </c>
      <c r="O15">
        <f t="shared" si="5"/>
        <v>0.92260999175434555</v>
      </c>
      <c r="P15">
        <f t="shared" si="6"/>
        <v>0.6941474403505149</v>
      </c>
      <c r="Q15">
        <f t="shared" si="7"/>
        <v>0.72159631987328976</v>
      </c>
    </row>
    <row r="16" spans="1:17" x14ac:dyDescent="0.6">
      <c r="A16">
        <v>10</v>
      </c>
      <c r="B16" t="s">
        <v>6</v>
      </c>
      <c r="C16" t="s">
        <v>8</v>
      </c>
      <c r="D16" s="13">
        <v>7.1650203890000004</v>
      </c>
      <c r="E16">
        <v>0.27673687499999999</v>
      </c>
      <c r="F16">
        <v>5.4374060169999998</v>
      </c>
      <c r="G16">
        <v>0.39856606700000002</v>
      </c>
      <c r="H16">
        <v>4.5518798829999998</v>
      </c>
      <c r="I16">
        <v>0.34092889700000001</v>
      </c>
      <c r="J16">
        <f t="shared" si="0"/>
        <v>4.917885309437545</v>
      </c>
      <c r="K16">
        <f t="shared" si="1"/>
        <v>1.7541076202466923</v>
      </c>
      <c r="L16">
        <f t="shared" si="2"/>
        <v>0.85018975042549716</v>
      </c>
      <c r="M16">
        <f t="shared" si="3"/>
        <v>0.84528129663776574</v>
      </c>
      <c r="N16">
        <f t="shared" si="4"/>
        <v>0.94258710517667643</v>
      </c>
      <c r="O16">
        <f t="shared" si="5"/>
        <v>0.94007603562778586</v>
      </c>
      <c r="P16">
        <f t="shared" si="6"/>
        <v>0.73879197175271805</v>
      </c>
      <c r="Q16">
        <f t="shared" si="7"/>
        <v>0.60095914981710119</v>
      </c>
    </row>
    <row r="17" spans="1:17" x14ac:dyDescent="0.6">
      <c r="A17">
        <v>10</v>
      </c>
      <c r="B17" t="s">
        <v>99</v>
      </c>
      <c r="C17" t="s">
        <v>8</v>
      </c>
      <c r="D17">
        <v>7.1114889999999997</v>
      </c>
      <c r="E17">
        <v>0.2722</v>
      </c>
      <c r="F17">
        <v>5.431991</v>
      </c>
      <c r="G17">
        <v>0.39815299999999998</v>
      </c>
      <c r="H17">
        <v>4.627014</v>
      </c>
      <c r="I17">
        <v>0.34491699999999997</v>
      </c>
      <c r="J17">
        <f t="shared" si="0"/>
        <v>4.8664594561815786</v>
      </c>
      <c r="K17">
        <f t="shared" si="1"/>
        <v>1.7276434639444398</v>
      </c>
      <c r="L17">
        <f t="shared" si="2"/>
        <v>0.91175318717993825</v>
      </c>
      <c r="M17">
        <f t="shared" si="3"/>
        <v>0.91277335576327157</v>
      </c>
      <c r="N17">
        <f t="shared" si="4"/>
        <v>0.94939696047093747</v>
      </c>
      <c r="O17">
        <f t="shared" si="5"/>
        <v>0.94731239103868992</v>
      </c>
      <c r="P17">
        <f t="shared" si="6"/>
        <v>0.62333545582608374</v>
      </c>
      <c r="Q17">
        <f t="shared" si="7"/>
        <v>0.52188810590265811</v>
      </c>
    </row>
    <row r="18" spans="1:17" x14ac:dyDescent="0.6">
      <c r="A18">
        <v>10</v>
      </c>
      <c r="B18" t="s">
        <v>99</v>
      </c>
      <c r="C18" t="s">
        <v>7</v>
      </c>
      <c r="D18">
        <v>7.2915239999999999</v>
      </c>
      <c r="E18">
        <v>0.28720000000000001</v>
      </c>
      <c r="F18">
        <v>5.5767559999999996</v>
      </c>
      <c r="G18">
        <v>0.40916400000000003</v>
      </c>
      <c r="H18">
        <v>4.4080810000000001</v>
      </c>
      <c r="I18">
        <v>0.32418999999999998</v>
      </c>
      <c r="J18">
        <f t="shared" si="0"/>
        <v>4.8086913869156183</v>
      </c>
      <c r="K18">
        <f t="shared" si="1"/>
        <v>1.6761048117536264</v>
      </c>
      <c r="L18">
        <f t="shared" si="2"/>
        <v>0.70470506937216615</v>
      </c>
      <c r="M18">
        <f t="shared" si="3"/>
        <v>0.68962837449696202</v>
      </c>
      <c r="N18">
        <f t="shared" si="4"/>
        <v>0.76734237012085471</v>
      </c>
      <c r="O18">
        <f t="shared" si="5"/>
        <v>0.75441509004525131</v>
      </c>
      <c r="P18">
        <f t="shared" si="6"/>
        <v>0.95976373116424674</v>
      </c>
      <c r="Q18">
        <f t="shared" si="7"/>
        <v>0.93283675171613767</v>
      </c>
    </row>
    <row r="19" spans="1:17" x14ac:dyDescent="0.6">
      <c r="A19">
        <v>10</v>
      </c>
      <c r="B19" t="s">
        <v>92</v>
      </c>
      <c r="C19" t="s">
        <v>7</v>
      </c>
      <c r="D19">
        <v>7.1164800000000001</v>
      </c>
      <c r="E19">
        <v>0.27200000000000002</v>
      </c>
      <c r="F19">
        <v>5.4687929999999998</v>
      </c>
      <c r="G19">
        <v>0.40054499999999998</v>
      </c>
      <c r="H19">
        <v>4.6674189999999998</v>
      </c>
      <c r="I19">
        <v>0.34352199999999999</v>
      </c>
      <c r="J19">
        <f t="shared" si="0"/>
        <v>4.7410776903783649</v>
      </c>
      <c r="K19">
        <f t="shared" si="1"/>
        <v>1.6406325605615069</v>
      </c>
      <c r="L19">
        <f t="shared" si="2"/>
        <v>0.90601331906552351</v>
      </c>
      <c r="M19">
        <f t="shared" si="3"/>
        <v>0.91574862218015529</v>
      </c>
      <c r="N19">
        <f t="shared" si="4"/>
        <v>0.90311524158817069</v>
      </c>
      <c r="O19">
        <f t="shared" si="5"/>
        <v>0.90540790062216969</v>
      </c>
      <c r="P19">
        <f t="shared" si="6"/>
        <v>0.56124621178777789</v>
      </c>
      <c r="Q19">
        <f t="shared" si="7"/>
        <v>0.54954639513456793</v>
      </c>
    </row>
    <row r="20" spans="1:17" x14ac:dyDescent="0.6">
      <c r="A20">
        <v>10</v>
      </c>
      <c r="B20" t="s">
        <v>6</v>
      </c>
      <c r="C20" t="s">
        <v>181</v>
      </c>
      <c r="D20">
        <v>7.1184178009999997</v>
      </c>
      <c r="E20">
        <v>0.27318807499999997</v>
      </c>
      <c r="F20">
        <v>5.4285737430000003</v>
      </c>
      <c r="G20">
        <v>0.39803273300000003</v>
      </c>
      <c r="H20">
        <v>4.7450561520000001</v>
      </c>
      <c r="I20">
        <v>0.34974935000000001</v>
      </c>
      <c r="J20">
        <f t="shared" si="0"/>
        <v>4.5729947017386401</v>
      </c>
      <c r="K20">
        <f t="shared" si="1"/>
        <v>1.5443769290449092</v>
      </c>
      <c r="L20">
        <f t="shared" si="2"/>
        <v>0.90378476323062518</v>
      </c>
      <c r="M20">
        <f t="shared" si="3"/>
        <v>0.89807442393895798</v>
      </c>
      <c r="N20">
        <f t="shared" si="4"/>
        <v>0.95369445864560609</v>
      </c>
      <c r="O20">
        <f t="shared" si="5"/>
        <v>0.94941930046549661</v>
      </c>
      <c r="P20">
        <f t="shared" si="6"/>
        <v>0.44194335132577839</v>
      </c>
      <c r="Q20">
        <f t="shared" si="7"/>
        <v>0.42607840413217585</v>
      </c>
    </row>
    <row r="21" spans="1:17" x14ac:dyDescent="0.6">
      <c r="A21">
        <v>10</v>
      </c>
      <c r="B21" t="s">
        <v>92</v>
      </c>
      <c r="C21" t="s">
        <v>8</v>
      </c>
      <c r="D21">
        <v>7.0868869999999999</v>
      </c>
      <c r="E21">
        <v>0.2702</v>
      </c>
      <c r="F21">
        <v>5.4353389999999999</v>
      </c>
      <c r="G21">
        <v>0.398316</v>
      </c>
      <c r="H21">
        <v>4.7739260000000003</v>
      </c>
      <c r="I21">
        <v>0.35355300000000001</v>
      </c>
      <c r="J21">
        <f t="shared" si="0"/>
        <v>4.5204603164884158</v>
      </c>
      <c r="K21">
        <f t="shared" si="1"/>
        <v>1.5216604437054337</v>
      </c>
      <c r="L21">
        <f t="shared" si="2"/>
        <v>0.94004656232536421</v>
      </c>
      <c r="M21">
        <f t="shared" si="3"/>
        <v>0.94252601993211282</v>
      </c>
      <c r="N21">
        <f t="shared" si="4"/>
        <v>0.94518655900309601</v>
      </c>
      <c r="O21">
        <f t="shared" si="5"/>
        <v>0.94445685929207879</v>
      </c>
      <c r="P21">
        <f t="shared" si="6"/>
        <v>0.39757985577273247</v>
      </c>
      <c r="Q21">
        <f t="shared" si="7"/>
        <v>0.35066446016303227</v>
      </c>
    </row>
    <row r="22" spans="1:17" x14ac:dyDescent="0.6">
      <c r="A22">
        <v>10</v>
      </c>
      <c r="B22" t="s">
        <v>92</v>
      </c>
      <c r="C22" t="s">
        <v>174</v>
      </c>
      <c r="D22">
        <v>7.2145968800000002</v>
      </c>
      <c r="E22">
        <v>0.27885130200000002</v>
      </c>
      <c r="F22">
        <v>5.5742862669999997</v>
      </c>
      <c r="G22">
        <v>0.40792730399999999</v>
      </c>
      <c r="H22">
        <v>4.6428222659999996</v>
      </c>
      <c r="I22">
        <v>0.337111353</v>
      </c>
      <c r="J22">
        <f t="shared" si="0"/>
        <v>4.4292214420157867</v>
      </c>
      <c r="K22">
        <f t="shared" si="1"/>
        <v>1.419153774666509</v>
      </c>
      <c r="L22">
        <f t="shared" si="2"/>
        <v>0.79317461920621257</v>
      </c>
      <c r="M22">
        <f t="shared" si="3"/>
        <v>0.81382637841750005</v>
      </c>
      <c r="N22">
        <f t="shared" si="4"/>
        <v>0.77044827437664198</v>
      </c>
      <c r="O22">
        <f t="shared" si="5"/>
        <v>0.77608027218578235</v>
      </c>
      <c r="P22">
        <f t="shared" si="6"/>
        <v>0.59904333144800104</v>
      </c>
      <c r="Q22">
        <f t="shared" si="7"/>
        <v>0.67664856638164872</v>
      </c>
    </row>
    <row r="23" spans="1:17" x14ac:dyDescent="0.6">
      <c r="A23">
        <v>10</v>
      </c>
      <c r="B23" t="s">
        <v>99</v>
      </c>
      <c r="C23" t="s">
        <v>181</v>
      </c>
      <c r="D23">
        <v>7.2158739809999997</v>
      </c>
      <c r="E23">
        <v>0.27892223100000002</v>
      </c>
      <c r="F23">
        <v>5.5692090060000004</v>
      </c>
      <c r="G23">
        <v>0.407560847</v>
      </c>
      <c r="H23">
        <v>4.6282958980000002</v>
      </c>
      <c r="I23">
        <v>0.34074605400000002</v>
      </c>
      <c r="J23">
        <f t="shared" si="0"/>
        <v>4.389760497478596</v>
      </c>
      <c r="K23">
        <f t="shared" si="1"/>
        <v>1.3957191310223078</v>
      </c>
      <c r="L23">
        <f t="shared" si="2"/>
        <v>0.79170589724492557</v>
      </c>
      <c r="M23">
        <f t="shared" si="3"/>
        <v>0.81277121505908423</v>
      </c>
      <c r="N23">
        <f t="shared" si="4"/>
        <v>0.77683337209677705</v>
      </c>
      <c r="O23">
        <f t="shared" si="5"/>
        <v>0.78250008566595219</v>
      </c>
      <c r="P23">
        <f t="shared" si="6"/>
        <v>0.62136559868577368</v>
      </c>
      <c r="Q23">
        <f t="shared" si="7"/>
        <v>0.60458432872608314</v>
      </c>
    </row>
    <row r="24" spans="1:17" x14ac:dyDescent="0.6">
      <c r="A24">
        <v>10</v>
      </c>
      <c r="B24" t="s">
        <v>92</v>
      </c>
      <c r="C24" t="s">
        <v>181</v>
      </c>
      <c r="D24">
        <v>7.3240493940000002</v>
      </c>
      <c r="E24">
        <v>0.28785570399999999</v>
      </c>
      <c r="F24">
        <v>5.6368057120000001</v>
      </c>
      <c r="G24">
        <v>0.41269565499999999</v>
      </c>
      <c r="H24">
        <v>4.5382690429999997</v>
      </c>
      <c r="I24">
        <v>0.33392464999999999</v>
      </c>
      <c r="J24">
        <f t="shared" si="0"/>
        <v>4.2310812591860927</v>
      </c>
      <c r="K24">
        <f t="shared" si="1"/>
        <v>1.2925550314675363</v>
      </c>
      <c r="L24">
        <f t="shared" si="2"/>
        <v>0.66729944486217496</v>
      </c>
      <c r="M24">
        <f t="shared" si="3"/>
        <v>0.67987390404387937</v>
      </c>
      <c r="N24">
        <f t="shared" si="4"/>
        <v>0.69182462951504131</v>
      </c>
      <c r="O24">
        <f t="shared" si="5"/>
        <v>0.69254543991901629</v>
      </c>
      <c r="P24">
        <f t="shared" si="6"/>
        <v>0.75970737247852793</v>
      </c>
      <c r="Q24">
        <f t="shared" si="7"/>
        <v>0.7398304683674527</v>
      </c>
    </row>
    <row r="25" spans="1:17" x14ac:dyDescent="0.6">
      <c r="A25">
        <v>10</v>
      </c>
      <c r="B25" t="s">
        <v>6</v>
      </c>
      <c r="C25" t="s">
        <v>7</v>
      </c>
      <c r="D25" s="13">
        <v>7.2635887139999999</v>
      </c>
      <c r="E25">
        <v>0.28290686100000001</v>
      </c>
      <c r="F25" s="13">
        <v>5.606741306</v>
      </c>
      <c r="G25">
        <v>0.410417223</v>
      </c>
      <c r="H25">
        <v>4.6005249020000001</v>
      </c>
      <c r="I25" s="13">
        <v>0.34298178099999999</v>
      </c>
      <c r="J25">
        <f t="shared" si="0"/>
        <v>4.176717710972075</v>
      </c>
      <c r="K25">
        <f t="shared" si="1"/>
        <v>1.2603410825700889</v>
      </c>
      <c r="L25">
        <f t="shared" si="2"/>
        <v>0.73683186908734266</v>
      </c>
      <c r="M25">
        <f t="shared" si="3"/>
        <v>0.7534945359455395</v>
      </c>
      <c r="N25">
        <f t="shared" si="4"/>
        <v>0.729633237386064</v>
      </c>
      <c r="O25">
        <f t="shared" si="5"/>
        <v>0.73246037800793462</v>
      </c>
      <c r="P25">
        <f t="shared" si="6"/>
        <v>0.66404051881523363</v>
      </c>
      <c r="Q25">
        <f t="shared" si="7"/>
        <v>0.56025717172996115</v>
      </c>
    </row>
    <row r="26" spans="1:17" x14ac:dyDescent="0.6">
      <c r="A26">
        <v>10</v>
      </c>
      <c r="B26" t="s">
        <v>6</v>
      </c>
      <c r="C26" t="s">
        <v>174</v>
      </c>
      <c r="D26" s="13">
        <v>7.266034415</v>
      </c>
      <c r="E26">
        <v>0.28537178400000002</v>
      </c>
      <c r="F26">
        <v>5.5441462420000001</v>
      </c>
      <c r="G26">
        <v>0.40684344700000002</v>
      </c>
      <c r="H26">
        <v>4.6900024409999999</v>
      </c>
      <c r="I26">
        <v>0.34720037399999998</v>
      </c>
      <c r="J26">
        <f t="shared" si="0"/>
        <v>4.0574237660581893</v>
      </c>
      <c r="K26">
        <f t="shared" si="1"/>
        <v>1.1984698211452565</v>
      </c>
      <c r="L26">
        <f t="shared" si="2"/>
        <v>0.73401920605642856</v>
      </c>
      <c r="M26">
        <f t="shared" si="3"/>
        <v>0.716825522835013</v>
      </c>
      <c r="N26">
        <f t="shared" si="4"/>
        <v>0.80835197972335027</v>
      </c>
      <c r="O26">
        <f t="shared" si="5"/>
        <v>0.79506792907097334</v>
      </c>
      <c r="P26">
        <f t="shared" si="6"/>
        <v>0.526542863700321</v>
      </c>
      <c r="Q26">
        <f t="shared" si="7"/>
        <v>0.47661626467210322</v>
      </c>
    </row>
    <row r="27" spans="1:17" x14ac:dyDescent="0.6">
      <c r="A27">
        <v>10</v>
      </c>
      <c r="B27" t="s">
        <v>9</v>
      </c>
      <c r="C27" t="s">
        <v>167</v>
      </c>
      <c r="D27">
        <v>7.2537872449999998</v>
      </c>
      <c r="E27">
        <v>0.28388472100000001</v>
      </c>
      <c r="F27" s="13">
        <v>5.5576533760000002</v>
      </c>
      <c r="G27" s="13">
        <v>0.40754601099999999</v>
      </c>
      <c r="H27">
        <v>4.7627563479999999</v>
      </c>
      <c r="I27" s="13">
        <v>0.35536452400000001</v>
      </c>
      <c r="J27">
        <f t="shared" si="0"/>
        <v>3.7906689393803994</v>
      </c>
      <c r="K27">
        <f t="shared" si="1"/>
        <v>1.0598789036055554</v>
      </c>
      <c r="L27">
        <f t="shared" si="2"/>
        <v>0.74810398677668777</v>
      </c>
      <c r="M27">
        <f t="shared" si="3"/>
        <v>0.73894756585346799</v>
      </c>
      <c r="N27">
        <f t="shared" si="4"/>
        <v>0.79136558282372871</v>
      </c>
      <c r="O27">
        <f t="shared" si="5"/>
        <v>0.7827599916106931</v>
      </c>
      <c r="P27">
        <f t="shared" si="6"/>
        <v>0.41474395053454366</v>
      </c>
      <c r="Q27">
        <f t="shared" si="7"/>
        <v>0.31474786178127795</v>
      </c>
    </row>
    <row r="28" spans="1:17" x14ac:dyDescent="0.6">
      <c r="A28">
        <v>10</v>
      </c>
      <c r="B28" t="s">
        <v>99</v>
      </c>
      <c r="C28" t="s">
        <v>167</v>
      </c>
      <c r="D28">
        <v>7.2947859069999996</v>
      </c>
      <c r="E28">
        <v>0.285315131</v>
      </c>
      <c r="F28">
        <v>5.6279102429999996</v>
      </c>
      <c r="G28">
        <v>0.41199564799999999</v>
      </c>
      <c r="H28">
        <v>4.7182006840000001</v>
      </c>
      <c r="I28">
        <v>0.349665379</v>
      </c>
      <c r="J28">
        <f t="shared" si="0"/>
        <v>3.7373967634397403</v>
      </c>
      <c r="K28">
        <f t="shared" si="1"/>
        <v>1.0176491551359079</v>
      </c>
      <c r="L28">
        <f t="shared" si="2"/>
        <v>0.70095373377178882</v>
      </c>
      <c r="M28">
        <f t="shared" si="3"/>
        <v>0.71766831167659195</v>
      </c>
      <c r="N28">
        <f t="shared" si="4"/>
        <v>0.70301145619805827</v>
      </c>
      <c r="O28">
        <f t="shared" si="5"/>
        <v>0.70480858231993482</v>
      </c>
      <c r="P28">
        <f t="shared" si="6"/>
        <v>0.48321140494327419</v>
      </c>
      <c r="Q28">
        <f t="shared" si="7"/>
        <v>0.42774327453009209</v>
      </c>
    </row>
    <row r="29" spans="1:17" x14ac:dyDescent="0.6">
      <c r="A29">
        <v>10</v>
      </c>
      <c r="B29" t="s">
        <v>9</v>
      </c>
      <c r="C29" t="s">
        <v>171</v>
      </c>
      <c r="D29">
        <v>7.4226188950000003</v>
      </c>
      <c r="E29">
        <v>0.29761907999999998</v>
      </c>
      <c r="F29" s="13">
        <v>5.6574318129999996</v>
      </c>
      <c r="G29" s="13">
        <v>0.41508323699999999</v>
      </c>
      <c r="H29">
        <v>4.7276000979999999</v>
      </c>
      <c r="I29">
        <v>0.34143272800000002</v>
      </c>
      <c r="J29">
        <f t="shared" si="0"/>
        <v>3.4649121641719338</v>
      </c>
      <c r="K29">
        <f t="shared" si="1"/>
        <v>0.86381067163079106</v>
      </c>
      <c r="L29">
        <f t="shared" si="2"/>
        <v>0.55394021107262681</v>
      </c>
      <c r="M29">
        <f t="shared" si="3"/>
        <v>0.53463068040281725</v>
      </c>
      <c r="N29">
        <f t="shared" si="4"/>
        <v>0.66588551185487233</v>
      </c>
      <c r="O29">
        <f t="shared" si="5"/>
        <v>0.65071834667584916</v>
      </c>
      <c r="P29">
        <f t="shared" si="6"/>
        <v>0.46876758586981654</v>
      </c>
      <c r="Q29">
        <f t="shared" si="7"/>
        <v>0.59096982829595213</v>
      </c>
    </row>
    <row r="30" spans="1:17" x14ac:dyDescent="0.6">
      <c r="A30">
        <v>10</v>
      </c>
      <c r="B30" t="s">
        <v>9</v>
      </c>
      <c r="C30" t="s">
        <v>174</v>
      </c>
      <c r="D30">
        <v>7.3395361899999996</v>
      </c>
      <c r="E30">
        <v>0.28775461400000002</v>
      </c>
      <c r="F30" s="13">
        <v>5.7080726290000001</v>
      </c>
      <c r="G30" s="13">
        <v>0.41744653599999998</v>
      </c>
      <c r="H30">
        <v>4.7537841800000002</v>
      </c>
      <c r="I30" s="13">
        <v>0.352219699</v>
      </c>
      <c r="J30">
        <f t="shared" si="0"/>
        <v>3.3480143322489724</v>
      </c>
      <c r="K30">
        <f t="shared" si="1"/>
        <v>0.81728371960595381</v>
      </c>
      <c r="L30">
        <f t="shared" si="2"/>
        <v>0.64948895266525331</v>
      </c>
      <c r="M30">
        <f t="shared" si="3"/>
        <v>0.681377752454293</v>
      </c>
      <c r="N30">
        <f t="shared" si="4"/>
        <v>0.60220027708214396</v>
      </c>
      <c r="O30">
        <f t="shared" si="5"/>
        <v>0.60931665758852849</v>
      </c>
      <c r="P30">
        <f t="shared" si="6"/>
        <v>0.42853123251708691</v>
      </c>
      <c r="Q30">
        <f t="shared" si="7"/>
        <v>0.37709945994166699</v>
      </c>
    </row>
    <row r="31" spans="1:17" x14ac:dyDescent="0.6">
      <c r="A31">
        <v>10</v>
      </c>
      <c r="B31" t="s">
        <v>9</v>
      </c>
      <c r="C31" t="s">
        <v>8</v>
      </c>
      <c r="D31">
        <v>7.5700877000000002</v>
      </c>
      <c r="E31">
        <v>0.30700049499999998</v>
      </c>
      <c r="F31" s="13">
        <v>5.8563513289999998</v>
      </c>
      <c r="G31">
        <v>0.42847433499999998</v>
      </c>
      <c r="H31">
        <v>4.713378906</v>
      </c>
      <c r="I31" s="13">
        <v>0.347972895</v>
      </c>
      <c r="J31">
        <f t="shared" si="0"/>
        <v>2.5631868373779745</v>
      </c>
      <c r="K31">
        <f t="shared" si="1"/>
        <v>0.47495402941115633</v>
      </c>
      <c r="L31">
        <f t="shared" si="2"/>
        <v>0.38434464070791252</v>
      </c>
      <c r="M31">
        <f t="shared" si="3"/>
        <v>0.39506963544105228</v>
      </c>
      <c r="N31">
        <f t="shared" si="4"/>
        <v>0.41572690308882487</v>
      </c>
      <c r="O31">
        <f t="shared" si="5"/>
        <v>0.41612506163919294</v>
      </c>
      <c r="P31">
        <f t="shared" si="6"/>
        <v>0.49062089760360206</v>
      </c>
      <c r="Q31">
        <f t="shared" si="7"/>
        <v>0.46129969889738975</v>
      </c>
    </row>
    <row r="32" spans="1:17" x14ac:dyDescent="0.6">
      <c r="A32">
        <v>10</v>
      </c>
      <c r="B32" t="s">
        <v>9</v>
      </c>
      <c r="C32" t="s">
        <v>181</v>
      </c>
      <c r="D32">
        <v>7.6736323930000001</v>
      </c>
      <c r="E32">
        <v>0.31451542700000001</v>
      </c>
      <c r="F32">
        <v>6.0577279150000001</v>
      </c>
      <c r="G32">
        <v>0.442869919</v>
      </c>
      <c r="H32">
        <v>4.7322387700000004</v>
      </c>
      <c r="I32">
        <v>0.35045555499999997</v>
      </c>
      <c r="J32">
        <f t="shared" si="0"/>
        <v>1.7486677684484588</v>
      </c>
      <c r="K32">
        <f t="shared" si="1"/>
        <v>0.2264755867322614</v>
      </c>
      <c r="L32">
        <f t="shared" si="2"/>
        <v>0.26526371869478416</v>
      </c>
      <c r="M32">
        <f t="shared" si="3"/>
        <v>0.28327501141721262</v>
      </c>
      <c r="N32">
        <f t="shared" si="4"/>
        <v>0.16247831489189624</v>
      </c>
      <c r="O32">
        <f t="shared" si="5"/>
        <v>0.16393458849194736</v>
      </c>
      <c r="P32">
        <f t="shared" si="6"/>
        <v>0.46163946712654996</v>
      </c>
      <c r="Q32">
        <f t="shared" si="7"/>
        <v>0.41207666782606828</v>
      </c>
    </row>
    <row r="33" spans="1:17" x14ac:dyDescent="0.6">
      <c r="A33">
        <v>10</v>
      </c>
      <c r="B33" t="s">
        <v>9</v>
      </c>
      <c r="C33" t="s">
        <v>177</v>
      </c>
      <c r="D33">
        <v>7.9042877310000002</v>
      </c>
      <c r="E33">
        <v>0.33355741999999999</v>
      </c>
      <c r="F33">
        <v>6.1869263779999999</v>
      </c>
      <c r="G33">
        <v>0.45222766399999997</v>
      </c>
      <c r="H33">
        <v>5.0326538090000001</v>
      </c>
      <c r="I33">
        <v>0.371239449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  <c r="P33">
        <f t="shared" si="6"/>
        <v>0</v>
      </c>
      <c r="Q33">
        <f t="shared" si="7"/>
        <v>0</v>
      </c>
    </row>
  </sheetData>
  <autoFilter ref="A1:P33" xr:uid="{D156CD24-0043-4C2B-9795-E15B16997C25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61" priority="19" percent="1" bottom="1" rank="5"/>
  </conditionalFormatting>
  <conditionalFormatting sqref="D1:J1">
    <cfRule type="top10" dxfId="60" priority="20" percent="1" bottom="1" rank="10"/>
  </conditionalFormatting>
  <conditionalFormatting sqref="E1:E1048576">
    <cfRule type="top10" dxfId="59" priority="18" percent="1" bottom="1" rank="5"/>
  </conditionalFormatting>
  <conditionalFormatting sqref="F1:F1048576">
    <cfRule type="top10" dxfId="58" priority="17" percent="1" bottom="1" rank="5"/>
  </conditionalFormatting>
  <conditionalFormatting sqref="G1:G1048576">
    <cfRule type="top10" dxfId="57" priority="16" percent="1" bottom="1" rank="5"/>
  </conditionalFormatting>
  <conditionalFormatting sqref="H1:H1048576">
    <cfRule type="top10" dxfId="56" priority="15" percent="1" bottom="1" rank="5"/>
  </conditionalFormatting>
  <conditionalFormatting sqref="I1:J1048576">
    <cfRule type="top10" dxfId="55" priority="14" percent="1" bottom="1" rank="5"/>
  </conditionalFormatting>
  <conditionalFormatting sqref="K1">
    <cfRule type="top10" dxfId="54" priority="12" percent="1" bottom="1" rank="10"/>
    <cfRule type="top10" dxfId="53" priority="13" percent="1" bottom="1" rank="5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Q33"/>
  <sheetViews>
    <sheetView workbookViewId="0">
      <selection activeCell="B3" sqref="B3:I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533</v>
      </c>
      <c r="K1" t="s">
        <v>528</v>
      </c>
    </row>
    <row r="2" spans="1:17" x14ac:dyDescent="0.6">
      <c r="A2">
        <v>20</v>
      </c>
      <c r="B2" t="s">
        <v>92</v>
      </c>
      <c r="C2" t="s">
        <v>174</v>
      </c>
      <c r="D2">
        <v>6.9285879279999998</v>
      </c>
      <c r="E2">
        <v>0.25792474900000001</v>
      </c>
      <c r="F2">
        <v>5.3191567879999999</v>
      </c>
      <c r="G2">
        <v>0.38953560999999998</v>
      </c>
      <c r="H2">
        <v>4.2520141599999999</v>
      </c>
      <c r="I2">
        <v>0.30999250699999997</v>
      </c>
      <c r="J2">
        <f t="shared" ref="J2:J33" si="0">SUM(L2:Q2)</f>
        <v>5.9163929622786879</v>
      </c>
      <c r="K2">
        <f t="shared" ref="K2:K33" si="1">0.5*SIN(RADIANS(60))*((L2*M2)+(M2*N2)+(N2*O2)+(O2*P2)+(P2*Q2)+(Q2*L2))</f>
        <v>2.5262772870647101</v>
      </c>
      <c r="L2">
        <f t="shared" ref="L2:Q2" si="2">(MAX(D:D)-D2)/(MAX(D:D)-MIN(D:D))</f>
        <v>0.96856877804008157</v>
      </c>
      <c r="M2">
        <f t="shared" si="2"/>
        <v>0.96809517784201715</v>
      </c>
      <c r="N2">
        <f t="shared" si="2"/>
        <v>0.99069970969941556</v>
      </c>
      <c r="O2">
        <f t="shared" si="2"/>
        <v>0.98902929669717399</v>
      </c>
      <c r="P2">
        <f t="shared" si="2"/>
        <v>1</v>
      </c>
      <c r="Q2">
        <f t="shared" si="2"/>
        <v>1</v>
      </c>
    </row>
    <row r="3" spans="1:17" x14ac:dyDescent="0.6">
      <c r="A3">
        <v>20</v>
      </c>
      <c r="B3" t="s">
        <v>99</v>
      </c>
      <c r="C3" t="s">
        <v>177</v>
      </c>
      <c r="D3">
        <v>6.8747985260000002</v>
      </c>
      <c r="E3">
        <v>0.25359787700000003</v>
      </c>
      <c r="F3">
        <v>5.3039641199999998</v>
      </c>
      <c r="G3">
        <v>0.38824872500000002</v>
      </c>
      <c r="H3">
        <v>4.4156494139999998</v>
      </c>
      <c r="I3">
        <v>0.32047466499999999</v>
      </c>
      <c r="J3">
        <f t="shared" si="0"/>
        <v>5.8728170094139642</v>
      </c>
      <c r="K3">
        <f t="shared" si="1"/>
        <v>2.4896762813366231</v>
      </c>
      <c r="L3">
        <f t="shared" ref="L3:L33" si="3">(MAX(D:D)-D3)/(MAX(D:D)-MIN(D:D))</f>
        <v>1</v>
      </c>
      <c r="M3">
        <f t="shared" ref="M3:M33" si="4">(MAX(E:E)-E3)/(MAX(E:E)-MIN(E:E))</f>
        <v>1</v>
      </c>
      <c r="N3">
        <f t="shared" ref="N3:N33" si="5">(MAX(F:F)-F3)/(MAX(F:F)-MIN(F:F))</f>
        <v>1</v>
      </c>
      <c r="O3">
        <f t="shared" ref="O3:O33" si="6">(MAX(G:G)-G3)/(MAX(G:G)-MIN(G:G))</f>
        <v>1</v>
      </c>
      <c r="P3">
        <f t="shared" ref="P3:P33" si="7">(MAX(H:H)-H3)/(MAX(H:H)-MIN(H:H))</f>
        <v>0.93230823610280888</v>
      </c>
      <c r="Q3">
        <f t="shared" ref="Q3:Q33" si="8">(MAX(I:I)-I3)/(MAX(I:I)-MIN(I:I))</f>
        <v>0.94050877331115545</v>
      </c>
    </row>
    <row r="4" spans="1:17" x14ac:dyDescent="0.6">
      <c r="A4">
        <v>20</v>
      </c>
      <c r="B4" t="s">
        <v>6</v>
      </c>
      <c r="C4" t="s">
        <v>181</v>
      </c>
      <c r="D4" s="13">
        <v>6.9435927069999996</v>
      </c>
      <c r="E4">
        <v>0.25917542999999998</v>
      </c>
      <c r="F4">
        <v>5.3097110320000001</v>
      </c>
      <c r="G4">
        <v>0.388974237</v>
      </c>
      <c r="H4">
        <v>4.2913208010000004</v>
      </c>
      <c r="I4">
        <v>0.31725101500000003</v>
      </c>
      <c r="J4">
        <f t="shared" si="0"/>
        <v>5.8515153576684744</v>
      </c>
      <c r="K4">
        <f t="shared" si="1"/>
        <v>2.4713233728995649</v>
      </c>
      <c r="L4">
        <f t="shared" si="3"/>
        <v>0.95980090701581322</v>
      </c>
      <c r="M4">
        <f t="shared" si="4"/>
        <v>0.95887309896347217</v>
      </c>
      <c r="N4">
        <f t="shared" si="5"/>
        <v>0.99648199052780506</v>
      </c>
      <c r="O4">
        <f t="shared" si="6"/>
        <v>0.99381500530766931</v>
      </c>
      <c r="P4">
        <f t="shared" si="7"/>
        <v>0.9837398372470294</v>
      </c>
      <c r="Q4">
        <f t="shared" si="8"/>
        <v>0.95880451860668436</v>
      </c>
    </row>
    <row r="5" spans="1:17" x14ac:dyDescent="0.6">
      <c r="A5">
        <v>20</v>
      </c>
      <c r="B5" t="s">
        <v>6</v>
      </c>
      <c r="C5" t="s">
        <v>7</v>
      </c>
      <c r="D5" s="13">
        <v>6.9281274880000003</v>
      </c>
      <c r="E5">
        <v>0.25781232100000001</v>
      </c>
      <c r="F5" s="13">
        <v>5.3343183730000003</v>
      </c>
      <c r="G5" s="13">
        <v>0.39058098600000002</v>
      </c>
      <c r="H5">
        <v>4.3838500979999999</v>
      </c>
      <c r="I5" s="13">
        <v>0.31687311299999998</v>
      </c>
      <c r="J5">
        <f t="shared" si="0"/>
        <v>5.8057100197714009</v>
      </c>
      <c r="K5">
        <f t="shared" si="1"/>
        <v>2.4325641526940012</v>
      </c>
      <c r="L5">
        <f t="shared" si="3"/>
        <v>0.9688378308888046</v>
      </c>
      <c r="M5">
        <f t="shared" si="4"/>
        <v>0.96892418210781872</v>
      </c>
      <c r="N5">
        <f t="shared" si="5"/>
        <v>0.98141844705897685</v>
      </c>
      <c r="O5">
        <f t="shared" si="6"/>
        <v>0.98011745924791027</v>
      </c>
      <c r="P5">
        <f t="shared" si="7"/>
        <v>0.94546280847120678</v>
      </c>
      <c r="Q5">
        <f t="shared" si="8"/>
        <v>0.96094929199668389</v>
      </c>
    </row>
    <row r="6" spans="1:17" x14ac:dyDescent="0.6">
      <c r="A6">
        <v>20</v>
      </c>
      <c r="B6" t="s">
        <v>92</v>
      </c>
      <c r="C6" t="s">
        <v>181</v>
      </c>
      <c r="D6">
        <v>6.9520980259999998</v>
      </c>
      <c r="E6">
        <v>0.2596234</v>
      </c>
      <c r="F6">
        <v>5.3379471389999997</v>
      </c>
      <c r="G6">
        <v>0.39084732300000002</v>
      </c>
      <c r="H6">
        <v>4.4260253909999996</v>
      </c>
      <c r="I6">
        <v>0.32643863699999998</v>
      </c>
      <c r="J6">
        <f t="shared" si="0"/>
        <v>5.7021212125656362</v>
      </c>
      <c r="K6">
        <f t="shared" si="1"/>
        <v>2.3469999049288779</v>
      </c>
      <c r="L6">
        <f t="shared" si="3"/>
        <v>0.95483092111916912</v>
      </c>
      <c r="M6">
        <f t="shared" si="4"/>
        <v>0.95556992679149377</v>
      </c>
      <c r="N6">
        <f t="shared" si="5"/>
        <v>0.97919707440521486</v>
      </c>
      <c r="O6">
        <f t="shared" si="6"/>
        <v>0.97784693452692517</v>
      </c>
      <c r="P6">
        <f t="shared" si="7"/>
        <v>0.9280159569751909</v>
      </c>
      <c r="Q6">
        <f t="shared" si="8"/>
        <v>0.90666039874764282</v>
      </c>
    </row>
    <row r="7" spans="1:17" x14ac:dyDescent="0.6">
      <c r="A7">
        <v>20</v>
      </c>
      <c r="B7" t="s">
        <v>6</v>
      </c>
      <c r="C7" t="s">
        <v>167</v>
      </c>
      <c r="D7" s="13">
        <v>6.9094331880000004</v>
      </c>
      <c r="E7">
        <v>0.25553018900000002</v>
      </c>
      <c r="F7" s="13">
        <v>5.3485276959999997</v>
      </c>
      <c r="G7" s="13">
        <v>0.39119348599999998</v>
      </c>
      <c r="H7">
        <v>4.4732055659999999</v>
      </c>
      <c r="I7" s="13">
        <v>0.33340449799999999</v>
      </c>
      <c r="J7">
        <f t="shared" si="0"/>
        <v>5.6887539977386012</v>
      </c>
      <c r="K7">
        <f t="shared" si="1"/>
        <v>2.3365427114936042</v>
      </c>
      <c r="L7">
        <f t="shared" si="3"/>
        <v>0.9797616313185864</v>
      </c>
      <c r="M7">
        <f t="shared" si="4"/>
        <v>0.98575181546536705</v>
      </c>
      <c r="N7">
        <f t="shared" si="5"/>
        <v>0.97272011778101442</v>
      </c>
      <c r="O7">
        <f t="shared" si="6"/>
        <v>0.97489589261765142</v>
      </c>
      <c r="P7">
        <f t="shared" si="7"/>
        <v>0.90849871244102598</v>
      </c>
      <c r="Q7">
        <f t="shared" si="8"/>
        <v>0.8671258281149562</v>
      </c>
    </row>
    <row r="8" spans="1:17" x14ac:dyDescent="0.6">
      <c r="A8">
        <v>20</v>
      </c>
      <c r="B8" t="s">
        <v>99</v>
      </c>
      <c r="C8" t="s">
        <v>171</v>
      </c>
      <c r="D8">
        <v>6.9660552659999997</v>
      </c>
      <c r="E8">
        <v>0.26092077600000002</v>
      </c>
      <c r="F8">
        <v>5.3270828809999999</v>
      </c>
      <c r="G8">
        <v>0.39003821700000002</v>
      </c>
      <c r="H8">
        <v>4.4567871090000004</v>
      </c>
      <c r="I8">
        <v>0.33384280199999999</v>
      </c>
      <c r="J8">
        <f t="shared" si="0"/>
        <v>5.643199829438629</v>
      </c>
      <c r="K8">
        <f t="shared" si="1"/>
        <v>2.2993996022829108</v>
      </c>
      <c r="L8">
        <f t="shared" si="3"/>
        <v>0.94667516753061187</v>
      </c>
      <c r="M8">
        <f t="shared" si="4"/>
        <v>0.94600353551575556</v>
      </c>
      <c r="N8">
        <f t="shared" si="5"/>
        <v>0.98584770043748549</v>
      </c>
      <c r="O8">
        <f t="shared" si="6"/>
        <v>0.98474456863295379</v>
      </c>
      <c r="P8">
        <f t="shared" si="7"/>
        <v>0.91529061264365685</v>
      </c>
      <c r="Q8">
        <f t="shared" si="8"/>
        <v>0.86463824467816508</v>
      </c>
    </row>
    <row r="9" spans="1:17" x14ac:dyDescent="0.6">
      <c r="A9">
        <v>20</v>
      </c>
      <c r="B9" t="s">
        <v>92</v>
      </c>
      <c r="C9" t="s">
        <v>8</v>
      </c>
      <c r="D9">
        <v>6.9888719999999998</v>
      </c>
      <c r="E9">
        <v>0.26179999999999998</v>
      </c>
      <c r="F9">
        <v>5.4186059999999996</v>
      </c>
      <c r="G9">
        <v>0.39645900000000001</v>
      </c>
      <c r="H9">
        <v>4.3173830000000004</v>
      </c>
      <c r="I9">
        <v>0.32121499999999997</v>
      </c>
      <c r="J9">
        <f t="shared" si="0"/>
        <v>5.6419570839485678</v>
      </c>
      <c r="K9">
        <f t="shared" si="1"/>
        <v>2.2971162027188647</v>
      </c>
      <c r="L9">
        <f t="shared" si="3"/>
        <v>0.93334246993426329</v>
      </c>
      <c r="M9">
        <f t="shared" si="4"/>
        <v>0.93952044903734133</v>
      </c>
      <c r="N9">
        <f t="shared" si="5"/>
        <v>0.92982122925316657</v>
      </c>
      <c r="O9">
        <f t="shared" si="6"/>
        <v>0.93000735026081416</v>
      </c>
      <c r="P9">
        <f t="shared" si="7"/>
        <v>0.97295856500755451</v>
      </c>
      <c r="Q9">
        <f t="shared" si="8"/>
        <v>0.93630702045542813</v>
      </c>
    </row>
    <row r="10" spans="1:17" x14ac:dyDescent="0.6">
      <c r="A10">
        <v>20</v>
      </c>
      <c r="B10" t="s">
        <v>6</v>
      </c>
      <c r="C10" t="s">
        <v>174</v>
      </c>
      <c r="D10">
        <v>6.9747408760000003</v>
      </c>
      <c r="E10">
        <v>0.26134295499999999</v>
      </c>
      <c r="F10" s="13">
        <v>5.376243874</v>
      </c>
      <c r="G10" s="13">
        <v>0.39363596299999998</v>
      </c>
      <c r="H10">
        <v>4.4378051760000004</v>
      </c>
      <c r="I10" s="13">
        <v>0.32400996700000001</v>
      </c>
      <c r="J10">
        <f t="shared" si="0"/>
        <v>5.6379048198391368</v>
      </c>
      <c r="K10">
        <f t="shared" si="1"/>
        <v>2.2940987210347714</v>
      </c>
      <c r="L10">
        <f t="shared" si="3"/>
        <v>0.94159983064980202</v>
      </c>
      <c r="M10">
        <f t="shared" si="4"/>
        <v>0.94289053704622983</v>
      </c>
      <c r="N10">
        <f t="shared" si="5"/>
        <v>0.95575347956956447</v>
      </c>
      <c r="O10">
        <f t="shared" si="6"/>
        <v>0.95407375972234432</v>
      </c>
      <c r="P10">
        <f t="shared" si="7"/>
        <v>0.92314295800041168</v>
      </c>
      <c r="Q10">
        <f t="shared" si="8"/>
        <v>0.9204442548507844</v>
      </c>
    </row>
    <row r="11" spans="1:17" x14ac:dyDescent="0.6">
      <c r="A11">
        <v>20</v>
      </c>
      <c r="B11" t="s">
        <v>6</v>
      </c>
      <c r="C11" t="s">
        <v>171</v>
      </c>
      <c r="D11" s="13">
        <v>6.9405278480000003</v>
      </c>
      <c r="E11">
        <v>0.25834558299999999</v>
      </c>
      <c r="F11" s="13">
        <v>5.3529685689999997</v>
      </c>
      <c r="G11" s="13">
        <v>0.39181845900000001</v>
      </c>
      <c r="H11">
        <v>4.5950927730000002</v>
      </c>
      <c r="I11" s="13">
        <v>0.336996778</v>
      </c>
      <c r="J11">
        <f t="shared" si="0"/>
        <v>5.5709685130022359</v>
      </c>
      <c r="K11">
        <f t="shared" si="1"/>
        <v>2.2417940650511747</v>
      </c>
      <c r="L11">
        <f t="shared" si="3"/>
        <v>0.9615918223248332</v>
      </c>
      <c r="M11">
        <f t="shared" si="4"/>
        <v>0.96499209692628118</v>
      </c>
      <c r="N11">
        <f t="shared" si="5"/>
        <v>0.97000160855748452</v>
      </c>
      <c r="O11">
        <f t="shared" si="6"/>
        <v>0.96956799357828294</v>
      </c>
      <c r="P11">
        <f t="shared" si="7"/>
        <v>0.8580770591808301</v>
      </c>
      <c r="Q11">
        <f t="shared" si="8"/>
        <v>0.84673793243452444</v>
      </c>
    </row>
    <row r="12" spans="1:17" x14ac:dyDescent="0.6">
      <c r="A12">
        <v>20</v>
      </c>
      <c r="B12" t="s">
        <v>9</v>
      </c>
      <c r="C12" t="s">
        <v>184</v>
      </c>
      <c r="D12">
        <v>7.0997707380000001</v>
      </c>
      <c r="E12">
        <v>0.27024348300000001</v>
      </c>
      <c r="F12">
        <v>5.4280830670000002</v>
      </c>
      <c r="G12">
        <v>0.39721298300000002</v>
      </c>
      <c r="H12">
        <v>4.3164672849999999</v>
      </c>
      <c r="I12">
        <v>0.31541016500000002</v>
      </c>
      <c r="J12">
        <f t="shared" si="0"/>
        <v>5.535990266800904</v>
      </c>
      <c r="K12">
        <f t="shared" si="1"/>
        <v>2.2127587380816052</v>
      </c>
      <c r="L12">
        <f t="shared" si="3"/>
        <v>0.8685400605460184</v>
      </c>
      <c r="M12">
        <f t="shared" si="4"/>
        <v>0.87726119489047638</v>
      </c>
      <c r="N12">
        <f t="shared" si="5"/>
        <v>0.92401978119295136</v>
      </c>
      <c r="O12">
        <f t="shared" si="6"/>
        <v>0.92357964010149529</v>
      </c>
      <c r="P12">
        <f t="shared" si="7"/>
        <v>0.97333737313148827</v>
      </c>
      <c r="Q12">
        <f t="shared" si="8"/>
        <v>0.96925221693847441</v>
      </c>
    </row>
    <row r="13" spans="1:17" x14ac:dyDescent="0.6">
      <c r="A13">
        <v>20</v>
      </c>
      <c r="B13" t="s">
        <v>6</v>
      </c>
      <c r="C13" t="s">
        <v>184</v>
      </c>
      <c r="D13" s="13">
        <v>6.9648967060000002</v>
      </c>
      <c r="E13">
        <v>0.259937154</v>
      </c>
      <c r="F13" s="13">
        <v>5.3860321039999999</v>
      </c>
      <c r="G13" s="13">
        <v>0.39412579399999997</v>
      </c>
      <c r="H13">
        <v>4.6018066409999996</v>
      </c>
      <c r="I13" s="13">
        <v>0.34029934099999998</v>
      </c>
      <c r="J13">
        <f t="shared" si="0"/>
        <v>5.4835620931571762</v>
      </c>
      <c r="K13">
        <f t="shared" si="1"/>
        <v>2.1718381200110422</v>
      </c>
      <c r="L13">
        <f t="shared" si="3"/>
        <v>0.94735215881811241</v>
      </c>
      <c r="M13">
        <f t="shared" si="4"/>
        <v>0.95325641588306942</v>
      </c>
      <c r="N13">
        <f t="shared" si="5"/>
        <v>0.94976155105978022</v>
      </c>
      <c r="O13">
        <f t="shared" si="6"/>
        <v>0.94989794714427656</v>
      </c>
      <c r="P13">
        <f t="shared" si="7"/>
        <v>0.85529970187924964</v>
      </c>
      <c r="Q13">
        <f t="shared" si="8"/>
        <v>0.82799431837268822</v>
      </c>
    </row>
    <row r="14" spans="1:17" x14ac:dyDescent="0.6">
      <c r="A14">
        <v>20</v>
      </c>
      <c r="B14" t="s">
        <v>92</v>
      </c>
      <c r="C14" t="s">
        <v>7</v>
      </c>
      <c r="D14">
        <v>6.9952860000000001</v>
      </c>
      <c r="E14">
        <v>0.26190000000000002</v>
      </c>
      <c r="F14">
        <v>5.434768</v>
      </c>
      <c r="G14">
        <v>0.39750799999999997</v>
      </c>
      <c r="H14">
        <v>4.5741579999999997</v>
      </c>
      <c r="I14">
        <v>0.33750200000000002</v>
      </c>
      <c r="J14">
        <f t="shared" si="0"/>
        <v>5.419977583675081</v>
      </c>
      <c r="K14">
        <f t="shared" si="1"/>
        <v>2.1208118909415923</v>
      </c>
      <c r="L14">
        <f t="shared" si="3"/>
        <v>0.92959452238037654</v>
      </c>
      <c r="M14">
        <f t="shared" si="4"/>
        <v>0.93878308444328828</v>
      </c>
      <c r="N14">
        <f t="shared" si="5"/>
        <v>0.91992755607884014</v>
      </c>
      <c r="O14">
        <f t="shared" si="6"/>
        <v>0.92106461818711338</v>
      </c>
      <c r="P14">
        <f t="shared" si="7"/>
        <v>0.86673724503025185</v>
      </c>
      <c r="Q14">
        <f t="shared" si="8"/>
        <v>0.84387055755521123</v>
      </c>
    </row>
    <row r="15" spans="1:17" x14ac:dyDescent="0.6">
      <c r="A15">
        <v>20</v>
      </c>
      <c r="B15" t="s">
        <v>9</v>
      </c>
      <c r="C15" t="s">
        <v>171</v>
      </c>
      <c r="D15">
        <v>7.0147425109999997</v>
      </c>
      <c r="E15">
        <v>0.264225973</v>
      </c>
      <c r="F15" s="13">
        <v>5.3937383580000002</v>
      </c>
      <c r="G15">
        <v>0.39491844599999998</v>
      </c>
      <c r="H15">
        <v>4.6662597659999996</v>
      </c>
      <c r="I15" s="13">
        <v>0.34529065799999997</v>
      </c>
      <c r="J15">
        <f t="shared" si="0"/>
        <v>5.3563455149604646</v>
      </c>
      <c r="K15">
        <f t="shared" si="1"/>
        <v>2.0728260318523142</v>
      </c>
      <c r="L15">
        <f t="shared" si="3"/>
        <v>0.9182253326688683</v>
      </c>
      <c r="M15">
        <f t="shared" si="4"/>
        <v>0.92163218307406136</v>
      </c>
      <c r="N15">
        <f t="shared" si="5"/>
        <v>0.94504411766822305</v>
      </c>
      <c r="O15">
        <f t="shared" si="6"/>
        <v>0.94314058349920182</v>
      </c>
      <c r="P15">
        <f t="shared" si="7"/>
        <v>0.82863707501073791</v>
      </c>
      <c r="Q15">
        <f t="shared" si="8"/>
        <v>0.79966622303937207</v>
      </c>
    </row>
    <row r="16" spans="1:17" x14ac:dyDescent="0.6">
      <c r="A16">
        <v>20</v>
      </c>
      <c r="B16" t="s">
        <v>92</v>
      </c>
      <c r="C16" t="s">
        <v>184</v>
      </c>
      <c r="D16">
        <v>7.074308018</v>
      </c>
      <c r="E16">
        <v>0.26794008699999999</v>
      </c>
      <c r="F16">
        <v>5.4778284140000002</v>
      </c>
      <c r="G16">
        <v>0.40065980600000001</v>
      </c>
      <c r="H16">
        <v>4.5148925780000004</v>
      </c>
      <c r="I16">
        <v>0.33447051700000002</v>
      </c>
      <c r="J16">
        <f t="shared" si="0"/>
        <v>5.3177573405416876</v>
      </c>
      <c r="K16">
        <f t="shared" si="1"/>
        <v>2.040862298260564</v>
      </c>
      <c r="L16">
        <f t="shared" si="3"/>
        <v>0.88341890980378235</v>
      </c>
      <c r="M16">
        <f t="shared" si="4"/>
        <v>0.89424562145530428</v>
      </c>
      <c r="N16">
        <f t="shared" si="5"/>
        <v>0.89356784423208957</v>
      </c>
      <c r="O16">
        <f t="shared" si="6"/>
        <v>0.89419545078360163</v>
      </c>
      <c r="P16">
        <f t="shared" si="7"/>
        <v>0.89125385043907979</v>
      </c>
      <c r="Q16">
        <f t="shared" si="8"/>
        <v>0.86107566382782974</v>
      </c>
    </row>
    <row r="17" spans="1:17" x14ac:dyDescent="0.6">
      <c r="A17">
        <v>20</v>
      </c>
      <c r="B17" t="s">
        <v>99</v>
      </c>
      <c r="C17" t="s">
        <v>184</v>
      </c>
      <c r="D17">
        <v>7.0615957710000004</v>
      </c>
      <c r="E17">
        <v>0.26684443400000002</v>
      </c>
      <c r="F17">
        <v>5.4926418730000002</v>
      </c>
      <c r="G17">
        <v>0.40174695500000002</v>
      </c>
      <c r="H17">
        <v>4.5133666989999996</v>
      </c>
      <c r="I17">
        <v>0.33576207000000002</v>
      </c>
      <c r="J17">
        <f t="shared" si="0"/>
        <v>5.3082294870400855</v>
      </c>
      <c r="K17">
        <f t="shared" si="1"/>
        <v>2.033388859412482</v>
      </c>
      <c r="L17">
        <f t="shared" si="3"/>
        <v>0.89084716596967717</v>
      </c>
      <c r="M17">
        <f t="shared" si="4"/>
        <v>0.90232457875098104</v>
      </c>
      <c r="N17">
        <f t="shared" si="5"/>
        <v>0.88449968918152155</v>
      </c>
      <c r="O17">
        <f t="shared" si="6"/>
        <v>0.88492749822765104</v>
      </c>
      <c r="P17">
        <f t="shared" si="7"/>
        <v>0.89188506797001443</v>
      </c>
      <c r="Q17">
        <f t="shared" si="8"/>
        <v>0.85374548694024055</v>
      </c>
    </row>
    <row r="18" spans="1:17" x14ac:dyDescent="0.6">
      <c r="A18">
        <v>20</v>
      </c>
      <c r="B18" t="s">
        <v>9</v>
      </c>
      <c r="C18" t="s">
        <v>167</v>
      </c>
      <c r="D18">
        <v>7.1109677749999998</v>
      </c>
      <c r="E18">
        <v>0.27237505200000001</v>
      </c>
      <c r="F18" s="13">
        <v>5.4359684699999997</v>
      </c>
      <c r="G18" s="13">
        <v>0.398415095</v>
      </c>
      <c r="H18">
        <v>4.5651245119999997</v>
      </c>
      <c r="I18" s="13">
        <v>0.336132084</v>
      </c>
      <c r="J18">
        <f t="shared" si="0"/>
        <v>5.2781849197044419</v>
      </c>
      <c r="K18">
        <f t="shared" si="1"/>
        <v>2.0111637711371535</v>
      </c>
      <c r="L18">
        <f t="shared" si="3"/>
        <v>0.86199720001671909</v>
      </c>
      <c r="M18">
        <f t="shared" si="4"/>
        <v>0.86154375978667164</v>
      </c>
      <c r="N18">
        <f t="shared" si="5"/>
        <v>0.91919268057855674</v>
      </c>
      <c r="O18">
        <f t="shared" si="6"/>
        <v>0.91333162719531724</v>
      </c>
      <c r="P18">
        <f t="shared" si="7"/>
        <v>0.87047417042937214</v>
      </c>
      <c r="Q18">
        <f t="shared" si="8"/>
        <v>0.85164548169780441</v>
      </c>
    </row>
    <row r="19" spans="1:17" x14ac:dyDescent="0.6">
      <c r="A19">
        <v>20</v>
      </c>
      <c r="B19" t="s">
        <v>92</v>
      </c>
      <c r="C19" t="s">
        <v>177</v>
      </c>
      <c r="D19">
        <v>7.0545336860000001</v>
      </c>
      <c r="E19">
        <v>0.26628473800000002</v>
      </c>
      <c r="F19">
        <v>5.4904400860000004</v>
      </c>
      <c r="G19">
        <v>0.40153060899999998</v>
      </c>
      <c r="H19">
        <v>4.588867188</v>
      </c>
      <c r="I19">
        <v>0.33780606800000001</v>
      </c>
      <c r="J19">
        <f t="shared" si="0"/>
        <v>5.2768420235434421</v>
      </c>
      <c r="K19">
        <f t="shared" si="1"/>
        <v>2.0098141092289641</v>
      </c>
      <c r="L19">
        <f t="shared" si="3"/>
        <v>0.89497381458225744</v>
      </c>
      <c r="M19">
        <f t="shared" si="4"/>
        <v>0.90645157888931072</v>
      </c>
      <c r="N19">
        <f t="shared" si="5"/>
        <v>0.88584752738084571</v>
      </c>
      <c r="O19">
        <f t="shared" si="6"/>
        <v>0.88677184933653308</v>
      </c>
      <c r="P19">
        <f t="shared" si="7"/>
        <v>0.86065242616099136</v>
      </c>
      <c r="Q19">
        <f t="shared" si="8"/>
        <v>0.84214482719350292</v>
      </c>
    </row>
    <row r="20" spans="1:17" x14ac:dyDescent="0.6">
      <c r="A20">
        <v>20</v>
      </c>
      <c r="B20" t="s">
        <v>6</v>
      </c>
      <c r="C20" t="s">
        <v>177</v>
      </c>
      <c r="D20">
        <v>7.0982164799999996</v>
      </c>
      <c r="E20">
        <v>0.27056113599999998</v>
      </c>
      <c r="F20" s="13">
        <v>5.4513521550000004</v>
      </c>
      <c r="G20" s="13">
        <v>0.39902484900000001</v>
      </c>
      <c r="H20">
        <v>4.5793457030000004</v>
      </c>
      <c r="I20">
        <v>0.338677705</v>
      </c>
      <c r="J20">
        <f t="shared" si="0"/>
        <v>5.2640652324641115</v>
      </c>
      <c r="K20">
        <f t="shared" si="1"/>
        <v>2.0004201643167678</v>
      </c>
      <c r="L20">
        <f t="shared" si="3"/>
        <v>0.86944827343488817</v>
      </c>
      <c r="M20">
        <f t="shared" si="4"/>
        <v>0.8749189341365301</v>
      </c>
      <c r="N20">
        <f t="shared" si="5"/>
        <v>0.90977545798192327</v>
      </c>
      <c r="O20">
        <f t="shared" si="6"/>
        <v>0.90813347023357494</v>
      </c>
      <c r="P20">
        <f t="shared" si="7"/>
        <v>0.86459122357056806</v>
      </c>
      <c r="Q20">
        <f t="shared" si="8"/>
        <v>0.83719787310662663</v>
      </c>
    </row>
    <row r="21" spans="1:17" x14ac:dyDescent="0.6">
      <c r="A21">
        <v>20</v>
      </c>
      <c r="B21" t="s">
        <v>9</v>
      </c>
      <c r="C21" t="s">
        <v>8</v>
      </c>
      <c r="D21">
        <v>6.9988769279999996</v>
      </c>
      <c r="E21">
        <v>0.26266763500000001</v>
      </c>
      <c r="F21" s="13">
        <v>5.3779223409999997</v>
      </c>
      <c r="G21">
        <v>0.39357667400000002</v>
      </c>
      <c r="H21">
        <v>4.820800781</v>
      </c>
      <c r="I21" s="13">
        <v>0.35856878599999997</v>
      </c>
      <c r="J21">
        <f t="shared" si="0"/>
        <v>5.2589381202683487</v>
      </c>
      <c r="K21">
        <f t="shared" si="1"/>
        <v>2.0019709693620769</v>
      </c>
      <c r="L21">
        <f t="shared" si="3"/>
        <v>0.92749620466697136</v>
      </c>
      <c r="M21">
        <f t="shared" si="4"/>
        <v>0.93312281574173139</v>
      </c>
      <c r="N21">
        <f t="shared" si="5"/>
        <v>0.954725995104035</v>
      </c>
      <c r="O21">
        <f t="shared" si="6"/>
        <v>0.95457919884714626</v>
      </c>
      <c r="P21">
        <f t="shared" si="7"/>
        <v>0.76470736766410286</v>
      </c>
      <c r="Q21">
        <f t="shared" si="8"/>
        <v>0.72430653824436209</v>
      </c>
    </row>
    <row r="22" spans="1:17" x14ac:dyDescent="0.6">
      <c r="A22">
        <v>20</v>
      </c>
      <c r="B22" t="s">
        <v>6</v>
      </c>
      <c r="C22" t="s">
        <v>8</v>
      </c>
      <c r="D22">
        <v>7.177795841</v>
      </c>
      <c r="E22">
        <v>0.277910716</v>
      </c>
      <c r="F22">
        <v>5.4973658810000003</v>
      </c>
      <c r="G22">
        <v>0.402926705</v>
      </c>
      <c r="H22">
        <v>4.436035156</v>
      </c>
      <c r="I22">
        <v>0.32673135800000003</v>
      </c>
      <c r="J22">
        <f t="shared" si="0"/>
        <v>5.2290249342944186</v>
      </c>
      <c r="K22">
        <f t="shared" si="1"/>
        <v>1.9742814035737022</v>
      </c>
      <c r="L22">
        <f t="shared" si="3"/>
        <v>0.8229469838496366</v>
      </c>
      <c r="M22">
        <f t="shared" si="4"/>
        <v>0.82072573340494626</v>
      </c>
      <c r="N22">
        <f t="shared" si="5"/>
        <v>0.88160785703049427</v>
      </c>
      <c r="O22">
        <f t="shared" si="6"/>
        <v>0.87487012152226629</v>
      </c>
      <c r="P22">
        <f t="shared" si="7"/>
        <v>0.9238751704852185</v>
      </c>
      <c r="Q22">
        <f t="shared" si="8"/>
        <v>0.9049990680018567</v>
      </c>
    </row>
    <row r="23" spans="1:17" x14ac:dyDescent="0.6">
      <c r="A23">
        <v>20</v>
      </c>
      <c r="B23" t="s">
        <v>92</v>
      </c>
      <c r="C23" t="s">
        <v>171</v>
      </c>
      <c r="D23">
        <v>7.1110226440000002</v>
      </c>
      <c r="E23">
        <v>0.27045961099999999</v>
      </c>
      <c r="F23">
        <v>5.5107970059999998</v>
      </c>
      <c r="G23">
        <v>0.40300740699999998</v>
      </c>
      <c r="H23">
        <v>4.5602416989999996</v>
      </c>
      <c r="I23">
        <v>0.33683021499999999</v>
      </c>
      <c r="J23">
        <f t="shared" si="0"/>
        <v>5.2053780478247971</v>
      </c>
      <c r="K23">
        <f t="shared" si="1"/>
        <v>1.9555198721730622</v>
      </c>
      <c r="L23">
        <f t="shared" si="3"/>
        <v>0.86196513794401319</v>
      </c>
      <c r="M23">
        <f t="shared" si="4"/>
        <v>0.87566754354064213</v>
      </c>
      <c r="N23">
        <f t="shared" si="5"/>
        <v>0.8733859067079156</v>
      </c>
      <c r="O23">
        <f t="shared" si="6"/>
        <v>0.87418213642807019</v>
      </c>
      <c r="P23">
        <f t="shared" si="7"/>
        <v>0.87249406661109674</v>
      </c>
      <c r="Q23">
        <f t="shared" si="8"/>
        <v>0.84768325659305888</v>
      </c>
    </row>
    <row r="24" spans="1:17" x14ac:dyDescent="0.6">
      <c r="A24">
        <v>20</v>
      </c>
      <c r="B24" t="s">
        <v>92</v>
      </c>
      <c r="C24" t="s">
        <v>167</v>
      </c>
      <c r="D24">
        <v>7.1424367550000003</v>
      </c>
      <c r="E24">
        <v>0.27479675100000001</v>
      </c>
      <c r="F24">
        <v>5.4602005570000003</v>
      </c>
      <c r="G24">
        <v>0.400068282</v>
      </c>
      <c r="H24">
        <v>4.5690917969999996</v>
      </c>
      <c r="I24">
        <v>0.337541019</v>
      </c>
      <c r="J24">
        <f t="shared" si="0"/>
        <v>5.203374829557645</v>
      </c>
      <c r="K24">
        <f t="shared" si="1"/>
        <v>1.9546016742250409</v>
      </c>
      <c r="L24">
        <f t="shared" si="3"/>
        <v>0.84360866141143298</v>
      </c>
      <c r="M24">
        <f t="shared" si="4"/>
        <v>0.84368700878614167</v>
      </c>
      <c r="N24">
        <f t="shared" si="5"/>
        <v>0.90435885128083093</v>
      </c>
      <c r="O24">
        <f t="shared" si="6"/>
        <v>0.89923819687241391</v>
      </c>
      <c r="P24">
        <f t="shared" si="7"/>
        <v>0.86883300501441296</v>
      </c>
      <c r="Q24">
        <f t="shared" si="8"/>
        <v>0.84364910619241251</v>
      </c>
    </row>
    <row r="25" spans="1:17" x14ac:dyDescent="0.6">
      <c r="A25">
        <v>20</v>
      </c>
      <c r="B25" t="s">
        <v>99</v>
      </c>
      <c r="C25" t="s">
        <v>167</v>
      </c>
      <c r="D25">
        <v>7.1612871980000001</v>
      </c>
      <c r="E25">
        <v>0.27517145100000001</v>
      </c>
      <c r="F25">
        <v>5.4898941609999996</v>
      </c>
      <c r="G25">
        <v>0.40188889100000003</v>
      </c>
      <c r="H25">
        <v>4.5536499020000001</v>
      </c>
      <c r="I25">
        <v>0.33393390000000001</v>
      </c>
      <c r="J25">
        <f t="shared" si="0"/>
        <v>5.1827590825166894</v>
      </c>
      <c r="K25">
        <f t="shared" si="1"/>
        <v>1.9389012919811728</v>
      </c>
      <c r="L25">
        <f t="shared" si="3"/>
        <v>0.83259362060514563</v>
      </c>
      <c r="M25">
        <f t="shared" si="4"/>
        <v>0.84092410365222592</v>
      </c>
      <c r="N25">
        <f t="shared" si="5"/>
        <v>0.88618171891207342</v>
      </c>
      <c r="O25">
        <f t="shared" si="6"/>
        <v>0.8837174928705368</v>
      </c>
      <c r="P25">
        <f t="shared" si="7"/>
        <v>0.87522092622890368</v>
      </c>
      <c r="Q25">
        <f t="shared" si="8"/>
        <v>0.86412122024780436</v>
      </c>
    </row>
    <row r="26" spans="1:17" x14ac:dyDescent="0.6">
      <c r="A26">
        <v>20</v>
      </c>
      <c r="B26" t="s">
        <v>99</v>
      </c>
      <c r="C26" t="s">
        <v>7</v>
      </c>
      <c r="D26">
        <v>7.0688050000000002</v>
      </c>
      <c r="E26">
        <v>0.26840000000000003</v>
      </c>
      <c r="F26">
        <v>5.4607749999999999</v>
      </c>
      <c r="G26">
        <v>0.39980300000000002</v>
      </c>
      <c r="H26">
        <v>4.8067019999999996</v>
      </c>
      <c r="I26">
        <v>0.34881099999999998</v>
      </c>
      <c r="J26">
        <f t="shared" si="0"/>
        <v>5.1332221375451885</v>
      </c>
      <c r="K26">
        <f t="shared" si="1"/>
        <v>1.9039053840139604</v>
      </c>
      <c r="L26">
        <f t="shared" si="3"/>
        <v>0.88663453544333526</v>
      </c>
      <c r="M26">
        <f t="shared" si="4"/>
        <v>0.8908543858298581</v>
      </c>
      <c r="N26">
        <f t="shared" si="5"/>
        <v>0.90400720227085229</v>
      </c>
      <c r="O26">
        <f t="shared" si="6"/>
        <v>0.90149972771128462</v>
      </c>
      <c r="P26">
        <f t="shared" si="7"/>
        <v>0.77053967660341138</v>
      </c>
      <c r="Q26">
        <f t="shared" si="8"/>
        <v>0.77968660968644798</v>
      </c>
    </row>
    <row r="27" spans="1:17" x14ac:dyDescent="0.6">
      <c r="A27">
        <v>20</v>
      </c>
      <c r="B27" t="s">
        <v>99</v>
      </c>
      <c r="C27" t="s">
        <v>8</v>
      </c>
      <c r="D27">
        <v>7.224634</v>
      </c>
      <c r="E27">
        <v>0.27929999999999999</v>
      </c>
      <c r="F27">
        <v>5.581995</v>
      </c>
      <c r="G27">
        <v>0.40810000000000002</v>
      </c>
      <c r="H27">
        <v>4.4867549999999996</v>
      </c>
      <c r="I27">
        <v>0.32525700000000002</v>
      </c>
      <c r="J27">
        <f t="shared" si="0"/>
        <v>5.0828890303377205</v>
      </c>
      <c r="K27">
        <f t="shared" si="1"/>
        <v>1.8654769899230297</v>
      </c>
      <c r="L27">
        <f t="shared" si="3"/>
        <v>0.79557764124711128</v>
      </c>
      <c r="M27">
        <f t="shared" si="4"/>
        <v>0.81048164507810627</v>
      </c>
      <c r="N27">
        <f t="shared" si="5"/>
        <v>0.82980159268096099</v>
      </c>
      <c r="O27">
        <f t="shared" si="6"/>
        <v>0.8307677467622876</v>
      </c>
      <c r="P27">
        <f t="shared" si="7"/>
        <v>0.90289365445475278</v>
      </c>
      <c r="Q27">
        <f t="shared" si="8"/>
        <v>0.91336675011450108</v>
      </c>
    </row>
    <row r="28" spans="1:17" x14ac:dyDescent="0.6">
      <c r="A28">
        <v>20</v>
      </c>
      <c r="B28" t="s">
        <v>9</v>
      </c>
      <c r="C28" t="s">
        <v>181</v>
      </c>
      <c r="D28">
        <v>7.1281889889999999</v>
      </c>
      <c r="E28">
        <v>0.272805046</v>
      </c>
      <c r="F28">
        <v>5.509611907</v>
      </c>
      <c r="G28">
        <v>0.40321809600000003</v>
      </c>
      <c r="H28">
        <v>4.9033813479999999</v>
      </c>
      <c r="I28">
        <v>0.35899666800000002</v>
      </c>
      <c r="J28">
        <f t="shared" si="0"/>
        <v>4.9092286822053275</v>
      </c>
      <c r="K28">
        <f t="shared" si="1"/>
        <v>1.7423692303295715</v>
      </c>
      <c r="L28">
        <f t="shared" si="3"/>
        <v>0.85193418054583414</v>
      </c>
      <c r="M28">
        <f t="shared" si="4"/>
        <v>0.85837313627412049</v>
      </c>
      <c r="N28">
        <f t="shared" si="5"/>
        <v>0.87411137275080741</v>
      </c>
      <c r="O28">
        <f t="shared" si="6"/>
        <v>0.87238601128233484</v>
      </c>
      <c r="P28">
        <f t="shared" si="7"/>
        <v>0.73054587674320282</v>
      </c>
      <c r="Q28">
        <f t="shared" si="8"/>
        <v>0.72187810460902868</v>
      </c>
    </row>
    <row r="29" spans="1:17" x14ac:dyDescent="0.6">
      <c r="A29">
        <v>20</v>
      </c>
      <c r="B29" t="s">
        <v>9</v>
      </c>
      <c r="C29" t="s">
        <v>7</v>
      </c>
      <c r="D29">
        <v>7.2321264129999996</v>
      </c>
      <c r="E29">
        <v>0.27998303400000002</v>
      </c>
      <c r="F29">
        <v>5.5785319009999998</v>
      </c>
      <c r="G29">
        <v>0.407922587</v>
      </c>
      <c r="H29">
        <v>4.6625366210000001</v>
      </c>
      <c r="I29">
        <v>0.34455413699999998</v>
      </c>
      <c r="J29">
        <f t="shared" si="0"/>
        <v>4.8948700500933144</v>
      </c>
      <c r="K29">
        <f t="shared" si="1"/>
        <v>1.7294547934969267</v>
      </c>
      <c r="L29">
        <f t="shared" si="3"/>
        <v>0.79119953538866783</v>
      </c>
      <c r="M29">
        <f t="shared" si="4"/>
        <v>0.80544519419676364</v>
      </c>
      <c r="N29">
        <f t="shared" si="5"/>
        <v>0.83192155120566935</v>
      </c>
      <c r="O29">
        <f t="shared" si="6"/>
        <v>0.83228019378363338</v>
      </c>
      <c r="P29">
        <f t="shared" si="7"/>
        <v>0.83017724588549924</v>
      </c>
      <c r="Q29">
        <f t="shared" si="8"/>
        <v>0.80384632963308056</v>
      </c>
    </row>
    <row r="30" spans="1:17" x14ac:dyDescent="0.6">
      <c r="A30">
        <v>20</v>
      </c>
      <c r="B30" t="s">
        <v>99</v>
      </c>
      <c r="C30" t="s">
        <v>174</v>
      </c>
      <c r="D30">
        <v>7.1590788879999998</v>
      </c>
      <c r="E30">
        <v>0.273630822</v>
      </c>
      <c r="F30">
        <v>5.5988294810000001</v>
      </c>
      <c r="G30">
        <v>0.40915770499999998</v>
      </c>
      <c r="H30">
        <v>4.8211669920000002</v>
      </c>
      <c r="I30">
        <v>0.35089346500000002</v>
      </c>
      <c r="J30">
        <f t="shared" si="0"/>
        <v>4.8598387450078349</v>
      </c>
      <c r="K30">
        <f t="shared" si="1"/>
        <v>1.7053062914228549</v>
      </c>
      <c r="L30">
        <f t="shared" si="3"/>
        <v>0.83388402130092432</v>
      </c>
      <c r="M30">
        <f t="shared" si="4"/>
        <v>0.85228415642393529</v>
      </c>
      <c r="N30">
        <f t="shared" si="5"/>
        <v>0.8194962558987926</v>
      </c>
      <c r="O30">
        <f t="shared" si="6"/>
        <v>0.82175080450488658</v>
      </c>
      <c r="P30">
        <f t="shared" si="7"/>
        <v>0.76455587544013148</v>
      </c>
      <c r="Q30">
        <f t="shared" si="8"/>
        <v>0.7678676314391647</v>
      </c>
    </row>
    <row r="31" spans="1:17" x14ac:dyDescent="0.6">
      <c r="A31">
        <v>20</v>
      </c>
      <c r="B31" t="s">
        <v>9</v>
      </c>
      <c r="C31" t="s">
        <v>177</v>
      </c>
      <c r="D31">
        <v>7.177066902</v>
      </c>
      <c r="E31">
        <v>0.27684675399999997</v>
      </c>
      <c r="F31">
        <v>5.5409432870000002</v>
      </c>
      <c r="G31">
        <v>0.40575503699999999</v>
      </c>
      <c r="H31">
        <v>4.8645629880000003</v>
      </c>
      <c r="I31">
        <v>0.35346824999999998</v>
      </c>
      <c r="J31">
        <f t="shared" si="0"/>
        <v>4.8574927341263727</v>
      </c>
      <c r="K31">
        <f t="shared" si="1"/>
        <v>1.704211125321984</v>
      </c>
      <c r="L31">
        <f t="shared" si="3"/>
        <v>0.82337293101863918</v>
      </c>
      <c r="M31">
        <f t="shared" si="4"/>
        <v>0.82857101248712228</v>
      </c>
      <c r="N31">
        <f t="shared" si="5"/>
        <v>0.85493166517621133</v>
      </c>
      <c r="O31">
        <f t="shared" si="6"/>
        <v>0.85075857215003081</v>
      </c>
      <c r="P31">
        <f t="shared" si="7"/>
        <v>0.74660405000210295</v>
      </c>
      <c r="Q31">
        <f t="shared" si="8"/>
        <v>0.7532545032922664</v>
      </c>
    </row>
    <row r="32" spans="1:17" x14ac:dyDescent="0.6">
      <c r="A32">
        <v>20</v>
      </c>
      <c r="B32" t="s">
        <v>99</v>
      </c>
      <c r="C32" t="s">
        <v>181</v>
      </c>
      <c r="D32">
        <v>7.7886830170000003</v>
      </c>
      <c r="E32">
        <v>0.321408215</v>
      </c>
      <c r="F32">
        <v>6.1441819930000001</v>
      </c>
      <c r="G32">
        <v>0.44815480099999999</v>
      </c>
      <c r="H32">
        <v>5.1013183590000004</v>
      </c>
      <c r="I32">
        <v>0.37490279900000001</v>
      </c>
      <c r="J32">
        <f t="shared" si="0"/>
        <v>3.2211956979662371</v>
      </c>
      <c r="K32">
        <f t="shared" si="1"/>
        <v>0.75121070594662631</v>
      </c>
      <c r="L32">
        <f t="shared" si="3"/>
        <v>0.46598204824161643</v>
      </c>
      <c r="M32">
        <f t="shared" si="4"/>
        <v>0.49999057648048806</v>
      </c>
      <c r="N32">
        <f t="shared" si="5"/>
        <v>0.48565517691563403</v>
      </c>
      <c r="O32">
        <f t="shared" si="6"/>
        <v>0.48930029813653597</v>
      </c>
      <c r="P32">
        <f t="shared" si="7"/>
        <v>0.64866434395853911</v>
      </c>
      <c r="Q32">
        <f t="shared" si="8"/>
        <v>0.63160325423342323</v>
      </c>
    </row>
    <row r="33" spans="1:17" x14ac:dyDescent="0.6">
      <c r="A33">
        <v>20</v>
      </c>
      <c r="B33" t="s">
        <v>9</v>
      </c>
      <c r="C33" t="s">
        <v>174</v>
      </c>
      <c r="D33">
        <v>8.5861351730000006</v>
      </c>
      <c r="E33">
        <v>0.38921599699999998</v>
      </c>
      <c r="F33" s="13">
        <v>6.9375333430000001</v>
      </c>
      <c r="G33" s="13">
        <v>0.505550685</v>
      </c>
      <c r="H33">
        <v>6.6693725590000001</v>
      </c>
      <c r="I33" s="13">
        <v>0.48618920999999998</v>
      </c>
      <c r="J33">
        <f t="shared" si="0"/>
        <v>0</v>
      </c>
      <c r="K33">
        <f t="shared" si="1"/>
        <v>0</v>
      </c>
      <c r="L33">
        <f t="shared" si="3"/>
        <v>0</v>
      </c>
      <c r="M33">
        <f t="shared" si="4"/>
        <v>0</v>
      </c>
      <c r="N33">
        <f t="shared" si="5"/>
        <v>0</v>
      </c>
      <c r="O33">
        <f t="shared" si="6"/>
        <v>0</v>
      </c>
      <c r="P33">
        <f t="shared" si="7"/>
        <v>0</v>
      </c>
      <c r="Q33">
        <f t="shared" si="8"/>
        <v>0</v>
      </c>
    </row>
  </sheetData>
  <autoFilter ref="A1:P33" xr:uid="{BDE4C68D-09BC-4586-AD6D-33BACBBBF7C2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52" priority="8" percent="1" bottom="1" rank="5"/>
  </conditionalFormatting>
  <conditionalFormatting sqref="D1:J1">
    <cfRule type="top10" dxfId="51" priority="9" percent="1" bottom="1" rank="10"/>
  </conditionalFormatting>
  <conditionalFormatting sqref="E1:E1048576">
    <cfRule type="top10" dxfId="50" priority="7" percent="1" bottom="1" rank="5"/>
  </conditionalFormatting>
  <conditionalFormatting sqref="F1:F1048576">
    <cfRule type="top10" dxfId="49" priority="6" percent="1" bottom="1" rank="5"/>
  </conditionalFormatting>
  <conditionalFormatting sqref="G1:G1048576">
    <cfRule type="top10" dxfId="48" priority="5" percent="1" bottom="1" rank="5"/>
  </conditionalFormatting>
  <conditionalFormatting sqref="H1:H1048576">
    <cfRule type="top10" dxfId="47" priority="4" percent="1" bottom="1" rank="5"/>
  </conditionalFormatting>
  <conditionalFormatting sqref="I1:J1048576">
    <cfRule type="top10" dxfId="46" priority="3" percent="1" bottom="1" rank="5"/>
  </conditionalFormatting>
  <conditionalFormatting sqref="K1">
    <cfRule type="top10" dxfId="45" priority="1" percent="1" bottom="1" rank="10"/>
    <cfRule type="top10" dxfId="44" priority="2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Q33"/>
  <sheetViews>
    <sheetView workbookViewId="0">
      <selection activeCell="B2" sqref="B2:I2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533</v>
      </c>
      <c r="K1" t="s">
        <v>528</v>
      </c>
    </row>
    <row r="2" spans="1:17" x14ac:dyDescent="0.6">
      <c r="A2">
        <v>30</v>
      </c>
      <c r="B2" t="s">
        <v>99</v>
      </c>
      <c r="C2" t="s">
        <v>167</v>
      </c>
      <c r="D2">
        <v>7.0456242040000001</v>
      </c>
      <c r="E2">
        <v>0.26660521500000001</v>
      </c>
      <c r="F2">
        <v>5.3802638380000003</v>
      </c>
      <c r="G2">
        <v>0.393671353</v>
      </c>
      <c r="H2">
        <v>4.0630493159999999</v>
      </c>
      <c r="I2">
        <v>0.29501393300000001</v>
      </c>
      <c r="J2">
        <f t="shared" ref="J2:J33" si="0">SUM(L2:Q2)</f>
        <v>5.6994901912386524</v>
      </c>
      <c r="K2">
        <f t="shared" ref="K2:K33" si="1">0.5*SIN(RADIANS(60))*((L2*M2)+(M2*N2)+(N2*O2)+(O2*P2)+(P2*Q2)+(Q2*L2))</f>
        <v>2.3475708132709596</v>
      </c>
      <c r="L2">
        <f t="shared" ref="L2:Q2" si="2">(MAX(D:D)-D2)/(MAX(D:D)-MIN(D:D))</f>
        <v>0.85836802046881411</v>
      </c>
      <c r="M2">
        <f t="shared" si="2"/>
        <v>0.84112217076983786</v>
      </c>
      <c r="N2">
        <f t="shared" si="2"/>
        <v>1</v>
      </c>
      <c r="O2">
        <f t="shared" si="2"/>
        <v>1</v>
      </c>
      <c r="P2">
        <f t="shared" si="2"/>
        <v>1</v>
      </c>
      <c r="Q2">
        <f t="shared" si="2"/>
        <v>1</v>
      </c>
    </row>
    <row r="3" spans="1:17" x14ac:dyDescent="0.6">
      <c r="A3">
        <v>30</v>
      </c>
      <c r="B3" t="s">
        <v>6</v>
      </c>
      <c r="C3" t="s">
        <v>184</v>
      </c>
      <c r="D3" s="13">
        <v>6.9449210900000002</v>
      </c>
      <c r="E3">
        <v>0.258124095</v>
      </c>
      <c r="F3" s="13">
        <v>5.3968339939999996</v>
      </c>
      <c r="G3" s="13">
        <v>0.39450969600000002</v>
      </c>
      <c r="H3">
        <v>4.5006103519999998</v>
      </c>
      <c r="I3" s="13">
        <v>0.329599423</v>
      </c>
      <c r="J3">
        <f t="shared" si="0"/>
        <v>5.1375557947666382</v>
      </c>
      <c r="K3">
        <f t="shared" si="1"/>
        <v>1.9275111225501773</v>
      </c>
      <c r="L3">
        <f t="shared" ref="L3:L33" si="3">(MAX(D:D)-D3)/(MAX(D:D)-MIN(D:D))</f>
        <v>1</v>
      </c>
      <c r="M3">
        <f t="shared" ref="M3:M33" si="4">(MAX(E:E)-E3)/(MAX(E:E)-MIN(E:E))</f>
        <v>1</v>
      </c>
      <c r="N3">
        <f t="shared" ref="N3:N33" si="5">(MAX(F:F)-F3)/(MAX(F:F)-MIN(F:F))</f>
        <v>0.97730718048624432</v>
      </c>
      <c r="O3">
        <f t="shared" ref="O3:O33" si="6">(MAX(G:G)-G3)/(MAX(G:G)-MIN(G:G))</f>
        <v>0.98390453557981661</v>
      </c>
      <c r="P3">
        <f t="shared" ref="P3:P33" si="7">(MAX(H:H)-H3)/(MAX(H:H)-MIN(H:H))</f>
        <v>0.59951957912803511</v>
      </c>
      <c r="Q3">
        <f t="shared" ref="Q3:Q33" si="8">(MAX(I:I)-I3)/(MAX(I:I)-MIN(I:I))</f>
        <v>0.576824499572542</v>
      </c>
    </row>
    <row r="4" spans="1:17" x14ac:dyDescent="0.6">
      <c r="A4">
        <v>30</v>
      </c>
      <c r="B4" t="s">
        <v>6</v>
      </c>
      <c r="C4" t="s">
        <v>7</v>
      </c>
      <c r="D4" s="13">
        <v>7.0741044869999996</v>
      </c>
      <c r="E4">
        <v>0.26864105500000002</v>
      </c>
      <c r="F4" s="13">
        <v>5.3911749090000001</v>
      </c>
      <c r="G4" s="13">
        <v>0.394375849</v>
      </c>
      <c r="H4">
        <v>4.4763793950000004</v>
      </c>
      <c r="I4" s="13">
        <v>0.31870420100000002</v>
      </c>
      <c r="J4">
        <f t="shared" si="0"/>
        <v>4.9246601750786461</v>
      </c>
      <c r="K4">
        <f t="shared" si="1"/>
        <v>1.7561697839597432</v>
      </c>
      <c r="L4">
        <f t="shared" si="3"/>
        <v>0.81831246807647873</v>
      </c>
      <c r="M4">
        <f t="shared" si="4"/>
        <v>0.802984538020869</v>
      </c>
      <c r="N4">
        <f t="shared" si="5"/>
        <v>0.985057294276241</v>
      </c>
      <c r="O4">
        <f t="shared" si="6"/>
        <v>0.98647428283869343</v>
      </c>
      <c r="P4">
        <f t="shared" si="7"/>
        <v>0.6216971110815207</v>
      </c>
      <c r="Q4">
        <f t="shared" si="8"/>
        <v>0.71013448078484354</v>
      </c>
    </row>
    <row r="5" spans="1:17" x14ac:dyDescent="0.6">
      <c r="A5">
        <v>30</v>
      </c>
      <c r="B5" t="s">
        <v>99</v>
      </c>
      <c r="C5" t="s">
        <v>184</v>
      </c>
      <c r="D5">
        <v>7.0746923749999997</v>
      </c>
      <c r="E5">
        <v>0.268379164</v>
      </c>
      <c r="F5">
        <v>5.4036343770000004</v>
      </c>
      <c r="G5">
        <v>0.39516464000000001</v>
      </c>
      <c r="H5">
        <v>4.4638061520000001</v>
      </c>
      <c r="I5">
        <v>0.32595539800000001</v>
      </c>
      <c r="J5">
        <f t="shared" si="0"/>
        <v>4.819316766786705</v>
      </c>
      <c r="K5">
        <f t="shared" si="1"/>
        <v>1.6884207695123279</v>
      </c>
      <c r="L5">
        <f t="shared" si="3"/>
        <v>0.8174856441792292</v>
      </c>
      <c r="M5">
        <f t="shared" si="4"/>
        <v>0.80789057325854019</v>
      </c>
      <c r="N5">
        <f t="shared" si="5"/>
        <v>0.96799405971396935</v>
      </c>
      <c r="O5">
        <f t="shared" si="6"/>
        <v>0.97133017419168288</v>
      </c>
      <c r="P5">
        <f t="shared" si="7"/>
        <v>0.63320484882342876</v>
      </c>
      <c r="Q5">
        <f t="shared" si="8"/>
        <v>0.6214114666198548</v>
      </c>
    </row>
    <row r="6" spans="1:17" x14ac:dyDescent="0.6">
      <c r="A6">
        <v>30</v>
      </c>
      <c r="B6" t="s">
        <v>9</v>
      </c>
      <c r="C6" t="s">
        <v>177</v>
      </c>
      <c r="D6">
        <v>7.0785406479999997</v>
      </c>
      <c r="E6">
        <v>0.26886777299999998</v>
      </c>
      <c r="F6">
        <v>5.3913911990000001</v>
      </c>
      <c r="G6">
        <v>0.394443504</v>
      </c>
      <c r="H6">
        <v>4.5274047849999999</v>
      </c>
      <c r="I6">
        <v>0.32923683599999998</v>
      </c>
      <c r="J6">
        <f t="shared" si="0"/>
        <v>4.7370039593840767</v>
      </c>
      <c r="K6">
        <f t="shared" si="1"/>
        <v>1.6359575257471171</v>
      </c>
      <c r="L6">
        <f t="shared" si="3"/>
        <v>0.81207331380415848</v>
      </c>
      <c r="M6">
        <f t="shared" si="4"/>
        <v>0.79873740277370853</v>
      </c>
      <c r="N6">
        <f t="shared" si="5"/>
        <v>0.98476108524039185</v>
      </c>
      <c r="O6">
        <f t="shared" si="6"/>
        <v>0.98517536503852399</v>
      </c>
      <c r="P6">
        <f t="shared" si="7"/>
        <v>0.57499581004895817</v>
      </c>
      <c r="Q6">
        <f t="shared" si="8"/>
        <v>0.5812609824783358</v>
      </c>
    </row>
    <row r="7" spans="1:17" x14ac:dyDescent="0.6">
      <c r="A7">
        <v>30</v>
      </c>
      <c r="B7" t="s">
        <v>99</v>
      </c>
      <c r="C7" t="s">
        <v>177</v>
      </c>
      <c r="D7">
        <v>7.0389696099999997</v>
      </c>
      <c r="E7">
        <v>0.26562296600000002</v>
      </c>
      <c r="F7">
        <v>5.4290623340000002</v>
      </c>
      <c r="G7">
        <v>0.396953626</v>
      </c>
      <c r="H7">
        <v>4.595703125</v>
      </c>
      <c r="I7">
        <v>0.331826766</v>
      </c>
      <c r="J7">
        <f t="shared" si="0"/>
        <v>4.6594605490947227</v>
      </c>
      <c r="K7">
        <f t="shared" si="1"/>
        <v>1.5852566150226364</v>
      </c>
      <c r="L7">
        <f t="shared" si="3"/>
        <v>0.86772724764421616</v>
      </c>
      <c r="M7">
        <f t="shared" si="4"/>
        <v>0.85952275806060785</v>
      </c>
      <c r="N7">
        <f t="shared" si="5"/>
        <v>0.93317048661033897</v>
      </c>
      <c r="O7">
        <f t="shared" si="6"/>
        <v>0.9369831819567559</v>
      </c>
      <c r="P7">
        <f t="shared" si="7"/>
        <v>0.51248533562898124</v>
      </c>
      <c r="Q7">
        <f t="shared" si="8"/>
        <v>0.54957153919382273</v>
      </c>
    </row>
    <row r="8" spans="1:17" x14ac:dyDescent="0.6">
      <c r="A8">
        <v>30</v>
      </c>
      <c r="B8" t="s">
        <v>92</v>
      </c>
      <c r="C8" t="s">
        <v>181</v>
      </c>
      <c r="D8">
        <v>7.0190722210000001</v>
      </c>
      <c r="E8">
        <v>0.263302492</v>
      </c>
      <c r="F8">
        <v>5.4377097709999997</v>
      </c>
      <c r="G8">
        <v>0.39732566499999999</v>
      </c>
      <c r="H8">
        <v>4.5749511719999996</v>
      </c>
      <c r="I8">
        <v>0.33985430300000002</v>
      </c>
      <c r="J8">
        <f t="shared" si="0"/>
        <v>4.6327004034293413</v>
      </c>
      <c r="K8">
        <f t="shared" si="1"/>
        <v>1.5743530466614157</v>
      </c>
      <c r="L8">
        <f t="shared" si="3"/>
        <v>0.8957115519982205</v>
      </c>
      <c r="M8">
        <f t="shared" si="4"/>
        <v>0.90299247337002853</v>
      </c>
      <c r="N8">
        <f t="shared" si="5"/>
        <v>0.92132782640257926</v>
      </c>
      <c r="O8">
        <f t="shared" si="6"/>
        <v>0.92984035320119851</v>
      </c>
      <c r="P8">
        <f t="shared" si="7"/>
        <v>0.53147868784180352</v>
      </c>
      <c r="Q8">
        <f t="shared" si="8"/>
        <v>0.4513495106155101</v>
      </c>
    </row>
    <row r="9" spans="1:17" x14ac:dyDescent="0.6">
      <c r="A9">
        <v>30</v>
      </c>
      <c r="B9" t="s">
        <v>6</v>
      </c>
      <c r="C9" t="s">
        <v>177</v>
      </c>
      <c r="D9" s="13">
        <v>6.9798013120000002</v>
      </c>
      <c r="E9">
        <v>0.26082164299999999</v>
      </c>
      <c r="F9" s="13">
        <v>5.414489154</v>
      </c>
      <c r="G9" s="13">
        <v>0.39583638799999998</v>
      </c>
      <c r="H9">
        <v>4.7343139650000001</v>
      </c>
      <c r="I9" s="13">
        <v>0.34857923200000002</v>
      </c>
      <c r="J9">
        <f t="shared" si="0"/>
        <v>4.5421868879782812</v>
      </c>
      <c r="K9">
        <f t="shared" si="1"/>
        <v>1.5378562542112555</v>
      </c>
      <c r="L9">
        <f t="shared" si="3"/>
        <v>0.95094337511402849</v>
      </c>
      <c r="M9">
        <f t="shared" si="4"/>
        <v>0.94946651262048365</v>
      </c>
      <c r="N9">
        <f t="shared" si="5"/>
        <v>0.95312844859219914</v>
      </c>
      <c r="O9">
        <f t="shared" si="6"/>
        <v>0.95843319045909536</v>
      </c>
      <c r="P9">
        <f t="shared" si="7"/>
        <v>0.3856209145002758</v>
      </c>
      <c r="Q9">
        <f t="shared" si="8"/>
        <v>0.34459444669219896</v>
      </c>
    </row>
    <row r="10" spans="1:17" x14ac:dyDescent="0.6">
      <c r="A10">
        <v>30</v>
      </c>
      <c r="B10" t="s">
        <v>6</v>
      </c>
      <c r="C10" t="s">
        <v>181</v>
      </c>
      <c r="D10" s="13">
        <v>7.1613486200000001</v>
      </c>
      <c r="E10">
        <v>0.274647417</v>
      </c>
      <c r="F10">
        <v>5.4657379449999999</v>
      </c>
      <c r="G10">
        <v>0.39960011200000001</v>
      </c>
      <c r="H10">
        <v>4.4232177730000002</v>
      </c>
      <c r="I10">
        <v>0.32861494000000002</v>
      </c>
      <c r="J10">
        <f t="shared" si="0"/>
        <v>4.4144163336805828</v>
      </c>
      <c r="K10">
        <f t="shared" si="1"/>
        <v>1.4162991937702887</v>
      </c>
      <c r="L10">
        <f t="shared" si="3"/>
        <v>0.69560961641220809</v>
      </c>
      <c r="M10">
        <f t="shared" si="4"/>
        <v>0.69046664461403917</v>
      </c>
      <c r="N10">
        <f t="shared" si="5"/>
        <v>0.88294325754986791</v>
      </c>
      <c r="O10">
        <f t="shared" si="6"/>
        <v>0.88617292738134645</v>
      </c>
      <c r="P10">
        <f t="shared" si="7"/>
        <v>0.67035361154925521</v>
      </c>
      <c r="Q10">
        <f t="shared" si="8"/>
        <v>0.58887027617386578</v>
      </c>
    </row>
    <row r="11" spans="1:17" x14ac:dyDescent="0.6">
      <c r="A11">
        <v>30</v>
      </c>
      <c r="B11" t="s">
        <v>6</v>
      </c>
      <c r="C11" t="s">
        <v>167</v>
      </c>
      <c r="D11" s="13">
        <v>7.0867419250000001</v>
      </c>
      <c r="E11">
        <v>0.26887227600000002</v>
      </c>
      <c r="F11" s="13">
        <v>5.4375284439999998</v>
      </c>
      <c r="G11" s="13">
        <v>0.39761129499999998</v>
      </c>
      <c r="H11">
        <v>4.6083374020000001</v>
      </c>
      <c r="I11" s="13">
        <v>0.33992134899999998</v>
      </c>
      <c r="J11">
        <f t="shared" si="0"/>
        <v>4.3965753840622037</v>
      </c>
      <c r="K11">
        <f t="shared" si="1"/>
        <v>1.4188152355312476</v>
      </c>
      <c r="L11">
        <f t="shared" si="3"/>
        <v>0.80053878373795173</v>
      </c>
      <c r="M11">
        <f t="shared" si="4"/>
        <v>0.79865304753937261</v>
      </c>
      <c r="N11">
        <f t="shared" si="5"/>
        <v>0.92157615362918899</v>
      </c>
      <c r="O11">
        <f t="shared" si="6"/>
        <v>0.92435650291278837</v>
      </c>
      <c r="P11">
        <f t="shared" si="7"/>
        <v>0.50092173614437574</v>
      </c>
      <c r="Q11">
        <f t="shared" si="8"/>
        <v>0.45052916009852617</v>
      </c>
    </row>
    <row r="12" spans="1:17" x14ac:dyDescent="0.6">
      <c r="A12">
        <v>30</v>
      </c>
      <c r="B12" t="s">
        <v>92</v>
      </c>
      <c r="C12" t="s">
        <v>7</v>
      </c>
      <c r="D12">
        <v>7.102481</v>
      </c>
      <c r="E12">
        <v>0.26960000000000001</v>
      </c>
      <c r="F12">
        <v>5.5047560000000004</v>
      </c>
      <c r="G12">
        <v>0.402221</v>
      </c>
      <c r="H12">
        <v>4.533569</v>
      </c>
      <c r="I12">
        <v>0.33159</v>
      </c>
      <c r="J12">
        <f t="shared" si="0"/>
        <v>4.3506080499636619</v>
      </c>
      <c r="K12">
        <f t="shared" si="1"/>
        <v>1.3752833608005846</v>
      </c>
      <c r="L12">
        <f t="shared" si="3"/>
        <v>0.7784028610271625</v>
      </c>
      <c r="M12">
        <f t="shared" si="4"/>
        <v>0.78502050733257356</v>
      </c>
      <c r="N12">
        <f t="shared" si="5"/>
        <v>0.82950805272181183</v>
      </c>
      <c r="O12">
        <f t="shared" si="6"/>
        <v>0.83585413238540285</v>
      </c>
      <c r="P12">
        <f t="shared" si="7"/>
        <v>0.56935397447759961</v>
      </c>
      <c r="Q12">
        <f t="shared" si="8"/>
        <v>0.55246852201911179</v>
      </c>
    </row>
    <row r="13" spans="1:17" x14ac:dyDescent="0.6">
      <c r="A13">
        <v>30</v>
      </c>
      <c r="B13" t="s">
        <v>92</v>
      </c>
      <c r="C13" t="s">
        <v>184</v>
      </c>
      <c r="D13">
        <v>7.1172234830000001</v>
      </c>
      <c r="E13">
        <v>0.27072464299999999</v>
      </c>
      <c r="F13">
        <v>5.5274770789999996</v>
      </c>
      <c r="G13">
        <v>0.40387515899999998</v>
      </c>
      <c r="H13">
        <v>4.5657958980000002</v>
      </c>
      <c r="I13">
        <v>0.33906506800000002</v>
      </c>
      <c r="J13">
        <f t="shared" si="0"/>
        <v>4.124972674676199</v>
      </c>
      <c r="K13">
        <f t="shared" si="1"/>
        <v>1.2397174009569827</v>
      </c>
      <c r="L13">
        <f t="shared" si="3"/>
        <v>0.75766857618176175</v>
      </c>
      <c r="M13">
        <f t="shared" si="4"/>
        <v>0.76395243631142373</v>
      </c>
      <c r="N13">
        <f t="shared" si="5"/>
        <v>0.7983915475480049</v>
      </c>
      <c r="O13">
        <f t="shared" si="6"/>
        <v>0.80409570256631291</v>
      </c>
      <c r="P13">
        <f t="shared" si="7"/>
        <v>0.53985810850100024</v>
      </c>
      <c r="Q13">
        <f t="shared" si="8"/>
        <v>0.46100630356769506</v>
      </c>
    </row>
    <row r="14" spans="1:17" x14ac:dyDescent="0.6">
      <c r="A14">
        <v>30</v>
      </c>
      <c r="B14" t="s">
        <v>92</v>
      </c>
      <c r="C14" t="s">
        <v>171</v>
      </c>
      <c r="D14">
        <v>7.1621247610000003</v>
      </c>
      <c r="E14">
        <v>0.275117677</v>
      </c>
      <c r="F14">
        <v>5.5567585470000003</v>
      </c>
      <c r="G14">
        <v>0.40637251200000002</v>
      </c>
      <c r="H14">
        <v>4.4996948239999996</v>
      </c>
      <c r="I14">
        <v>0.327213262</v>
      </c>
      <c r="J14">
        <f t="shared" si="0"/>
        <v>4.0969927234319936</v>
      </c>
      <c r="K14">
        <f t="shared" si="1"/>
        <v>1.2134656263617805</v>
      </c>
      <c r="L14">
        <f t="shared" si="3"/>
        <v>0.69451802766327075</v>
      </c>
      <c r="M14">
        <f t="shared" si="4"/>
        <v>0.68165720812761088</v>
      </c>
      <c r="N14">
        <f t="shared" si="5"/>
        <v>0.7582905932527132</v>
      </c>
      <c r="O14">
        <f t="shared" si="6"/>
        <v>0.75614867330008428</v>
      </c>
      <c r="P14">
        <f t="shared" si="7"/>
        <v>0.60035752174310864</v>
      </c>
      <c r="Q14">
        <f t="shared" si="8"/>
        <v>0.6060206993452063</v>
      </c>
    </row>
    <row r="15" spans="1:17" x14ac:dyDescent="0.6">
      <c r="A15">
        <v>30</v>
      </c>
      <c r="B15" t="s">
        <v>6</v>
      </c>
      <c r="C15" t="s">
        <v>171</v>
      </c>
      <c r="D15" s="13">
        <v>7.3118162099999999</v>
      </c>
      <c r="E15">
        <v>0.288365702</v>
      </c>
      <c r="F15">
        <v>5.5585795280000001</v>
      </c>
      <c r="G15">
        <v>0.40722401200000002</v>
      </c>
      <c r="H15">
        <v>4.2322387700000004</v>
      </c>
      <c r="I15">
        <v>0.31374622899999999</v>
      </c>
      <c r="J15">
        <f t="shared" si="0"/>
        <v>4.0290118246875481</v>
      </c>
      <c r="K15">
        <f t="shared" si="1"/>
        <v>1.1891818684323061</v>
      </c>
      <c r="L15">
        <f t="shared" si="3"/>
        <v>0.48398733602287586</v>
      </c>
      <c r="M15">
        <f t="shared" si="4"/>
        <v>0.43348038082332602</v>
      </c>
      <c r="N15">
        <f t="shared" si="5"/>
        <v>0.75579676077636371</v>
      </c>
      <c r="O15">
        <f t="shared" si="6"/>
        <v>0.739800605798136</v>
      </c>
      <c r="P15">
        <f t="shared" si="7"/>
        <v>0.84514831493127252</v>
      </c>
      <c r="Q15">
        <f t="shared" si="8"/>
        <v>0.77079842633557416</v>
      </c>
    </row>
    <row r="16" spans="1:17" x14ac:dyDescent="0.6">
      <c r="A16">
        <v>30</v>
      </c>
      <c r="B16" t="s">
        <v>92</v>
      </c>
      <c r="C16" t="s">
        <v>174</v>
      </c>
      <c r="D16">
        <v>7.1899717330000001</v>
      </c>
      <c r="E16">
        <v>0.276100185</v>
      </c>
      <c r="F16">
        <v>5.5557754660000001</v>
      </c>
      <c r="G16">
        <v>0.40580977499999998</v>
      </c>
      <c r="H16">
        <v>4.5750732420000002</v>
      </c>
      <c r="I16">
        <v>0.33253939700000001</v>
      </c>
      <c r="J16">
        <f t="shared" si="0"/>
        <v>3.9174136216939308</v>
      </c>
      <c r="K16">
        <f t="shared" si="1"/>
        <v>1.1130477509765191</v>
      </c>
      <c r="L16">
        <f t="shared" si="3"/>
        <v>0.65535318348268778</v>
      </c>
      <c r="M16">
        <f t="shared" si="4"/>
        <v>0.6632517689590498</v>
      </c>
      <c r="N16">
        <f t="shared" si="5"/>
        <v>0.75963692214064926</v>
      </c>
      <c r="O16">
        <f t="shared" si="6"/>
        <v>0.76695273960876831</v>
      </c>
      <c r="P16">
        <f t="shared" si="7"/>
        <v>0.53136696252589555</v>
      </c>
      <c r="Q16">
        <f t="shared" si="8"/>
        <v>0.54085204497688011</v>
      </c>
    </row>
    <row r="17" spans="1:17" x14ac:dyDescent="0.6">
      <c r="A17">
        <v>30</v>
      </c>
      <c r="B17" t="s">
        <v>99</v>
      </c>
      <c r="C17" t="s">
        <v>174</v>
      </c>
      <c r="D17">
        <v>7.2855276250000003</v>
      </c>
      <c r="E17">
        <v>0.28530570700000002</v>
      </c>
      <c r="F17">
        <v>5.5776900500000002</v>
      </c>
      <c r="G17">
        <v>0.40814862200000002</v>
      </c>
      <c r="H17">
        <v>4.5207519530000004</v>
      </c>
      <c r="I17">
        <v>0.323686099</v>
      </c>
      <c r="J17">
        <f t="shared" si="0"/>
        <v>3.6937004887101494</v>
      </c>
      <c r="K17">
        <f t="shared" si="1"/>
        <v>0.98536875325585449</v>
      </c>
      <c r="L17">
        <f t="shared" si="3"/>
        <v>0.52096041644443858</v>
      </c>
      <c r="M17">
        <f t="shared" si="4"/>
        <v>0.49080363094302093</v>
      </c>
      <c r="N17">
        <f t="shared" si="5"/>
        <v>0.72962491142505548</v>
      </c>
      <c r="O17">
        <f t="shared" si="6"/>
        <v>0.72204888918865118</v>
      </c>
      <c r="P17">
        <f t="shared" si="7"/>
        <v>0.58108485532526166</v>
      </c>
      <c r="Q17">
        <f t="shared" si="8"/>
        <v>0.64917778538372173</v>
      </c>
    </row>
    <row r="18" spans="1:17" x14ac:dyDescent="0.6">
      <c r="A18">
        <v>30</v>
      </c>
      <c r="B18" t="s">
        <v>99</v>
      </c>
      <c r="C18" t="s">
        <v>7</v>
      </c>
      <c r="D18">
        <v>7.2696249999999996</v>
      </c>
      <c r="E18">
        <v>0.28449999999999998</v>
      </c>
      <c r="F18">
        <v>5.5980309999999998</v>
      </c>
      <c r="G18">
        <v>0.40990300000000002</v>
      </c>
      <c r="H18">
        <v>4.5358890000000001</v>
      </c>
      <c r="I18">
        <v>0.332318</v>
      </c>
      <c r="J18">
        <f t="shared" si="0"/>
        <v>3.5501492878412528</v>
      </c>
      <c r="K18">
        <f t="shared" si="1"/>
        <v>0.91239277769030136</v>
      </c>
      <c r="L18">
        <f t="shared" si="3"/>
        <v>0.54332636094236375</v>
      </c>
      <c r="M18">
        <f t="shared" si="4"/>
        <v>0.50589703595975843</v>
      </c>
      <c r="N18">
        <f t="shared" si="5"/>
        <v>0.70176799160557168</v>
      </c>
      <c r="O18">
        <f t="shared" si="6"/>
        <v>0.68836634078238812</v>
      </c>
      <c r="P18">
        <f t="shared" si="7"/>
        <v>0.56723058025375239</v>
      </c>
      <c r="Q18">
        <f t="shared" si="8"/>
        <v>0.54356097829741834</v>
      </c>
    </row>
    <row r="19" spans="1:17" x14ac:dyDescent="0.6">
      <c r="A19">
        <v>30</v>
      </c>
      <c r="B19" t="s">
        <v>99</v>
      </c>
      <c r="C19" t="s">
        <v>181</v>
      </c>
      <c r="D19">
        <v>7.2015741179999999</v>
      </c>
      <c r="E19">
        <v>0.277904135</v>
      </c>
      <c r="F19">
        <v>5.4982489430000001</v>
      </c>
      <c r="G19">
        <v>0.40196100699999998</v>
      </c>
      <c r="H19">
        <v>4.8254394530000004</v>
      </c>
      <c r="I19">
        <v>0.35399384299999997</v>
      </c>
      <c r="J19">
        <f t="shared" si="0"/>
        <v>3.5283196119534113</v>
      </c>
      <c r="K19">
        <f t="shared" si="1"/>
        <v>0.93144812058614179</v>
      </c>
      <c r="L19">
        <f t="shared" si="3"/>
        <v>0.6390352297515558</v>
      </c>
      <c r="M19">
        <f t="shared" si="4"/>
        <v>0.62945815914811087</v>
      </c>
      <c r="N19">
        <f t="shared" si="5"/>
        <v>0.83841946369867493</v>
      </c>
      <c r="O19">
        <f t="shared" si="6"/>
        <v>0.84084577432789753</v>
      </c>
      <c r="P19">
        <f t="shared" si="7"/>
        <v>0.30221775292077147</v>
      </c>
      <c r="Q19">
        <f t="shared" si="8"/>
        <v>0.27834323210640011</v>
      </c>
    </row>
    <row r="20" spans="1:17" x14ac:dyDescent="0.6">
      <c r="A20">
        <v>30</v>
      </c>
      <c r="B20" t="s">
        <v>92</v>
      </c>
      <c r="C20" t="s">
        <v>177</v>
      </c>
      <c r="D20">
        <v>7.4298276870000004</v>
      </c>
      <c r="E20">
        <v>0.296828441</v>
      </c>
      <c r="F20">
        <v>5.6015613149999997</v>
      </c>
      <c r="G20">
        <v>0.41004964300000002</v>
      </c>
      <c r="H20">
        <v>4.3900146480000002</v>
      </c>
      <c r="I20">
        <v>0.32433594399999999</v>
      </c>
      <c r="J20">
        <f t="shared" si="0"/>
        <v>3.3174128652012307</v>
      </c>
      <c r="K20">
        <f t="shared" si="1"/>
        <v>0.81860499309867907</v>
      </c>
      <c r="L20">
        <f t="shared" si="3"/>
        <v>0.31801233851774302</v>
      </c>
      <c r="M20">
        <f t="shared" si="4"/>
        <v>0.27494688505137238</v>
      </c>
      <c r="N20">
        <f t="shared" si="5"/>
        <v>0.69693322715786787</v>
      </c>
      <c r="O20">
        <f t="shared" si="6"/>
        <v>0.6855509213311981</v>
      </c>
      <c r="P20">
        <f t="shared" si="7"/>
        <v>0.70074297527282148</v>
      </c>
      <c r="Q20">
        <f t="shared" si="8"/>
        <v>0.64122651787022766</v>
      </c>
    </row>
    <row r="21" spans="1:17" x14ac:dyDescent="0.6">
      <c r="A21">
        <v>30</v>
      </c>
      <c r="B21" t="s">
        <v>99</v>
      </c>
      <c r="C21" t="s">
        <v>8</v>
      </c>
      <c r="D21">
        <v>7.1938149999999998</v>
      </c>
      <c r="E21">
        <v>0.27739999999999998</v>
      </c>
      <c r="F21">
        <v>5.5053179999999999</v>
      </c>
      <c r="G21">
        <v>0.40247699999999997</v>
      </c>
      <c r="H21">
        <v>5.0181269999999998</v>
      </c>
      <c r="I21">
        <v>0.36741200000000002</v>
      </c>
      <c r="J21">
        <f t="shared" si="0"/>
        <v>3.1885504486540235</v>
      </c>
      <c r="K21">
        <f t="shared" si="1"/>
        <v>0.79090522459376922</v>
      </c>
      <c r="L21">
        <f t="shared" si="3"/>
        <v>0.64994789370111417</v>
      </c>
      <c r="M21">
        <f t="shared" si="4"/>
        <v>0.63890218003673771</v>
      </c>
      <c r="N21">
        <f t="shared" si="5"/>
        <v>0.82873839403140959</v>
      </c>
      <c r="O21">
        <f t="shared" si="6"/>
        <v>0.83093915260795315</v>
      </c>
      <c r="P21">
        <f t="shared" si="7"/>
        <v>0.12585929416772504</v>
      </c>
      <c r="Q21">
        <f t="shared" si="8"/>
        <v>0.11416353410908342</v>
      </c>
    </row>
    <row r="22" spans="1:17" x14ac:dyDescent="0.6">
      <c r="A22">
        <v>30</v>
      </c>
      <c r="B22" t="s">
        <v>6</v>
      </c>
      <c r="C22" t="s">
        <v>174</v>
      </c>
      <c r="D22" s="13">
        <v>7.3132836040000004</v>
      </c>
      <c r="E22">
        <v>0.28748316899999998</v>
      </c>
      <c r="F22">
        <v>5.6368722269999996</v>
      </c>
      <c r="G22" s="13">
        <v>0.41241311899999999</v>
      </c>
      <c r="H22">
        <v>4.64453125</v>
      </c>
      <c r="I22" s="13">
        <v>0.33701328400000002</v>
      </c>
      <c r="J22">
        <f t="shared" si="0"/>
        <v>3.1745919746066251</v>
      </c>
      <c r="K22">
        <f t="shared" si="1"/>
        <v>0.72966068491996638</v>
      </c>
      <c r="L22">
        <f t="shared" si="3"/>
        <v>0.48192354763821621</v>
      </c>
      <c r="M22">
        <f t="shared" si="4"/>
        <v>0.45001297643145155</v>
      </c>
      <c r="N22">
        <f t="shared" si="5"/>
        <v>0.64857495262610487</v>
      </c>
      <c r="O22">
        <f t="shared" si="6"/>
        <v>0.64017421529803986</v>
      </c>
      <c r="P22">
        <f t="shared" si="7"/>
        <v>0.46779509485903087</v>
      </c>
      <c r="Q22">
        <f t="shared" si="8"/>
        <v>0.48611118775378154</v>
      </c>
    </row>
    <row r="23" spans="1:17" x14ac:dyDescent="0.6">
      <c r="A23">
        <v>30</v>
      </c>
      <c r="B23" t="s">
        <v>9</v>
      </c>
      <c r="C23" t="s">
        <v>174</v>
      </c>
      <c r="D23">
        <v>7.3205897259999997</v>
      </c>
      <c r="E23">
        <v>0.28517133300000003</v>
      </c>
      <c r="F23" s="13">
        <v>5.7015777879999998</v>
      </c>
      <c r="G23" s="13">
        <v>0.416100521</v>
      </c>
      <c r="H23">
        <v>4.6337280270000001</v>
      </c>
      <c r="I23" s="13">
        <v>0.339841328</v>
      </c>
      <c r="J23">
        <f t="shared" si="0"/>
        <v>3.0234999367537663</v>
      </c>
      <c r="K23">
        <f t="shared" si="1"/>
        <v>0.66179822620454676</v>
      </c>
      <c r="L23">
        <f t="shared" si="3"/>
        <v>0.47164799129786072</v>
      </c>
      <c r="M23">
        <f t="shared" si="4"/>
        <v>0.49332087505995037</v>
      </c>
      <c r="N23">
        <f t="shared" si="5"/>
        <v>0.5599607224819001</v>
      </c>
      <c r="O23">
        <f t="shared" si="6"/>
        <v>0.56937926896472313</v>
      </c>
      <c r="P23">
        <f t="shared" si="7"/>
        <v>0.47768281094400161</v>
      </c>
      <c r="Q23">
        <f t="shared" si="8"/>
        <v>0.45150826800533039</v>
      </c>
    </row>
    <row r="24" spans="1:17" x14ac:dyDescent="0.6">
      <c r="A24">
        <v>30</v>
      </c>
      <c r="B24" t="s">
        <v>9</v>
      </c>
      <c r="C24" t="s">
        <v>7</v>
      </c>
      <c r="D24">
        <v>7.2593668100000004</v>
      </c>
      <c r="E24">
        <v>0.28106569300000001</v>
      </c>
      <c r="F24">
        <v>5.6277566559999999</v>
      </c>
      <c r="G24">
        <v>0.41086201500000002</v>
      </c>
      <c r="H24">
        <v>4.9595947269999998</v>
      </c>
      <c r="I24">
        <v>0.359681892</v>
      </c>
      <c r="J24">
        <f t="shared" si="0"/>
        <v>2.8471765596196565</v>
      </c>
      <c r="K24">
        <f t="shared" si="1"/>
        <v>0.61140557875326706</v>
      </c>
      <c r="L24">
        <f t="shared" si="3"/>
        <v>0.55775379717940898</v>
      </c>
      <c r="M24">
        <f t="shared" si="4"/>
        <v>0.57023231727519152</v>
      </c>
      <c r="N24">
        <f t="shared" si="5"/>
        <v>0.66105872208897698</v>
      </c>
      <c r="O24">
        <f t="shared" si="6"/>
        <v>0.66995407776960936</v>
      </c>
      <c r="P24">
        <f t="shared" si="7"/>
        <v>0.17943131589050187</v>
      </c>
      <c r="Q24">
        <f t="shared" si="8"/>
        <v>0.20874632941596796</v>
      </c>
    </row>
    <row r="25" spans="1:17" x14ac:dyDescent="0.6">
      <c r="A25">
        <v>30</v>
      </c>
      <c r="B25" t="s">
        <v>92</v>
      </c>
      <c r="C25" t="s">
        <v>167</v>
      </c>
      <c r="D25">
        <v>7.3448530400000003</v>
      </c>
      <c r="E25">
        <v>0.28724003199999998</v>
      </c>
      <c r="F25">
        <v>5.7409259090000004</v>
      </c>
      <c r="G25">
        <v>0.41901546499999998</v>
      </c>
      <c r="H25">
        <v>4.6744995119999997</v>
      </c>
      <c r="I25">
        <v>0.34660005100000002</v>
      </c>
      <c r="J25">
        <f t="shared" si="0"/>
        <v>2.7207567959486894</v>
      </c>
      <c r="K25">
        <f t="shared" si="1"/>
        <v>0.53633834141217063</v>
      </c>
      <c r="L25">
        <f t="shared" si="3"/>
        <v>0.43752331475799894</v>
      </c>
      <c r="M25">
        <f t="shared" si="4"/>
        <v>0.45456769075757059</v>
      </c>
      <c r="N25">
        <f t="shared" si="5"/>
        <v>0.50607349244867228</v>
      </c>
      <c r="O25">
        <f t="shared" si="6"/>
        <v>0.51341485172878798</v>
      </c>
      <c r="P25">
        <f t="shared" si="7"/>
        <v>0.44036645932905832</v>
      </c>
      <c r="Q25">
        <f t="shared" si="8"/>
        <v>0.36881098692660119</v>
      </c>
    </row>
    <row r="26" spans="1:17" x14ac:dyDescent="0.6">
      <c r="A26">
        <v>30</v>
      </c>
      <c r="B26" t="s">
        <v>9</v>
      </c>
      <c r="C26" t="s">
        <v>171</v>
      </c>
      <c r="D26">
        <v>7.5494601919999997</v>
      </c>
      <c r="E26">
        <v>0.30704520400000002</v>
      </c>
      <c r="F26">
        <v>5.7602390919999999</v>
      </c>
      <c r="G26" s="13">
        <v>0.42193719400000002</v>
      </c>
      <c r="H26">
        <v>4.4500122070000003</v>
      </c>
      <c r="I26">
        <v>0.32860352100000001</v>
      </c>
      <c r="J26">
        <f t="shared" si="0"/>
        <v>2.4050966299389072</v>
      </c>
      <c r="K26">
        <f t="shared" si="1"/>
        <v>0.44855338768833336</v>
      </c>
      <c r="L26">
        <f t="shared" si="3"/>
        <v>0.14975747701043726</v>
      </c>
      <c r="M26">
        <f t="shared" si="4"/>
        <v>8.3555049161885997E-2</v>
      </c>
      <c r="N26">
        <f t="shared" si="5"/>
        <v>0.47962409896950753</v>
      </c>
      <c r="O26">
        <f t="shared" si="6"/>
        <v>0.45732016832960953</v>
      </c>
      <c r="P26">
        <f t="shared" si="7"/>
        <v>0.64582984155492207</v>
      </c>
      <c r="Q26">
        <f t="shared" si="8"/>
        <v>0.58900999491254458</v>
      </c>
    </row>
    <row r="27" spans="1:17" x14ac:dyDescent="0.6">
      <c r="A27">
        <v>30</v>
      </c>
      <c r="B27" t="s">
        <v>92</v>
      </c>
      <c r="C27" t="s">
        <v>8</v>
      </c>
      <c r="D27">
        <v>7.3824569999999996</v>
      </c>
      <c r="E27">
        <v>0.2903</v>
      </c>
      <c r="F27">
        <v>5.7939259999999999</v>
      </c>
      <c r="G27">
        <v>0.42299999999999999</v>
      </c>
      <c r="H27">
        <v>4.7860719999999999</v>
      </c>
      <c r="I27">
        <v>0.34620400000000001</v>
      </c>
      <c r="J27">
        <f t="shared" si="0"/>
        <v>2.3641919700450851</v>
      </c>
      <c r="K27">
        <f t="shared" si="1"/>
        <v>0.4036942009836707</v>
      </c>
      <c r="L27">
        <f t="shared" si="3"/>
        <v>0.38463594036149867</v>
      </c>
      <c r="M27">
        <f t="shared" si="4"/>
        <v>0.39724494643208474</v>
      </c>
      <c r="N27">
        <f t="shared" si="5"/>
        <v>0.43348989702110569</v>
      </c>
      <c r="O27">
        <f t="shared" si="6"/>
        <v>0.43691520740245132</v>
      </c>
      <c r="P27">
        <f t="shared" si="7"/>
        <v>0.33824905563963947</v>
      </c>
      <c r="Q27">
        <f t="shared" si="8"/>
        <v>0.37365692318830512</v>
      </c>
    </row>
    <row r="28" spans="1:17" x14ac:dyDescent="0.6">
      <c r="A28">
        <v>30</v>
      </c>
      <c r="B28" t="s">
        <v>9</v>
      </c>
      <c r="C28" t="s">
        <v>184</v>
      </c>
      <c r="D28">
        <v>7.3475514080000002</v>
      </c>
      <c r="E28">
        <v>0.28750274999999997</v>
      </c>
      <c r="F28">
        <v>5.7964430130000002</v>
      </c>
      <c r="G28">
        <v>0.42306592500000001</v>
      </c>
      <c r="H28">
        <v>4.8620605469999996</v>
      </c>
      <c r="I28">
        <v>0.35609102399999998</v>
      </c>
      <c r="J28">
        <f t="shared" si="0"/>
        <v>2.2704497216731294</v>
      </c>
      <c r="K28">
        <f t="shared" si="1"/>
        <v>0.37684661626016364</v>
      </c>
      <c r="L28">
        <f t="shared" si="3"/>
        <v>0.43372824640148722</v>
      </c>
      <c r="M28">
        <f t="shared" si="4"/>
        <v>0.44964616323058254</v>
      </c>
      <c r="N28">
        <f t="shared" si="5"/>
        <v>0.43004284910418894</v>
      </c>
      <c r="O28">
        <f t="shared" si="6"/>
        <v>0.43564950411405873</v>
      </c>
      <c r="P28">
        <f t="shared" si="7"/>
        <v>0.26870007211449548</v>
      </c>
      <c r="Q28">
        <f t="shared" si="8"/>
        <v>0.25268288670831673</v>
      </c>
    </row>
    <row r="29" spans="1:17" x14ac:dyDescent="0.6">
      <c r="A29">
        <v>30</v>
      </c>
      <c r="B29" t="s">
        <v>6</v>
      </c>
      <c r="C29" t="s">
        <v>8</v>
      </c>
      <c r="D29" s="13">
        <v>7.4534726520000003</v>
      </c>
      <c r="E29">
        <v>0.29792400000000002</v>
      </c>
      <c r="F29">
        <v>5.6844968329999999</v>
      </c>
      <c r="G29">
        <v>0.41555569799999997</v>
      </c>
      <c r="H29">
        <v>4.8734130860000002</v>
      </c>
      <c r="I29">
        <v>0.35191327</v>
      </c>
      <c r="J29">
        <f t="shared" si="0"/>
        <v>2.2644834172959136</v>
      </c>
      <c r="K29">
        <f t="shared" si="1"/>
        <v>0.37840154134227427</v>
      </c>
      <c r="L29">
        <f t="shared" si="3"/>
        <v>0.28475732716927965</v>
      </c>
      <c r="M29">
        <f t="shared" si="4"/>
        <v>0.25442364805984641</v>
      </c>
      <c r="N29">
        <f t="shared" si="5"/>
        <v>0.58335308094476535</v>
      </c>
      <c r="O29">
        <f t="shared" si="6"/>
        <v>0.57983940188382399</v>
      </c>
      <c r="P29">
        <f t="shared" si="7"/>
        <v>0.25830959119268493</v>
      </c>
      <c r="Q29">
        <f t="shared" si="8"/>
        <v>0.30380036804551347</v>
      </c>
    </row>
    <row r="30" spans="1:17" x14ac:dyDescent="0.6">
      <c r="A30">
        <v>30</v>
      </c>
      <c r="B30" t="s">
        <v>99</v>
      </c>
      <c r="C30" t="s">
        <v>171</v>
      </c>
      <c r="D30">
        <v>7.3695552690000001</v>
      </c>
      <c r="E30">
        <v>0.28993969400000003</v>
      </c>
      <c r="F30">
        <v>5.795027353</v>
      </c>
      <c r="G30">
        <v>0.42326796999999999</v>
      </c>
      <c r="H30">
        <v>5.1556396480000002</v>
      </c>
      <c r="I30">
        <v>0.37674241200000003</v>
      </c>
      <c r="J30">
        <f t="shared" si="0"/>
        <v>1.6705279447447785</v>
      </c>
      <c r="K30">
        <f t="shared" si="1"/>
        <v>0.2267932557170278</v>
      </c>
      <c r="L30">
        <f t="shared" si="3"/>
        <v>0.40278133456359649</v>
      </c>
      <c r="M30">
        <f t="shared" si="4"/>
        <v>0.40399460156473221</v>
      </c>
      <c r="N30">
        <f t="shared" si="5"/>
        <v>0.43198159469432384</v>
      </c>
      <c r="O30">
        <f t="shared" si="6"/>
        <v>0.43177041392212584</v>
      </c>
      <c r="P30">
        <f t="shared" si="7"/>
        <v>0</v>
      </c>
      <c r="Q30">
        <f t="shared" si="8"/>
        <v>0</v>
      </c>
    </row>
    <row r="31" spans="1:17" x14ac:dyDescent="0.6">
      <c r="A31">
        <v>30</v>
      </c>
      <c r="B31" t="s">
        <v>9</v>
      </c>
      <c r="C31" t="s">
        <v>167</v>
      </c>
      <c r="D31">
        <v>7.5860740230000001</v>
      </c>
      <c r="E31">
        <v>0.30612790299999998</v>
      </c>
      <c r="F31">
        <v>5.9595176920000004</v>
      </c>
      <c r="G31">
        <v>0.43484306700000003</v>
      </c>
      <c r="H31">
        <v>4.9299926760000004</v>
      </c>
      <c r="I31">
        <v>0.35561045299999999</v>
      </c>
      <c r="J31">
        <f t="shared" si="0"/>
        <v>1.0803400371111225</v>
      </c>
      <c r="K31">
        <f t="shared" si="1"/>
        <v>8.4921863161006028E-2</v>
      </c>
      <c r="L31">
        <f t="shared" si="3"/>
        <v>9.8262650715886316E-2</v>
      </c>
      <c r="M31">
        <f t="shared" si="4"/>
        <v>0.10073895784737361</v>
      </c>
      <c r="N31">
        <f t="shared" si="5"/>
        <v>0.20671216604901424</v>
      </c>
      <c r="O31">
        <f t="shared" si="6"/>
        <v>0.20953850893375284</v>
      </c>
      <c r="P31">
        <f t="shared" si="7"/>
        <v>0.20652477455749604</v>
      </c>
      <c r="Q31">
        <f t="shared" si="8"/>
        <v>0.25856297900759939</v>
      </c>
    </row>
    <row r="32" spans="1:17" x14ac:dyDescent="0.6">
      <c r="A32">
        <v>30</v>
      </c>
      <c r="B32" t="s">
        <v>9</v>
      </c>
      <c r="C32" t="s">
        <v>8</v>
      </c>
      <c r="D32">
        <v>7.6305046079999999</v>
      </c>
      <c r="E32">
        <v>0.30891904799999997</v>
      </c>
      <c r="F32">
        <v>5.8908187720000003</v>
      </c>
      <c r="G32">
        <v>0.42947208599999998</v>
      </c>
      <c r="H32">
        <v>4.8965454099999999</v>
      </c>
      <c r="I32">
        <v>0.36789645500000001</v>
      </c>
      <c r="J32">
        <f t="shared" si="0"/>
        <v>1.0430517375008668</v>
      </c>
      <c r="K32">
        <f t="shared" si="1"/>
        <v>9.2679734428741584E-2</v>
      </c>
      <c r="L32">
        <f t="shared" si="3"/>
        <v>3.5774099415689299E-2</v>
      </c>
      <c r="M32">
        <f t="shared" si="4"/>
        <v>4.8452106739663804E-2</v>
      </c>
      <c r="N32">
        <f t="shared" si="5"/>
        <v>0.3007952991438389</v>
      </c>
      <c r="O32">
        <f t="shared" si="6"/>
        <v>0.31265672377777226</v>
      </c>
      <c r="P32">
        <f t="shared" si="7"/>
        <v>0.23713758982813352</v>
      </c>
      <c r="Q32">
        <f t="shared" si="8"/>
        <v>0.10823591859576896</v>
      </c>
    </row>
    <row r="33" spans="1:17" x14ac:dyDescent="0.6">
      <c r="A33">
        <v>30</v>
      </c>
      <c r="B33" t="s">
        <v>9</v>
      </c>
      <c r="C33" t="s">
        <v>181</v>
      </c>
      <c r="D33">
        <v>7.6559406939999999</v>
      </c>
      <c r="E33">
        <v>0.31150548900000002</v>
      </c>
      <c r="F33">
        <v>6.1104576330000002</v>
      </c>
      <c r="G33">
        <v>0.44575702</v>
      </c>
      <c r="H33">
        <v>4.8057861329999998</v>
      </c>
      <c r="I33">
        <v>0.35668302200000002</v>
      </c>
      <c r="J33">
        <f t="shared" si="0"/>
        <v>0.56564498863188373</v>
      </c>
      <c r="K33">
        <f t="shared" si="1"/>
        <v>3.4030930960686726E-2</v>
      </c>
      <c r="L33">
        <f t="shared" si="3"/>
        <v>0</v>
      </c>
      <c r="M33">
        <f t="shared" si="4"/>
        <v>0</v>
      </c>
      <c r="N33">
        <f t="shared" si="5"/>
        <v>0</v>
      </c>
      <c r="O33">
        <f t="shared" si="6"/>
        <v>0</v>
      </c>
      <c r="P33">
        <f t="shared" si="7"/>
        <v>0.32020557454465953</v>
      </c>
      <c r="Q33">
        <f t="shared" si="8"/>
        <v>0.24543941408722417</v>
      </c>
    </row>
  </sheetData>
  <autoFilter ref="A1:P33" xr:uid="{C2A1B345-8D2D-4446-BBDE-ED4B26EFC9F2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43" priority="8" percent="1" bottom="1" rank="5"/>
  </conditionalFormatting>
  <conditionalFormatting sqref="D1:J1">
    <cfRule type="top10" dxfId="42" priority="9" percent="1" bottom="1" rank="10"/>
  </conditionalFormatting>
  <conditionalFormatting sqref="E1:E1048576">
    <cfRule type="top10" dxfId="41" priority="7" percent="1" bottom="1" rank="5"/>
  </conditionalFormatting>
  <conditionalFormatting sqref="F1:F1048576">
    <cfRule type="top10" dxfId="40" priority="6" percent="1" bottom="1" rank="5"/>
  </conditionalFormatting>
  <conditionalFormatting sqref="G1:G1048576">
    <cfRule type="top10" dxfId="39" priority="5" percent="1" bottom="1" rank="5"/>
  </conditionalFormatting>
  <conditionalFormatting sqref="H1:H1048576">
    <cfRule type="top10" dxfId="38" priority="4" percent="1" bottom="1" rank="5"/>
  </conditionalFormatting>
  <conditionalFormatting sqref="I1:J1048576">
    <cfRule type="top10" dxfId="37" priority="3" percent="1" bottom="1" rank="5"/>
  </conditionalFormatting>
  <conditionalFormatting sqref="K1">
    <cfRule type="top10" dxfId="36" priority="1" percent="1" bottom="1" rank="10"/>
    <cfRule type="top10" dxfId="35" priority="2" percent="1" bottom="1" rank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Q33"/>
  <sheetViews>
    <sheetView workbookViewId="0">
      <selection activeCell="B2" sqref="B2:I2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60</v>
      </c>
      <c r="B2" t="s">
        <v>92</v>
      </c>
      <c r="C2" t="s">
        <v>174</v>
      </c>
      <c r="D2">
        <v>7.2218359379999999</v>
      </c>
      <c r="E2">
        <v>0.27811566300000001</v>
      </c>
      <c r="F2">
        <v>5.5552395910000003</v>
      </c>
      <c r="G2">
        <v>0.404683821</v>
      </c>
      <c r="H2">
        <v>4.543945313</v>
      </c>
      <c r="I2">
        <v>0.32296682399999999</v>
      </c>
      <c r="J2">
        <f t="shared" ref="J2:J33" si="0">SUM(L2:Q2)</f>
        <v>5.4866969980714106</v>
      </c>
      <c r="K2">
        <f t="shared" ref="K2:K33" si="1">0.5*SIN(RADIANS(60))*((L2*M2)+(M2*N2)+(N2*O2)+(O2*P2)+(P2*Q2)+(Q2*L2))</f>
        <v>2.1793842658613758</v>
      </c>
      <c r="L2">
        <f t="shared" ref="L2:Q2" si="2">(MAX(D:D)-D2)/(MAX(D:D)-MIN(D:D))</f>
        <v>1</v>
      </c>
      <c r="M2">
        <f t="shared" si="2"/>
        <v>1</v>
      </c>
      <c r="N2">
        <f t="shared" si="2"/>
        <v>0.97223497418248317</v>
      </c>
      <c r="O2">
        <f t="shared" si="2"/>
        <v>0.97299990739361852</v>
      </c>
      <c r="P2">
        <f t="shared" si="2"/>
        <v>0.76007103339168069</v>
      </c>
      <c r="Q2">
        <f t="shared" si="2"/>
        <v>0.78139108310362804</v>
      </c>
    </row>
    <row r="3" spans="1:17" x14ac:dyDescent="0.6">
      <c r="A3">
        <v>60</v>
      </c>
      <c r="B3" t="s">
        <v>6</v>
      </c>
      <c r="C3" t="s">
        <v>174</v>
      </c>
      <c r="D3" s="13">
        <v>7.2240690140000003</v>
      </c>
      <c r="E3">
        <v>0.27833894300000001</v>
      </c>
      <c r="F3">
        <v>5.5348531550000004</v>
      </c>
      <c r="G3" s="13">
        <v>0.40327618100000001</v>
      </c>
      <c r="H3">
        <v>4.5801391599999999</v>
      </c>
      <c r="I3" s="13">
        <v>0.33618222199999998</v>
      </c>
      <c r="J3">
        <f t="shared" si="0"/>
        <v>5.2426881882316856</v>
      </c>
      <c r="K3">
        <f t="shared" si="1"/>
        <v>2.0009874896312234</v>
      </c>
      <c r="L3">
        <f t="shared" ref="L3:L33" si="3">(MAX(D:D)-D3)/(MAX(D:D)-MIN(D:D))</f>
        <v>0.99672007193869694</v>
      </c>
      <c r="M3">
        <f t="shared" ref="M3:M33" si="4">(MAX(E:E)-E3)/(MAX(E:E)-MIN(E:E))</f>
        <v>0.99569803877541396</v>
      </c>
      <c r="N3">
        <f t="shared" ref="N3:N33" si="5">(MAX(F:F)-F3)/(MAX(F:F)-MIN(F:F))</f>
        <v>1</v>
      </c>
      <c r="O3">
        <f t="shared" ref="O3:O33" si="6">(MAX(G:G)-G3)/(MAX(G:G)-MIN(G:G))</f>
        <v>1</v>
      </c>
      <c r="P3">
        <f t="shared" ref="P3:P33" si="7">(MAX(H:H)-H3)/(MAX(H:H)-MIN(H:H))</f>
        <v>0.70464529369707418</v>
      </c>
      <c r="Q3">
        <f t="shared" ref="Q3:Q33" si="8">(MAX(I:I)-I3)/(MAX(I:I)-MIN(I:I))</f>
        <v>0.54562478382050028</v>
      </c>
    </row>
    <row r="4" spans="1:17" x14ac:dyDescent="0.6">
      <c r="A4">
        <v>60</v>
      </c>
      <c r="B4" t="s">
        <v>92</v>
      </c>
      <c r="C4" t="s">
        <v>181</v>
      </c>
      <c r="D4">
        <v>7.2727806370000003</v>
      </c>
      <c r="E4">
        <v>0.28212038499999997</v>
      </c>
      <c r="F4">
        <v>5.5981438380000004</v>
      </c>
      <c r="G4">
        <v>0.407850718</v>
      </c>
      <c r="H4">
        <v>4.5718383789999999</v>
      </c>
      <c r="I4">
        <v>0.32702967199999999</v>
      </c>
      <c r="J4">
        <f t="shared" si="0"/>
        <v>5.1003362840752793</v>
      </c>
      <c r="K4">
        <f t="shared" si="1"/>
        <v>1.8833963454879672</v>
      </c>
      <c r="L4">
        <f t="shared" si="3"/>
        <v>0.92517274475892985</v>
      </c>
      <c r="M4">
        <f t="shared" si="4"/>
        <v>0.92284056449638563</v>
      </c>
      <c r="N4">
        <f t="shared" si="5"/>
        <v>0.91380212571224906</v>
      </c>
      <c r="O4">
        <f t="shared" si="6"/>
        <v>0.9122553190934336</v>
      </c>
      <c r="P4">
        <f t="shared" si="7"/>
        <v>0.71735676167028906</v>
      </c>
      <c r="Q4">
        <f t="shared" si="8"/>
        <v>0.70890876834399241</v>
      </c>
    </row>
    <row r="5" spans="1:17" x14ac:dyDescent="0.6">
      <c r="A5">
        <v>60</v>
      </c>
      <c r="B5" t="s">
        <v>92</v>
      </c>
      <c r="C5" t="s">
        <v>7</v>
      </c>
      <c r="D5">
        <v>7.2754630000000002</v>
      </c>
      <c r="E5">
        <v>0.28189999999999998</v>
      </c>
      <c r="F5">
        <v>5.5962430000000003</v>
      </c>
      <c r="G5">
        <v>0.40754000000000001</v>
      </c>
      <c r="H5">
        <v>4.4950559999999999</v>
      </c>
      <c r="I5">
        <v>0.33418700000000001</v>
      </c>
      <c r="J5">
        <f t="shared" si="0"/>
        <v>5.0990839992144803</v>
      </c>
      <c r="K5">
        <f t="shared" si="1"/>
        <v>1.8760082891495595</v>
      </c>
      <c r="L5">
        <f t="shared" si="3"/>
        <v>0.92123290676223868</v>
      </c>
      <c r="M5">
        <f t="shared" si="4"/>
        <v>0.92708674742580333</v>
      </c>
      <c r="N5">
        <f t="shared" si="5"/>
        <v>0.91639094585447101</v>
      </c>
      <c r="O5">
        <f t="shared" si="6"/>
        <v>0.91821523411039063</v>
      </c>
      <c r="P5">
        <f t="shared" si="7"/>
        <v>0.83493807740018744</v>
      </c>
      <c r="Q5">
        <f t="shared" si="8"/>
        <v>0.581220087661389</v>
      </c>
    </row>
    <row r="6" spans="1:17" x14ac:dyDescent="0.6">
      <c r="A6">
        <v>60</v>
      </c>
      <c r="B6" t="s">
        <v>6</v>
      </c>
      <c r="C6" t="s">
        <v>171</v>
      </c>
      <c r="D6" s="13">
        <v>7.2983879600000003</v>
      </c>
      <c r="E6">
        <v>0.28452423599999999</v>
      </c>
      <c r="F6">
        <v>5.574669578</v>
      </c>
      <c r="G6">
        <v>0.40629008100000003</v>
      </c>
      <c r="H6">
        <v>4.5595092770000001</v>
      </c>
      <c r="I6">
        <v>0.32931139799999998</v>
      </c>
      <c r="J6">
        <f t="shared" si="0"/>
        <v>5.0564879830132412</v>
      </c>
      <c r="K6">
        <f t="shared" si="1"/>
        <v>1.8518918884740767</v>
      </c>
      <c r="L6">
        <f t="shared" si="3"/>
        <v>0.88756086890583064</v>
      </c>
      <c r="M6">
        <f t="shared" si="4"/>
        <v>0.87652529312553851</v>
      </c>
      <c r="N6">
        <f t="shared" si="5"/>
        <v>0.94577257091155298</v>
      </c>
      <c r="O6">
        <f t="shared" si="6"/>
        <v>0.94219006343498757</v>
      </c>
      <c r="P6">
        <f t="shared" si="7"/>
        <v>0.73623703151616215</v>
      </c>
      <c r="Q6">
        <f t="shared" si="8"/>
        <v>0.66820215511917003</v>
      </c>
    </row>
    <row r="7" spans="1:17" x14ac:dyDescent="0.6">
      <c r="A7">
        <v>60</v>
      </c>
      <c r="B7" t="s">
        <v>9</v>
      </c>
      <c r="C7" t="s">
        <v>167</v>
      </c>
      <c r="D7">
        <v>7.4323322310000002</v>
      </c>
      <c r="E7">
        <v>0.29545744299999999</v>
      </c>
      <c r="F7">
        <v>5.6471321799999998</v>
      </c>
      <c r="G7">
        <v>0.41171675800000002</v>
      </c>
      <c r="H7">
        <v>4.3988647460000001</v>
      </c>
      <c r="I7">
        <v>0.31071314799999999</v>
      </c>
      <c r="J7">
        <f t="shared" si="0"/>
        <v>5.0241231612530548</v>
      </c>
      <c r="K7">
        <f t="shared" si="1"/>
        <v>1.8317631418340103</v>
      </c>
      <c r="L7">
        <f t="shared" si="3"/>
        <v>0.69082436145888371</v>
      </c>
      <c r="M7">
        <f t="shared" si="4"/>
        <v>0.66587394694865687</v>
      </c>
      <c r="N7">
        <f t="shared" si="5"/>
        <v>0.84708312782623629</v>
      </c>
      <c r="O7">
        <f t="shared" si="6"/>
        <v>0.83810039452466878</v>
      </c>
      <c r="P7">
        <f t="shared" si="7"/>
        <v>0.9822413304946096</v>
      </c>
      <c r="Q7">
        <f t="shared" si="8"/>
        <v>1</v>
      </c>
    </row>
    <row r="8" spans="1:17" x14ac:dyDescent="0.6">
      <c r="A8">
        <v>60</v>
      </c>
      <c r="B8" t="s">
        <v>92</v>
      </c>
      <c r="C8" t="s">
        <v>8</v>
      </c>
      <c r="D8">
        <v>7.3410529999999996</v>
      </c>
      <c r="E8">
        <v>0.28810000000000002</v>
      </c>
      <c r="F8">
        <v>5.6173570000000002</v>
      </c>
      <c r="G8">
        <v>0.40954499999999999</v>
      </c>
      <c r="H8">
        <v>4.5057980000000004</v>
      </c>
      <c r="I8">
        <v>0.330175</v>
      </c>
      <c r="J8">
        <f t="shared" si="0"/>
        <v>4.8712009946619013</v>
      </c>
      <c r="K8">
        <f t="shared" si="1"/>
        <v>1.7133698487741227</v>
      </c>
      <c r="L8">
        <f t="shared" si="3"/>
        <v>0.82489472501615158</v>
      </c>
      <c r="M8">
        <f t="shared" si="4"/>
        <v>0.80763064032962606</v>
      </c>
      <c r="N8">
        <f t="shared" si="5"/>
        <v>0.88763502426469199</v>
      </c>
      <c r="O8">
        <f t="shared" si="6"/>
        <v>0.8797571157876698</v>
      </c>
      <c r="P8">
        <f t="shared" si="7"/>
        <v>0.81848822901022511</v>
      </c>
      <c r="Q8">
        <f t="shared" si="8"/>
        <v>0.65279526025353585</v>
      </c>
    </row>
    <row r="9" spans="1:17" x14ac:dyDescent="0.6">
      <c r="A9">
        <v>60</v>
      </c>
      <c r="B9" t="s">
        <v>6</v>
      </c>
      <c r="C9" t="s">
        <v>177</v>
      </c>
      <c r="D9" s="13">
        <v>7.2612476140000002</v>
      </c>
      <c r="E9">
        <v>0.28027560899999998</v>
      </c>
      <c r="F9">
        <v>5.649516019</v>
      </c>
      <c r="G9">
        <v>0.41121107299999998</v>
      </c>
      <c r="H9">
        <v>4.7030029300000002</v>
      </c>
      <c r="I9">
        <v>0.34549559699999999</v>
      </c>
      <c r="J9">
        <f t="shared" si="0"/>
        <v>4.4881014397929953</v>
      </c>
      <c r="K9">
        <f t="shared" si="1"/>
        <v>1.4802177224725983</v>
      </c>
      <c r="L9">
        <f t="shared" si="3"/>
        <v>0.94211237680430004</v>
      </c>
      <c r="M9">
        <f t="shared" si="4"/>
        <v>0.95838407408097515</v>
      </c>
      <c r="N9">
        <f t="shared" si="5"/>
        <v>0.84383649112231174</v>
      </c>
      <c r="O9">
        <f t="shared" si="6"/>
        <v>0.84779999231221315</v>
      </c>
      <c r="P9">
        <f t="shared" si="7"/>
        <v>0.51649686797382754</v>
      </c>
      <c r="Q9">
        <f t="shared" si="8"/>
        <v>0.37947163749936752</v>
      </c>
    </row>
    <row r="10" spans="1:17" x14ac:dyDescent="0.6">
      <c r="A10">
        <v>60</v>
      </c>
      <c r="B10" t="s">
        <v>92</v>
      </c>
      <c r="C10" t="s">
        <v>167</v>
      </c>
      <c r="D10">
        <v>7.4105862169999996</v>
      </c>
      <c r="E10">
        <v>0.29231740499999997</v>
      </c>
      <c r="F10">
        <v>5.7145420419999997</v>
      </c>
      <c r="G10">
        <v>0.41594271900000002</v>
      </c>
      <c r="H10">
        <v>4.471191406</v>
      </c>
      <c r="I10">
        <v>0.33018144900000002</v>
      </c>
      <c r="J10">
        <f t="shared" si="0"/>
        <v>4.4856186937404461</v>
      </c>
      <c r="K10">
        <f t="shared" si="1"/>
        <v>1.448716430035905</v>
      </c>
      <c r="L10">
        <f t="shared" si="3"/>
        <v>0.72276477080459223</v>
      </c>
      <c r="M10">
        <f t="shared" si="4"/>
        <v>0.72637341720898996</v>
      </c>
      <c r="N10">
        <f t="shared" si="5"/>
        <v>0.75527519441476354</v>
      </c>
      <c r="O10">
        <f t="shared" si="6"/>
        <v>0.75704178696097535</v>
      </c>
      <c r="P10">
        <f t="shared" si="7"/>
        <v>0.87148331601385209</v>
      </c>
      <c r="Q10">
        <f t="shared" si="8"/>
        <v>0.65268020833727258</v>
      </c>
    </row>
    <row r="11" spans="1:17" x14ac:dyDescent="0.6">
      <c r="A11">
        <v>60</v>
      </c>
      <c r="B11" t="s">
        <v>9</v>
      </c>
      <c r="C11" t="s">
        <v>184</v>
      </c>
      <c r="D11">
        <v>7.5078361109999996</v>
      </c>
      <c r="E11">
        <v>0.30042021600000002</v>
      </c>
      <c r="F11">
        <v>5.7300026629999996</v>
      </c>
      <c r="G11">
        <v>0.417504563</v>
      </c>
      <c r="H11">
        <v>4.3872680659999999</v>
      </c>
      <c r="I11">
        <v>0.31816177899999998</v>
      </c>
      <c r="J11">
        <f t="shared" si="0"/>
        <v>4.4785974683483021</v>
      </c>
      <c r="K11">
        <f t="shared" si="1"/>
        <v>1.4637110199524626</v>
      </c>
      <c r="L11">
        <f t="shared" si="3"/>
        <v>0.57992473477837192</v>
      </c>
      <c r="M11">
        <f t="shared" si="4"/>
        <v>0.57025563356446063</v>
      </c>
      <c r="N11">
        <f t="shared" si="5"/>
        <v>0.73421881451492021</v>
      </c>
      <c r="O11">
        <f t="shared" si="6"/>
        <v>0.72708389102400217</v>
      </c>
      <c r="P11">
        <f t="shared" si="7"/>
        <v>1</v>
      </c>
      <c r="Q11">
        <f t="shared" si="8"/>
        <v>0.86711439446654726</v>
      </c>
    </row>
    <row r="12" spans="1:17" x14ac:dyDescent="0.6">
      <c r="A12">
        <v>60</v>
      </c>
      <c r="B12" t="s">
        <v>92</v>
      </c>
      <c r="C12" t="s">
        <v>171</v>
      </c>
      <c r="D12">
        <v>7.3124180179999998</v>
      </c>
      <c r="E12">
        <v>0.284874933</v>
      </c>
      <c r="F12">
        <v>5.6562527740000004</v>
      </c>
      <c r="G12">
        <v>0.41188939299999999</v>
      </c>
      <c r="H12">
        <v>4.6723022460000001</v>
      </c>
      <c r="I12">
        <v>0.341196043</v>
      </c>
      <c r="J12">
        <f t="shared" si="0"/>
        <v>4.4258599660680735</v>
      </c>
      <c r="K12">
        <f t="shared" si="1"/>
        <v>1.4288269020165862</v>
      </c>
      <c r="L12">
        <f t="shared" si="3"/>
        <v>0.86695360747097616</v>
      </c>
      <c r="M12">
        <f t="shared" si="4"/>
        <v>0.86976837403032736</v>
      </c>
      <c r="N12">
        <f t="shared" si="5"/>
        <v>0.83466146040574629</v>
      </c>
      <c r="O12">
        <f t="shared" si="6"/>
        <v>0.83478906422210408</v>
      </c>
      <c r="P12">
        <f t="shared" si="7"/>
        <v>0.5635106081775253</v>
      </c>
      <c r="Q12">
        <f t="shared" si="8"/>
        <v>0.45617685176139477</v>
      </c>
    </row>
    <row r="13" spans="1:17" x14ac:dyDescent="0.6">
      <c r="A13">
        <v>60</v>
      </c>
      <c r="B13" t="s">
        <v>99</v>
      </c>
      <c r="C13" t="s">
        <v>174</v>
      </c>
      <c r="D13">
        <v>7.3278160569999997</v>
      </c>
      <c r="E13">
        <v>0.28613997499999999</v>
      </c>
      <c r="F13">
        <v>5.5937832920000004</v>
      </c>
      <c r="G13">
        <v>0.407418856</v>
      </c>
      <c r="H13">
        <v>4.7029418950000004</v>
      </c>
      <c r="I13">
        <v>0.34730410499999997</v>
      </c>
      <c r="J13">
        <f t="shared" si="0"/>
        <v>4.3938092476829347</v>
      </c>
      <c r="K13">
        <f t="shared" si="1"/>
        <v>1.4229078503351522</v>
      </c>
      <c r="L13">
        <f t="shared" si="3"/>
        <v>0.84433706409980147</v>
      </c>
      <c r="M13">
        <f t="shared" si="4"/>
        <v>0.84539466554110787</v>
      </c>
      <c r="N13">
        <f t="shared" si="5"/>
        <v>0.91974091129833535</v>
      </c>
      <c r="O13">
        <f t="shared" si="6"/>
        <v>0.92053891006355193</v>
      </c>
      <c r="P13">
        <f t="shared" si="7"/>
        <v>0.51659033441364122</v>
      </c>
      <c r="Q13">
        <f t="shared" si="8"/>
        <v>0.3472073622664969</v>
      </c>
    </row>
    <row r="14" spans="1:17" x14ac:dyDescent="0.6">
      <c r="A14">
        <v>60</v>
      </c>
      <c r="B14" t="s">
        <v>99</v>
      </c>
      <c r="C14" t="s">
        <v>171</v>
      </c>
      <c r="D14">
        <v>7.3593117389999998</v>
      </c>
      <c r="E14">
        <v>0.28778825699999999</v>
      </c>
      <c r="F14">
        <v>5.7077074919999999</v>
      </c>
      <c r="G14">
        <v>0.415354261</v>
      </c>
      <c r="H14">
        <v>4.6244506840000001</v>
      </c>
      <c r="I14">
        <v>0.33636452100000003</v>
      </c>
      <c r="J14">
        <f t="shared" si="0"/>
        <v>4.3237869136277931</v>
      </c>
      <c r="K14">
        <f t="shared" si="1"/>
        <v>1.3537639543416518</v>
      </c>
      <c r="L14">
        <f t="shared" si="3"/>
        <v>0.79807640337815189</v>
      </c>
      <c r="M14">
        <f t="shared" si="4"/>
        <v>0.8136370282642208</v>
      </c>
      <c r="N14">
        <f t="shared" si="5"/>
        <v>0.76458341568507793</v>
      </c>
      <c r="O14">
        <f t="shared" si="6"/>
        <v>0.76832906246818355</v>
      </c>
      <c r="P14">
        <f t="shared" si="7"/>
        <v>0.63678848381733599</v>
      </c>
      <c r="Q14">
        <f t="shared" si="8"/>
        <v>0.54237252001482239</v>
      </c>
    </row>
    <row r="15" spans="1:17" x14ac:dyDescent="0.6">
      <c r="A15">
        <v>60</v>
      </c>
      <c r="B15" t="s">
        <v>92</v>
      </c>
      <c r="C15" t="s">
        <v>184</v>
      </c>
      <c r="D15">
        <v>7.3560864649999997</v>
      </c>
      <c r="E15">
        <v>0.28808767899999999</v>
      </c>
      <c r="F15">
        <v>5.6902049669999997</v>
      </c>
      <c r="G15">
        <v>0.41428189199999998</v>
      </c>
      <c r="H15">
        <v>4.7127075200000004</v>
      </c>
      <c r="I15">
        <v>0.34084819100000002</v>
      </c>
      <c r="J15">
        <f t="shared" si="0"/>
        <v>4.1520190130052379</v>
      </c>
      <c r="K15">
        <f t="shared" si="1"/>
        <v>1.258501794118809</v>
      </c>
      <c r="L15">
        <f t="shared" si="3"/>
        <v>0.80281366565583046</v>
      </c>
      <c r="M15">
        <f t="shared" si="4"/>
        <v>0.80786803044180944</v>
      </c>
      <c r="N15">
        <f t="shared" si="5"/>
        <v>0.78842073862356232</v>
      </c>
      <c r="O15">
        <f t="shared" si="6"/>
        <v>0.78889828635228276</v>
      </c>
      <c r="P15">
        <f t="shared" si="7"/>
        <v>0.50163566575945973</v>
      </c>
      <c r="Q15">
        <f t="shared" si="8"/>
        <v>0.46238262617229259</v>
      </c>
    </row>
    <row r="16" spans="1:17" x14ac:dyDescent="0.6">
      <c r="A16">
        <v>60</v>
      </c>
      <c r="B16" t="s">
        <v>92</v>
      </c>
      <c r="C16" t="s">
        <v>177</v>
      </c>
      <c r="D16">
        <v>7.3231435720000002</v>
      </c>
      <c r="E16">
        <v>0.28557284999999999</v>
      </c>
      <c r="F16">
        <v>5.6495555529999999</v>
      </c>
      <c r="G16">
        <v>0.41140818099999998</v>
      </c>
      <c r="H16">
        <v>4.7750244139999998</v>
      </c>
      <c r="I16">
        <v>0.347665051</v>
      </c>
      <c r="J16">
        <f t="shared" si="0"/>
        <v>4.1422975741190466</v>
      </c>
      <c r="K16">
        <f t="shared" si="1"/>
        <v>1.2708699859186774</v>
      </c>
      <c r="L16">
        <f t="shared" si="3"/>
        <v>0.85119998084222903</v>
      </c>
      <c r="M16">
        <f t="shared" si="4"/>
        <v>0.85632152759544966</v>
      </c>
      <c r="N16">
        <f t="shared" si="5"/>
        <v>0.84378264833533978</v>
      </c>
      <c r="O16">
        <f t="shared" si="6"/>
        <v>0.84401924279283413</v>
      </c>
      <c r="P16">
        <f t="shared" si="7"/>
        <v>0.40620618722349833</v>
      </c>
      <c r="Q16">
        <f t="shared" si="8"/>
        <v>0.3407679873296956</v>
      </c>
    </row>
    <row r="17" spans="1:17" x14ac:dyDescent="0.6">
      <c r="A17">
        <v>60</v>
      </c>
      <c r="B17" t="s">
        <v>6</v>
      </c>
      <c r="C17" t="s">
        <v>181</v>
      </c>
      <c r="D17" s="13">
        <v>7.3078442099999998</v>
      </c>
      <c r="E17">
        <v>0.28358682099999999</v>
      </c>
      <c r="F17">
        <v>5.6755794179999999</v>
      </c>
      <c r="G17">
        <v>0.412918644</v>
      </c>
      <c r="H17">
        <v>4.830566406</v>
      </c>
      <c r="I17">
        <v>0.35216855000000002</v>
      </c>
      <c r="J17">
        <f t="shared" si="0"/>
        <v>3.973220706155062</v>
      </c>
      <c r="K17">
        <f t="shared" si="1"/>
        <v>1.1849194304200905</v>
      </c>
      <c r="L17">
        <f t="shared" si="3"/>
        <v>0.87367158805301159</v>
      </c>
      <c r="M17">
        <f t="shared" si="4"/>
        <v>0.89458657484062909</v>
      </c>
      <c r="N17">
        <f t="shared" si="5"/>
        <v>0.80833980371077785</v>
      </c>
      <c r="O17">
        <f t="shared" si="6"/>
        <v>0.81504689128356078</v>
      </c>
      <c r="P17">
        <f t="shared" si="7"/>
        <v>0.3211515095399699</v>
      </c>
      <c r="Q17">
        <f t="shared" si="8"/>
        <v>0.26042433872711301</v>
      </c>
    </row>
    <row r="18" spans="1:17" x14ac:dyDescent="0.6">
      <c r="A18">
        <v>60</v>
      </c>
      <c r="B18" t="s">
        <v>9</v>
      </c>
      <c r="C18" t="s">
        <v>8</v>
      </c>
      <c r="D18">
        <v>7.5538931319999998</v>
      </c>
      <c r="E18">
        <v>0.30560981799999998</v>
      </c>
      <c r="F18">
        <v>5.7484637169999999</v>
      </c>
      <c r="G18">
        <v>0.419201869</v>
      </c>
      <c r="H18">
        <v>4.5098266599999999</v>
      </c>
      <c r="I18">
        <v>0.32744125800000001</v>
      </c>
      <c r="J18">
        <f t="shared" si="0"/>
        <v>3.9000320406585756</v>
      </c>
      <c r="K18">
        <f t="shared" si="1"/>
        <v>1.1086440196996261</v>
      </c>
      <c r="L18">
        <f t="shared" si="3"/>
        <v>0.51227647041213609</v>
      </c>
      <c r="M18">
        <f t="shared" si="4"/>
        <v>0.4702669799679241</v>
      </c>
      <c r="N18">
        <f t="shared" si="5"/>
        <v>0.70907603620248827</v>
      </c>
      <c r="O18">
        <f t="shared" si="6"/>
        <v>0.69452768405249843</v>
      </c>
      <c r="P18">
        <f t="shared" si="7"/>
        <v>0.81231890800718165</v>
      </c>
      <c r="Q18">
        <f t="shared" si="8"/>
        <v>0.70156596201634713</v>
      </c>
    </row>
    <row r="19" spans="1:17" x14ac:dyDescent="0.6">
      <c r="A19">
        <v>60</v>
      </c>
      <c r="B19" t="s">
        <v>9</v>
      </c>
      <c r="C19" t="s">
        <v>174</v>
      </c>
      <c r="D19">
        <v>7.4022491319999997</v>
      </c>
      <c r="E19">
        <v>0.29280848900000001</v>
      </c>
      <c r="F19" s="13">
        <v>5.6577973799999999</v>
      </c>
      <c r="G19" s="13">
        <v>0.41224095599999999</v>
      </c>
      <c r="H19">
        <v>4.7761230469999996</v>
      </c>
      <c r="I19" s="13">
        <v>0.345879985</v>
      </c>
      <c r="J19">
        <f t="shared" si="0"/>
        <v>3.889663214936439</v>
      </c>
      <c r="K19">
        <f t="shared" si="1"/>
        <v>1.114043931314701</v>
      </c>
      <c r="L19">
        <f t="shared" si="3"/>
        <v>0.73501022910559211</v>
      </c>
      <c r="M19">
        <f t="shared" si="4"/>
        <v>0.71691164577395405</v>
      </c>
      <c r="N19">
        <f t="shared" si="5"/>
        <v>0.83255780553110914</v>
      </c>
      <c r="O19">
        <f t="shared" si="6"/>
        <v>0.82804569691442786</v>
      </c>
      <c r="P19">
        <f t="shared" si="7"/>
        <v>0.40452378671277361</v>
      </c>
      <c r="Q19">
        <f t="shared" si="8"/>
        <v>0.37261405089858213</v>
      </c>
    </row>
    <row r="20" spans="1:17" x14ac:dyDescent="0.6">
      <c r="A20">
        <v>60</v>
      </c>
      <c r="B20" t="s">
        <v>99</v>
      </c>
      <c r="C20" t="s">
        <v>177</v>
      </c>
      <c r="D20">
        <v>7.3469796230000002</v>
      </c>
      <c r="E20">
        <v>0.28775952199999999</v>
      </c>
      <c r="F20">
        <v>5.6367152819999999</v>
      </c>
      <c r="G20">
        <v>0.41066739000000002</v>
      </c>
      <c r="H20">
        <v>4.8701782229999999</v>
      </c>
      <c r="I20">
        <v>0.35273478600000002</v>
      </c>
      <c r="J20">
        <f t="shared" si="0"/>
        <v>3.860693287607595</v>
      </c>
      <c r="K20">
        <f t="shared" si="1"/>
        <v>1.1249747382931001</v>
      </c>
      <c r="L20">
        <f t="shared" si="3"/>
        <v>0.81618973822373508</v>
      </c>
      <c r="M20">
        <f t="shared" si="4"/>
        <v>0.81419066878638346</v>
      </c>
      <c r="N20">
        <f t="shared" si="5"/>
        <v>0.86127027863123418</v>
      </c>
      <c r="O20">
        <f t="shared" si="6"/>
        <v>0.85822843378056757</v>
      </c>
      <c r="P20">
        <f t="shared" si="7"/>
        <v>0.26049163390220215</v>
      </c>
      <c r="Q20">
        <f t="shared" si="8"/>
        <v>0.25032253428347229</v>
      </c>
    </row>
    <row r="21" spans="1:17" x14ac:dyDescent="0.6">
      <c r="A21">
        <v>60</v>
      </c>
      <c r="B21" t="s">
        <v>9</v>
      </c>
      <c r="C21" t="s">
        <v>177</v>
      </c>
      <c r="D21">
        <v>7.3762618</v>
      </c>
      <c r="E21">
        <v>0.29004984900000003</v>
      </c>
      <c r="F21">
        <v>5.6494709360000002</v>
      </c>
      <c r="G21">
        <v>0.411655777</v>
      </c>
      <c r="H21">
        <v>4.8190307619999997</v>
      </c>
      <c r="I21">
        <v>0.352155361</v>
      </c>
      <c r="J21">
        <f t="shared" si="0"/>
        <v>3.8258872510919693</v>
      </c>
      <c r="K21">
        <f t="shared" si="1"/>
        <v>1.094535399428112</v>
      </c>
      <c r="L21">
        <f t="shared" si="3"/>
        <v>0.77318025980100147</v>
      </c>
      <c r="M21">
        <f t="shared" si="4"/>
        <v>0.770062677270695</v>
      </c>
      <c r="N21">
        <f t="shared" si="5"/>
        <v>0.84389789129343173</v>
      </c>
      <c r="O21">
        <f t="shared" si="6"/>
        <v>0.83927007757376526</v>
      </c>
      <c r="P21">
        <f t="shared" si="7"/>
        <v>0.33881671107418837</v>
      </c>
      <c r="Q21">
        <f t="shared" si="8"/>
        <v>0.26065963407888754</v>
      </c>
    </row>
    <row r="22" spans="1:17" x14ac:dyDescent="0.6">
      <c r="A22">
        <v>60</v>
      </c>
      <c r="B22" t="s">
        <v>99</v>
      </c>
      <c r="C22" t="s">
        <v>181</v>
      </c>
      <c r="D22">
        <v>7.2622173610000003</v>
      </c>
      <c r="E22">
        <v>0.28053172900000001</v>
      </c>
      <c r="F22">
        <v>5.6549204050000004</v>
      </c>
      <c r="G22">
        <v>0.41162120499999999</v>
      </c>
      <c r="H22">
        <v>4.9458618159999999</v>
      </c>
      <c r="I22">
        <v>0.36269718000000001</v>
      </c>
      <c r="J22">
        <f t="shared" si="0"/>
        <v>3.7877303333469952</v>
      </c>
      <c r="K22">
        <f t="shared" si="1"/>
        <v>1.1246421337912236</v>
      </c>
      <c r="L22">
        <f t="shared" si="3"/>
        <v>0.94068801847629679</v>
      </c>
      <c r="M22">
        <f t="shared" si="4"/>
        <v>0.95344938083105968</v>
      </c>
      <c r="N22">
        <f t="shared" si="5"/>
        <v>0.83647606202044045</v>
      </c>
      <c r="O22">
        <f t="shared" si="6"/>
        <v>0.83993320678406624</v>
      </c>
      <c r="P22">
        <f t="shared" si="7"/>
        <v>0.14459295298081351</v>
      </c>
      <c r="Q22">
        <f t="shared" si="8"/>
        <v>7.2590712254318485E-2</v>
      </c>
    </row>
    <row r="23" spans="1:17" x14ac:dyDescent="0.6">
      <c r="A23">
        <v>60</v>
      </c>
      <c r="B23" t="s">
        <v>99</v>
      </c>
      <c r="C23" t="s">
        <v>167</v>
      </c>
      <c r="D23">
        <v>7.5261966029999998</v>
      </c>
      <c r="E23">
        <v>0.30075816700000002</v>
      </c>
      <c r="F23">
        <v>5.8170013430000003</v>
      </c>
      <c r="G23">
        <v>0.42313114499999999</v>
      </c>
      <c r="H23">
        <v>4.5469360349999999</v>
      </c>
      <c r="I23">
        <v>0.333240543</v>
      </c>
      <c r="J23">
        <f t="shared" si="0"/>
        <v>3.7051895406662876</v>
      </c>
      <c r="K23">
        <f t="shared" si="1"/>
        <v>0.99178864356626106</v>
      </c>
      <c r="L23">
        <f t="shared" si="3"/>
        <v>0.5529569589704193</v>
      </c>
      <c r="M23">
        <f t="shared" si="4"/>
        <v>0.56374429310490248</v>
      </c>
      <c r="N23">
        <f t="shared" si="5"/>
        <v>0.61573216013894627</v>
      </c>
      <c r="O23">
        <f t="shared" si="6"/>
        <v>0.61915982303971639</v>
      </c>
      <c r="P23">
        <f t="shared" si="7"/>
        <v>0.75549116712129161</v>
      </c>
      <c r="Q23">
        <f t="shared" si="8"/>
        <v>0.59810513829101164</v>
      </c>
    </row>
    <row r="24" spans="1:17" x14ac:dyDescent="0.6">
      <c r="A24">
        <v>60</v>
      </c>
      <c r="B24" t="s">
        <v>99</v>
      </c>
      <c r="C24" t="s">
        <v>8</v>
      </c>
      <c r="D24">
        <v>7.4376990000000003</v>
      </c>
      <c r="E24">
        <v>0.29449999999999998</v>
      </c>
      <c r="F24">
        <v>5.6944710000000001</v>
      </c>
      <c r="G24">
        <v>0.41458800000000001</v>
      </c>
      <c r="H24">
        <v>4.959778</v>
      </c>
      <c r="I24">
        <v>0.34940700000000002</v>
      </c>
      <c r="J24">
        <f t="shared" si="0"/>
        <v>3.3658737001851931</v>
      </c>
      <c r="K24">
        <f t="shared" si="1"/>
        <v>0.8495394449910042</v>
      </c>
      <c r="L24">
        <f t="shared" si="3"/>
        <v>0.68294168471987948</v>
      </c>
      <c r="M24">
        <f t="shared" si="4"/>
        <v>0.68432111042389632</v>
      </c>
      <c r="N24">
        <f t="shared" si="5"/>
        <v>0.78261067371651383</v>
      </c>
      <c r="O24">
        <f t="shared" si="6"/>
        <v>0.78302679623580762</v>
      </c>
      <c r="P24">
        <f t="shared" si="7"/>
        <v>0.12328229230618944</v>
      </c>
      <c r="Q24">
        <f t="shared" si="8"/>
        <v>0.30969114278290627</v>
      </c>
    </row>
    <row r="25" spans="1:17" x14ac:dyDescent="0.6">
      <c r="A25">
        <v>60</v>
      </c>
      <c r="B25" t="s">
        <v>6</v>
      </c>
      <c r="C25" t="s">
        <v>8</v>
      </c>
      <c r="D25" s="13">
        <v>7.5197311899999999</v>
      </c>
      <c r="E25">
        <v>0.30258052699999999</v>
      </c>
      <c r="F25">
        <v>5.7225223889999999</v>
      </c>
      <c r="G25">
        <v>0.41718175000000002</v>
      </c>
      <c r="H25">
        <v>4.8104858400000001</v>
      </c>
      <c r="I25">
        <v>0.34794145700000001</v>
      </c>
      <c r="J25">
        <f t="shared" si="0"/>
        <v>3.256507139866514</v>
      </c>
      <c r="K25">
        <f t="shared" si="1"/>
        <v>0.78021072919484513</v>
      </c>
      <c r="L25">
        <f t="shared" si="3"/>
        <v>0.56245331714479818</v>
      </c>
      <c r="M25">
        <f t="shared" si="4"/>
        <v>0.5286326751488083</v>
      </c>
      <c r="N25">
        <f t="shared" si="5"/>
        <v>0.74440647069631916</v>
      </c>
      <c r="O25">
        <f t="shared" si="6"/>
        <v>0.73327580152281102</v>
      </c>
      <c r="P25">
        <f t="shared" si="7"/>
        <v>0.35190204633801636</v>
      </c>
      <c r="Q25">
        <f t="shared" si="8"/>
        <v>0.33583682901576101</v>
      </c>
    </row>
    <row r="26" spans="1:17" x14ac:dyDescent="0.6">
      <c r="A26">
        <v>60</v>
      </c>
      <c r="B26" t="s">
        <v>6</v>
      </c>
      <c r="C26" t="s">
        <v>184</v>
      </c>
      <c r="D26" s="13">
        <v>7.4011120400000001</v>
      </c>
      <c r="E26">
        <v>0.291778708</v>
      </c>
      <c r="F26">
        <v>5.6897693980000001</v>
      </c>
      <c r="G26">
        <v>0.41433295599999997</v>
      </c>
      <c r="H26">
        <v>5.0358276369999997</v>
      </c>
      <c r="I26">
        <v>0.36658699099999997</v>
      </c>
      <c r="J26">
        <f t="shared" si="0"/>
        <v>3.0603842062786955</v>
      </c>
      <c r="K26">
        <f t="shared" si="1"/>
        <v>0.75928343363609463</v>
      </c>
      <c r="L26">
        <f t="shared" si="3"/>
        <v>0.73668038272288106</v>
      </c>
      <c r="M26">
        <f t="shared" si="4"/>
        <v>0.73675255374518123</v>
      </c>
      <c r="N26">
        <f t="shared" si="5"/>
        <v>0.78901395582593636</v>
      </c>
      <c r="O26">
        <f t="shared" si="6"/>
        <v>0.78791882233530963</v>
      </c>
      <c r="P26">
        <f t="shared" si="7"/>
        <v>6.823066951357269E-3</v>
      </c>
      <c r="Q26">
        <f t="shared" si="8"/>
        <v>3.1954246980303511E-3</v>
      </c>
    </row>
    <row r="27" spans="1:17" x14ac:dyDescent="0.6">
      <c r="A27">
        <v>60</v>
      </c>
      <c r="B27" t="s">
        <v>99</v>
      </c>
      <c r="C27" t="s">
        <v>7</v>
      </c>
      <c r="D27">
        <v>7.4350009999999997</v>
      </c>
      <c r="E27">
        <v>0.29480000000000001</v>
      </c>
      <c r="F27">
        <v>5.7304399999999998</v>
      </c>
      <c r="G27">
        <v>0.41740500000000003</v>
      </c>
      <c r="H27">
        <v>4.920471</v>
      </c>
      <c r="I27">
        <v>0.36538900000000002</v>
      </c>
      <c r="J27">
        <f t="shared" si="0"/>
        <v>3.0361055697425074</v>
      </c>
      <c r="K27">
        <f t="shared" si="1"/>
        <v>0.71612881727102962</v>
      </c>
      <c r="L27">
        <f t="shared" si="3"/>
        <v>0.68690449024436495</v>
      </c>
      <c r="M27">
        <f t="shared" si="4"/>
        <v>0.67854097620956477</v>
      </c>
      <c r="N27">
        <f t="shared" si="5"/>
        <v>0.73362318940928828</v>
      </c>
      <c r="O27">
        <f t="shared" si="6"/>
        <v>0.72899361952004404</v>
      </c>
      <c r="P27">
        <f t="shared" si="7"/>
        <v>0.18347538397107674</v>
      </c>
      <c r="Q27">
        <f t="shared" si="8"/>
        <v>2.4567910388168693E-2</v>
      </c>
    </row>
    <row r="28" spans="1:17" x14ac:dyDescent="0.6">
      <c r="A28">
        <v>60</v>
      </c>
      <c r="B28" t="s">
        <v>9</v>
      </c>
      <c r="C28" t="s">
        <v>171</v>
      </c>
      <c r="D28">
        <v>7.5462677969999996</v>
      </c>
      <c r="E28">
        <v>0.30261386400000001</v>
      </c>
      <c r="F28" s="13">
        <v>5.8844521260000002</v>
      </c>
      <c r="G28" s="13">
        <v>0.42830052499999999</v>
      </c>
      <c r="H28">
        <v>4.7680053710000001</v>
      </c>
      <c r="I28" s="13">
        <v>0.34497756899999998</v>
      </c>
      <c r="J28">
        <f t="shared" si="0"/>
        <v>2.9010090257903798</v>
      </c>
      <c r="K28">
        <f t="shared" si="1"/>
        <v>0.6095864344670856</v>
      </c>
      <c r="L28">
        <f t="shared" si="3"/>
        <v>0.52347651476500723</v>
      </c>
      <c r="M28">
        <f t="shared" si="4"/>
        <v>0.52799036736779736</v>
      </c>
      <c r="N28">
        <f t="shared" si="5"/>
        <v>0.52386849493494825</v>
      </c>
      <c r="O28">
        <f t="shared" si="6"/>
        <v>0.52000539526160749</v>
      </c>
      <c r="P28">
        <f t="shared" si="7"/>
        <v>0.41695485536654581</v>
      </c>
      <c r="Q28">
        <f t="shared" si="8"/>
        <v>0.38871339809447342</v>
      </c>
    </row>
    <row r="29" spans="1:17" x14ac:dyDescent="0.6">
      <c r="A29">
        <v>60</v>
      </c>
      <c r="B29" t="s">
        <v>6</v>
      </c>
      <c r="C29" t="s">
        <v>7</v>
      </c>
      <c r="D29" s="13">
        <v>7.6476130290000004</v>
      </c>
      <c r="E29">
        <v>0.31321900499999999</v>
      </c>
      <c r="F29" s="13">
        <v>5.8081255829999998</v>
      </c>
      <c r="G29" s="13">
        <v>0.42361236699999999</v>
      </c>
      <c r="H29">
        <v>4.7575073239999996</v>
      </c>
      <c r="I29" s="13">
        <v>0.349641074</v>
      </c>
      <c r="J29">
        <f t="shared" si="0"/>
        <v>2.6745773332886977</v>
      </c>
      <c r="K29">
        <f t="shared" si="1"/>
        <v>0.52751548550843619</v>
      </c>
      <c r="L29">
        <f t="shared" si="3"/>
        <v>0.37462127190000455</v>
      </c>
      <c r="M29">
        <f t="shared" si="4"/>
        <v>0.32365990622811192</v>
      </c>
      <c r="N29">
        <f t="shared" si="5"/>
        <v>0.62782037926415757</v>
      </c>
      <c r="O29">
        <f t="shared" si="6"/>
        <v>0.60992945265792253</v>
      </c>
      <c r="P29">
        <f t="shared" si="7"/>
        <v>0.43303112436121144</v>
      </c>
      <c r="Q29">
        <f t="shared" si="8"/>
        <v>0.30551519887729006</v>
      </c>
    </row>
    <row r="30" spans="1:17" x14ac:dyDescent="0.6">
      <c r="A30">
        <v>60</v>
      </c>
      <c r="B30" t="s">
        <v>6</v>
      </c>
      <c r="C30" t="s">
        <v>167</v>
      </c>
      <c r="D30" s="13">
        <v>7.7816613529999996</v>
      </c>
      <c r="E30">
        <v>0.32546652799999998</v>
      </c>
      <c r="F30">
        <v>5.9491840710000004</v>
      </c>
      <c r="G30">
        <v>0.43443104399999999</v>
      </c>
      <c r="H30">
        <v>4.474609375</v>
      </c>
      <c r="I30">
        <v>0.32742282499999997</v>
      </c>
      <c r="J30">
        <f t="shared" si="0"/>
        <v>2.6716843809744022</v>
      </c>
      <c r="K30">
        <f t="shared" si="1"/>
        <v>0.56745535133087388</v>
      </c>
      <c r="L30">
        <f t="shared" si="3"/>
        <v>0.17773193205749169</v>
      </c>
      <c r="M30">
        <f t="shared" si="4"/>
        <v>8.7685483784421245E-2</v>
      </c>
      <c r="N30">
        <f t="shared" si="5"/>
        <v>0.43570771371045713</v>
      </c>
      <c r="O30">
        <f t="shared" si="6"/>
        <v>0.40241525806375689</v>
      </c>
      <c r="P30">
        <f t="shared" si="7"/>
        <v>0.866249181602049</v>
      </c>
      <c r="Q30">
        <f t="shared" si="8"/>
        <v>0.70189481175622603</v>
      </c>
    </row>
    <row r="31" spans="1:17" x14ac:dyDescent="0.6">
      <c r="A31">
        <v>60</v>
      </c>
      <c r="B31" t="s">
        <v>9</v>
      </c>
      <c r="C31" t="s">
        <v>7</v>
      </c>
      <c r="D31">
        <v>7.4964709120000004</v>
      </c>
      <c r="E31">
        <v>0.29857578600000001</v>
      </c>
      <c r="F31">
        <v>5.8058312159999996</v>
      </c>
      <c r="G31">
        <v>0.42238218300000002</v>
      </c>
      <c r="H31">
        <v>5.0402832030000004</v>
      </c>
      <c r="I31">
        <v>0.36676610399999998</v>
      </c>
      <c r="J31">
        <f t="shared" si="0"/>
        <v>2.4668812483672329</v>
      </c>
      <c r="K31">
        <f t="shared" si="1"/>
        <v>0.49509306146769144</v>
      </c>
      <c r="L31">
        <f t="shared" si="3"/>
        <v>0.59661786798225036</v>
      </c>
      <c r="M31">
        <f t="shared" si="4"/>
        <v>0.60579247672758996</v>
      </c>
      <c r="N31">
        <f t="shared" si="5"/>
        <v>0.63094516080958629</v>
      </c>
      <c r="O31">
        <f t="shared" si="6"/>
        <v>0.63352574284780649</v>
      </c>
      <c r="P31">
        <f t="shared" si="7"/>
        <v>0</v>
      </c>
      <c r="Q31">
        <f t="shared" si="8"/>
        <v>0</v>
      </c>
    </row>
    <row r="32" spans="1:17" x14ac:dyDescent="0.6">
      <c r="A32">
        <v>60</v>
      </c>
      <c r="B32" t="s">
        <v>99</v>
      </c>
      <c r="C32" t="s">
        <v>184</v>
      </c>
      <c r="D32">
        <v>7.7454439849999996</v>
      </c>
      <c r="E32">
        <v>0.317733767</v>
      </c>
      <c r="F32">
        <v>6.0763272370000001</v>
      </c>
      <c r="G32">
        <v>0.44181479699999998</v>
      </c>
      <c r="H32">
        <v>4.8731079099999999</v>
      </c>
      <c r="I32">
        <v>0.35573152899999999</v>
      </c>
      <c r="J32">
        <f t="shared" si="0"/>
        <v>1.4437998401809125</v>
      </c>
      <c r="K32">
        <f t="shared" si="1"/>
        <v>0.1506370557650146</v>
      </c>
      <c r="L32">
        <f t="shared" si="3"/>
        <v>0.23092777564262584</v>
      </c>
      <c r="M32">
        <f t="shared" si="4"/>
        <v>0.23667347187557183</v>
      </c>
      <c r="N32">
        <f t="shared" si="5"/>
        <v>0.262546829360155</v>
      </c>
      <c r="O32">
        <f t="shared" si="6"/>
        <v>0.26078670617360861</v>
      </c>
      <c r="P32">
        <f t="shared" si="7"/>
        <v>0.25600523407162673</v>
      </c>
      <c r="Q32">
        <f t="shared" si="8"/>
        <v>0.19685982305732447</v>
      </c>
    </row>
    <row r="33" spans="1:17" x14ac:dyDescent="0.6">
      <c r="A33">
        <v>60</v>
      </c>
      <c r="B33" t="s">
        <v>9</v>
      </c>
      <c r="C33" t="s">
        <v>181</v>
      </c>
      <c r="D33">
        <v>7.9026667240000004</v>
      </c>
      <c r="E33">
        <v>0.33001757199999998</v>
      </c>
      <c r="F33">
        <v>6.269101923</v>
      </c>
      <c r="G33">
        <v>0.45541081700000002</v>
      </c>
      <c r="H33">
        <v>4.9424438479999999</v>
      </c>
      <c r="I33">
        <v>0.35711145100000002</v>
      </c>
      <c r="J33">
        <f t="shared" si="0"/>
        <v>0.32206872464298408</v>
      </c>
      <c r="K33">
        <f t="shared" si="1"/>
        <v>1.1174526184449371E-2</v>
      </c>
      <c r="L33">
        <f t="shared" si="3"/>
        <v>0</v>
      </c>
      <c r="M33">
        <f t="shared" si="4"/>
        <v>0</v>
      </c>
      <c r="N33">
        <f t="shared" si="5"/>
        <v>0</v>
      </c>
      <c r="O33">
        <f t="shared" si="6"/>
        <v>0</v>
      </c>
      <c r="P33">
        <f t="shared" si="7"/>
        <v>0.14982708586125842</v>
      </c>
      <c r="Q33">
        <f t="shared" si="8"/>
        <v>0.17224163878172563</v>
      </c>
    </row>
  </sheetData>
  <autoFilter ref="A1:P33" xr:uid="{CBAEA46E-4C51-40E1-9956-EDC258F78DDA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34" priority="8" percent="1" bottom="1" rank="5"/>
  </conditionalFormatting>
  <conditionalFormatting sqref="D1:J1">
    <cfRule type="top10" dxfId="33" priority="9" percent="1" bottom="1" rank="10"/>
  </conditionalFormatting>
  <conditionalFormatting sqref="E1:E1048576">
    <cfRule type="top10" dxfId="32" priority="7" percent="1" bottom="1" rank="5"/>
  </conditionalFormatting>
  <conditionalFormatting sqref="F1:F1048576">
    <cfRule type="top10" dxfId="31" priority="6" percent="1" bottom="1" rank="5"/>
  </conditionalFormatting>
  <conditionalFormatting sqref="G1:G1048576">
    <cfRule type="top10" dxfId="30" priority="5" percent="1" bottom="1" rank="5"/>
  </conditionalFormatting>
  <conditionalFormatting sqref="H1:H1048576">
    <cfRule type="top10" dxfId="29" priority="4" percent="1" bottom="1" rank="5"/>
  </conditionalFormatting>
  <conditionalFormatting sqref="I1:J1048576">
    <cfRule type="top10" dxfId="28" priority="3" percent="1" bottom="1" rank="5"/>
  </conditionalFormatting>
  <conditionalFormatting sqref="K1">
    <cfRule type="top10" dxfId="27" priority="1" percent="1" bottom="1" rank="10"/>
    <cfRule type="top10" dxfId="26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Q33"/>
  <sheetViews>
    <sheetView workbookViewId="0">
      <selection activeCell="B2" sqref="B2:I2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90</v>
      </c>
      <c r="B2" t="s">
        <v>92</v>
      </c>
      <c r="C2" t="s">
        <v>7</v>
      </c>
      <c r="D2">
        <v>7.1349489999999998</v>
      </c>
      <c r="E2">
        <v>0.27160000000000001</v>
      </c>
      <c r="F2">
        <v>5.4568960000000004</v>
      </c>
      <c r="G2">
        <v>0.397374</v>
      </c>
      <c r="H2">
        <v>4.4688720000000002</v>
      </c>
      <c r="I2">
        <v>0.32714700000000002</v>
      </c>
      <c r="J2">
        <f t="shared" ref="J2:J33" si="0">SUM(L2:Q2)</f>
        <v>5.4771908375300145</v>
      </c>
      <c r="K2">
        <f t="shared" ref="K2:K33" si="1">0.5*SIN(RADIANS(60))*((L2*M2)+(M2*N2)+(N2*O2)+(O2*P2)+(P2*Q2)+(Q2*L2))</f>
        <v>2.1748982493104481</v>
      </c>
      <c r="L2">
        <f t="shared" ref="L2:Q2" si="2">(MAX(D:D)-D2)/(MAX(D:D)-MIN(D:D))</f>
        <v>1</v>
      </c>
      <c r="M2">
        <f t="shared" si="2"/>
        <v>1</v>
      </c>
      <c r="N2">
        <f t="shared" si="2"/>
        <v>1</v>
      </c>
      <c r="O2">
        <f t="shared" si="2"/>
        <v>1</v>
      </c>
      <c r="P2">
        <f t="shared" si="2"/>
        <v>0.73730261060488367</v>
      </c>
      <c r="Q2">
        <f t="shared" si="2"/>
        <v>0.73988822692513057</v>
      </c>
    </row>
    <row r="3" spans="1:17" x14ac:dyDescent="0.6">
      <c r="A3">
        <v>90</v>
      </c>
      <c r="B3" t="s">
        <v>6</v>
      </c>
      <c r="C3" t="s">
        <v>8</v>
      </c>
      <c r="D3" s="13">
        <v>7.2547915349999998</v>
      </c>
      <c r="E3">
        <v>0.28035698399999998</v>
      </c>
      <c r="F3">
        <v>5.5410415439999996</v>
      </c>
      <c r="G3">
        <v>0.40317481399999999</v>
      </c>
      <c r="H3">
        <v>4.2892456049999996</v>
      </c>
      <c r="I3">
        <v>0.316562648</v>
      </c>
      <c r="J3">
        <f t="shared" si="0"/>
        <v>5.4034610468562629</v>
      </c>
      <c r="K3">
        <f t="shared" si="1"/>
        <v>2.1097581099285674</v>
      </c>
      <c r="L3">
        <f t="shared" ref="L3:L33" si="3">(MAX(D:D)-D3)/(MAX(D:D)-MIN(D:D))</f>
        <v>0.83824298806824316</v>
      </c>
      <c r="M3">
        <f t="shared" ref="M3:M33" si="4">(MAX(E:E)-E3)/(MAX(E:E)-MIN(E:E))</f>
        <v>0.86033518341307857</v>
      </c>
      <c r="N3">
        <f t="shared" ref="N3:N33" si="5">(MAX(F:F)-F3)/(MAX(F:F)-MIN(F:F))</f>
        <v>0.84965409220717503</v>
      </c>
      <c r="O3">
        <f t="shared" ref="O3:O33" si="6">(MAX(G:G)-G3)/(MAX(G:G)-MIN(G:G))</f>
        <v>0.8552287831677664</v>
      </c>
      <c r="P3">
        <f t="shared" ref="P3:P33" si="7">(MAX(H:H)-H3)/(MAX(H:H)-MIN(H:H))</f>
        <v>1</v>
      </c>
      <c r="Q3">
        <f t="shared" ref="Q3:Q33" si="8">(MAX(I:I)-I3)/(MAX(I:I)-MIN(I:I))</f>
        <v>1</v>
      </c>
    </row>
    <row r="4" spans="1:17" x14ac:dyDescent="0.6">
      <c r="A4">
        <v>90</v>
      </c>
      <c r="B4" t="s">
        <v>6</v>
      </c>
      <c r="C4" t="s">
        <v>181</v>
      </c>
      <c r="D4" s="13">
        <v>7.2533024179999996</v>
      </c>
      <c r="E4">
        <v>0.280864318</v>
      </c>
      <c r="F4">
        <v>5.464723352</v>
      </c>
      <c r="G4">
        <v>0.39796667800000002</v>
      </c>
      <c r="H4">
        <v>4.4476318360000002</v>
      </c>
      <c r="I4">
        <v>0.32151564300000002</v>
      </c>
      <c r="J4">
        <f t="shared" si="0"/>
        <v>5.3103648843360398</v>
      </c>
      <c r="K4">
        <f t="shared" si="1"/>
        <v>2.0341516689786014</v>
      </c>
      <c r="L4">
        <f t="shared" si="3"/>
        <v>0.84025291815138781</v>
      </c>
      <c r="M4">
        <f t="shared" si="4"/>
        <v>0.85224373205741633</v>
      </c>
      <c r="N4">
        <f t="shared" si="5"/>
        <v>0.98601458513294604</v>
      </c>
      <c r="O4">
        <f t="shared" si="6"/>
        <v>0.9852085043151364</v>
      </c>
      <c r="P4">
        <f t="shared" si="7"/>
        <v>0.76836561575579199</v>
      </c>
      <c r="Q4">
        <f t="shared" si="8"/>
        <v>0.87827952892336114</v>
      </c>
    </row>
    <row r="5" spans="1:17" x14ac:dyDescent="0.6">
      <c r="A5">
        <v>90</v>
      </c>
      <c r="B5" t="s">
        <v>99</v>
      </c>
      <c r="C5" t="s">
        <v>171</v>
      </c>
      <c r="D5">
        <v>7.2289853859999997</v>
      </c>
      <c r="E5">
        <v>0.27868094199999999</v>
      </c>
      <c r="F5">
        <v>5.5359931839999996</v>
      </c>
      <c r="G5">
        <v>0.40285466599999997</v>
      </c>
      <c r="H5">
        <v>4.408691406</v>
      </c>
      <c r="I5">
        <v>0.31815025299999999</v>
      </c>
      <c r="J5">
        <f t="shared" si="0"/>
        <v>5.2683330273732629</v>
      </c>
      <c r="K5">
        <f t="shared" si="1"/>
        <v>2.0013641668558626</v>
      </c>
      <c r="L5">
        <f t="shared" si="3"/>
        <v>0.87307474084872061</v>
      </c>
      <c r="M5">
        <f t="shared" si="4"/>
        <v>0.88706631578947392</v>
      </c>
      <c r="N5">
        <f t="shared" si="5"/>
        <v>0.85867418086528613</v>
      </c>
      <c r="O5">
        <f t="shared" si="6"/>
        <v>0.86321873346205424</v>
      </c>
      <c r="P5">
        <f t="shared" si="7"/>
        <v>0.82531464767798424</v>
      </c>
      <c r="Q5">
        <f t="shared" si="8"/>
        <v>0.96098440872974322</v>
      </c>
    </row>
    <row r="6" spans="1:17" x14ac:dyDescent="0.6">
      <c r="A6">
        <v>90</v>
      </c>
      <c r="B6" t="s">
        <v>99</v>
      </c>
      <c r="C6" t="s">
        <v>8</v>
      </c>
      <c r="D6">
        <v>7.2208379999999996</v>
      </c>
      <c r="E6">
        <v>0.27789999999999998</v>
      </c>
      <c r="F6">
        <v>5.5475659999999998</v>
      </c>
      <c r="G6">
        <v>0.40374199999999999</v>
      </c>
      <c r="H6">
        <v>4.4656370000000001</v>
      </c>
      <c r="I6">
        <v>0.32366</v>
      </c>
      <c r="J6">
        <f t="shared" si="0"/>
        <v>5.0302786512399962</v>
      </c>
      <c r="K6">
        <f t="shared" si="1"/>
        <v>1.8275049305434916</v>
      </c>
      <c r="L6">
        <f t="shared" si="3"/>
        <v>0.88407164453082843</v>
      </c>
      <c r="M6">
        <f t="shared" si="4"/>
        <v>0.89952153110047883</v>
      </c>
      <c r="N6">
        <f t="shared" si="5"/>
        <v>0.83799660907087992</v>
      </c>
      <c r="O6">
        <f t="shared" si="6"/>
        <v>0.84107349265333042</v>
      </c>
      <c r="P6">
        <f t="shared" si="7"/>
        <v>0.74203368620595678</v>
      </c>
      <c r="Q6">
        <f t="shared" si="8"/>
        <v>0.82558168767852136</v>
      </c>
    </row>
    <row r="7" spans="1:17" x14ac:dyDescent="0.6">
      <c r="A7">
        <v>90</v>
      </c>
      <c r="B7" t="s">
        <v>99</v>
      </c>
      <c r="C7" t="s">
        <v>174</v>
      </c>
      <c r="D7">
        <v>7.2594257999999998</v>
      </c>
      <c r="E7">
        <v>0.28020475099999997</v>
      </c>
      <c r="F7">
        <v>5.5426719350000004</v>
      </c>
      <c r="G7">
        <v>0.40314418099999999</v>
      </c>
      <c r="H7">
        <v>4.4960327150000001</v>
      </c>
      <c r="I7">
        <v>0.32887792500000002</v>
      </c>
      <c r="J7">
        <f t="shared" si="0"/>
        <v>4.7924168871493338</v>
      </c>
      <c r="K7">
        <f t="shared" si="1"/>
        <v>1.6614352755471844</v>
      </c>
      <c r="L7">
        <f t="shared" si="3"/>
        <v>0.83198790627362063</v>
      </c>
      <c r="M7">
        <f t="shared" si="4"/>
        <v>0.86276314194577397</v>
      </c>
      <c r="N7">
        <f t="shared" si="5"/>
        <v>0.84674101323352935</v>
      </c>
      <c r="O7">
        <f t="shared" si="6"/>
        <v>0.85599329254269585</v>
      </c>
      <c r="P7">
        <f t="shared" si="7"/>
        <v>0.69758100440884141</v>
      </c>
      <c r="Q7">
        <f t="shared" si="8"/>
        <v>0.69735052874487202</v>
      </c>
    </row>
    <row r="8" spans="1:17" x14ac:dyDescent="0.6">
      <c r="A8">
        <v>90</v>
      </c>
      <c r="B8" t="s">
        <v>99</v>
      </c>
      <c r="C8" t="s">
        <v>177</v>
      </c>
      <c r="D8">
        <v>7.2754718360000004</v>
      </c>
      <c r="E8">
        <v>0.28256596299999998</v>
      </c>
      <c r="F8">
        <v>5.5001103650000003</v>
      </c>
      <c r="G8">
        <v>0.40045828500000002</v>
      </c>
      <c r="H8">
        <v>4.5510864260000004</v>
      </c>
      <c r="I8">
        <v>0.33052569700000001</v>
      </c>
      <c r="J8">
        <f t="shared" si="0"/>
        <v>4.7551699291672787</v>
      </c>
      <c r="K8">
        <f t="shared" si="1"/>
        <v>1.6406510520786568</v>
      </c>
      <c r="L8">
        <f t="shared" si="3"/>
        <v>0.81032982939207365</v>
      </c>
      <c r="M8">
        <f t="shared" si="4"/>
        <v>0.82510425837320622</v>
      </c>
      <c r="N8">
        <f t="shared" si="5"/>
        <v>0.92278732031709809</v>
      </c>
      <c r="O8">
        <f t="shared" si="6"/>
        <v>0.92302533877014337</v>
      </c>
      <c r="P8">
        <f t="shared" si="7"/>
        <v>0.61706685638391878</v>
      </c>
      <c r="Q8">
        <f t="shared" si="8"/>
        <v>0.65685632593083854</v>
      </c>
    </row>
    <row r="9" spans="1:17" x14ac:dyDescent="0.6">
      <c r="A9">
        <v>90</v>
      </c>
      <c r="B9" t="s">
        <v>9</v>
      </c>
      <c r="C9" t="s">
        <v>8</v>
      </c>
      <c r="D9">
        <v>7.33282232</v>
      </c>
      <c r="E9">
        <v>0.286137586</v>
      </c>
      <c r="F9" s="13">
        <v>5.6326327389999999</v>
      </c>
      <c r="G9" s="13">
        <v>0.40964829400000002</v>
      </c>
      <c r="H9">
        <v>4.3694458010000004</v>
      </c>
      <c r="I9" s="13">
        <v>0.31713756399999998</v>
      </c>
      <c r="J9">
        <f t="shared" si="0"/>
        <v>4.7493177325059044</v>
      </c>
      <c r="K9">
        <f t="shared" si="1"/>
        <v>1.6328516017921573</v>
      </c>
      <c r="L9">
        <f t="shared" si="3"/>
        <v>0.7329212288089838</v>
      </c>
      <c r="M9">
        <f t="shared" si="4"/>
        <v>0.76814057416267945</v>
      </c>
      <c r="N9">
        <f t="shared" si="5"/>
        <v>0.68600476862439763</v>
      </c>
      <c r="O9">
        <f t="shared" si="6"/>
        <v>0.69366980597264616</v>
      </c>
      <c r="P9">
        <f t="shared" si="7"/>
        <v>0.88270998748164609</v>
      </c>
      <c r="Q9">
        <f t="shared" si="8"/>
        <v>0.98587136745555082</v>
      </c>
    </row>
    <row r="10" spans="1:17" x14ac:dyDescent="0.6">
      <c r="A10">
        <v>90</v>
      </c>
      <c r="B10" t="s">
        <v>6</v>
      </c>
      <c r="C10" t="s">
        <v>177</v>
      </c>
      <c r="D10" s="13">
        <v>7.370630877</v>
      </c>
      <c r="E10">
        <v>0.28937258900000001</v>
      </c>
      <c r="F10">
        <v>5.6304655730000004</v>
      </c>
      <c r="G10" s="13">
        <v>0.40968825199999997</v>
      </c>
      <c r="H10">
        <v>4.3602294920000002</v>
      </c>
      <c r="I10">
        <v>0.32195833000000001</v>
      </c>
      <c r="J10">
        <f t="shared" si="0"/>
        <v>4.5445733571560654</v>
      </c>
      <c r="K10">
        <f t="shared" si="1"/>
        <v>1.4940594374262881</v>
      </c>
      <c r="L10">
        <f t="shared" si="3"/>
        <v>0.68188927086707696</v>
      </c>
      <c r="M10">
        <f t="shared" si="4"/>
        <v>0.7165456299840508</v>
      </c>
      <c r="N10">
        <f t="shared" si="5"/>
        <v>0.68987692303827464</v>
      </c>
      <c r="O10">
        <f t="shared" si="6"/>
        <v>0.69267257208750943</v>
      </c>
      <c r="P10">
        <f t="shared" si="7"/>
        <v>0.89618852060122889</v>
      </c>
      <c r="Q10">
        <f t="shared" si="8"/>
        <v>0.86740044057792498</v>
      </c>
    </row>
    <row r="11" spans="1:17" x14ac:dyDescent="0.6">
      <c r="A11">
        <v>90</v>
      </c>
      <c r="B11" t="s">
        <v>92</v>
      </c>
      <c r="C11" t="s">
        <v>171</v>
      </c>
      <c r="D11">
        <v>7.165108129</v>
      </c>
      <c r="E11">
        <v>0.27321265500000003</v>
      </c>
      <c r="F11">
        <v>5.4852905270000001</v>
      </c>
      <c r="G11">
        <v>0.39905069199999998</v>
      </c>
      <c r="H11">
        <v>4.7300415039999999</v>
      </c>
      <c r="I11">
        <v>0.34808540500000001</v>
      </c>
      <c r="J11">
        <f t="shared" si="0"/>
        <v>4.4216693807979581</v>
      </c>
      <c r="K11">
        <f t="shared" si="1"/>
        <v>1.4747190156729797</v>
      </c>
      <c r="L11">
        <f t="shared" si="3"/>
        <v>0.95929282879818556</v>
      </c>
      <c r="M11">
        <f t="shared" si="4"/>
        <v>0.97427982456140316</v>
      </c>
      <c r="N11">
        <f t="shared" si="5"/>
        <v>0.94926646456569497</v>
      </c>
      <c r="O11">
        <f t="shared" si="6"/>
        <v>0.95815471051254719</v>
      </c>
      <c r="P11">
        <f t="shared" si="7"/>
        <v>0.35535124488039138</v>
      </c>
      <c r="Q11">
        <f t="shared" si="8"/>
        <v>0.22532430747973617</v>
      </c>
    </row>
    <row r="12" spans="1:17" x14ac:dyDescent="0.6">
      <c r="A12">
        <v>90</v>
      </c>
      <c r="B12" t="s">
        <v>92</v>
      </c>
      <c r="C12" t="s">
        <v>167</v>
      </c>
      <c r="D12">
        <v>7.2921080690000002</v>
      </c>
      <c r="E12">
        <v>0.283581215</v>
      </c>
      <c r="F12">
        <v>5.5503464789999999</v>
      </c>
      <c r="G12">
        <v>0.40400552699999998</v>
      </c>
      <c r="H12">
        <v>4.6378173829999998</v>
      </c>
      <c r="I12">
        <v>0.33613716300000002</v>
      </c>
      <c r="J12">
        <f t="shared" si="0"/>
        <v>4.2734921189247066</v>
      </c>
      <c r="K12">
        <f t="shared" si="1"/>
        <v>1.33311420465611</v>
      </c>
      <c r="L12">
        <f t="shared" si="3"/>
        <v>0.78787513632437067</v>
      </c>
      <c r="M12">
        <f t="shared" si="4"/>
        <v>0.80891204146730478</v>
      </c>
      <c r="N12">
        <f t="shared" si="5"/>
        <v>0.83302862598488425</v>
      </c>
      <c r="O12">
        <f t="shared" si="6"/>
        <v>0.83449663560220866</v>
      </c>
      <c r="P12">
        <f t="shared" si="7"/>
        <v>0.490225831802649</v>
      </c>
      <c r="Q12">
        <f t="shared" si="8"/>
        <v>0.51895384774328912</v>
      </c>
    </row>
    <row r="13" spans="1:17" x14ac:dyDescent="0.6">
      <c r="A13">
        <v>90</v>
      </c>
      <c r="B13" t="s">
        <v>6</v>
      </c>
      <c r="C13" t="s">
        <v>174</v>
      </c>
      <c r="D13" s="13">
        <v>7.2350759900000003</v>
      </c>
      <c r="E13">
        <v>0.27836454999999999</v>
      </c>
      <c r="F13" s="13">
        <v>5.5138156839999999</v>
      </c>
      <c r="G13" s="13">
        <v>0.40101829300000003</v>
      </c>
      <c r="H13">
        <v>4.7568969729999999</v>
      </c>
      <c r="I13" s="13">
        <v>0.34506292300000002</v>
      </c>
      <c r="J13">
        <f t="shared" si="0"/>
        <v>4.1799933596087264</v>
      </c>
      <c r="K13">
        <f t="shared" si="1"/>
        <v>1.3123175292201965</v>
      </c>
      <c r="L13">
        <f t="shared" si="3"/>
        <v>0.86485397095346006</v>
      </c>
      <c r="M13">
        <f t="shared" si="4"/>
        <v>0.8921124401913878</v>
      </c>
      <c r="N13">
        <f t="shared" si="5"/>
        <v>0.8982995277532374</v>
      </c>
      <c r="O13">
        <f t="shared" si="6"/>
        <v>0.90904918997520079</v>
      </c>
      <c r="P13">
        <f t="shared" si="7"/>
        <v>0.31607605040086367</v>
      </c>
      <c r="Q13">
        <f t="shared" si="8"/>
        <v>0.29960218033457642</v>
      </c>
    </row>
    <row r="14" spans="1:17" x14ac:dyDescent="0.6">
      <c r="A14">
        <v>90</v>
      </c>
      <c r="B14" t="s">
        <v>9</v>
      </c>
      <c r="C14" t="s">
        <v>181</v>
      </c>
      <c r="D14">
        <v>7.3002686810000004</v>
      </c>
      <c r="E14">
        <v>0.28381473899999998</v>
      </c>
      <c r="F14">
        <v>5.6132185430000003</v>
      </c>
      <c r="G14">
        <v>0.40838073400000002</v>
      </c>
      <c r="H14">
        <v>4.5768432619999997</v>
      </c>
      <c r="I14">
        <v>0.33887917499999998</v>
      </c>
      <c r="J14">
        <f t="shared" si="0"/>
        <v>4.0590120779804826</v>
      </c>
      <c r="K14">
        <f t="shared" si="1"/>
        <v>1.1956419752701706</v>
      </c>
      <c r="L14">
        <f t="shared" si="3"/>
        <v>0.77686038089839049</v>
      </c>
      <c r="M14">
        <f t="shared" si="4"/>
        <v>0.80518757575757605</v>
      </c>
      <c r="N14">
        <f t="shared" si="5"/>
        <v>0.72069281962431508</v>
      </c>
      <c r="O14">
        <f t="shared" si="6"/>
        <v>0.72530436684770028</v>
      </c>
      <c r="P14">
        <f t="shared" si="7"/>
        <v>0.57939837466508248</v>
      </c>
      <c r="Q14">
        <f t="shared" si="8"/>
        <v>0.45156856018741826</v>
      </c>
    </row>
    <row r="15" spans="1:17" x14ac:dyDescent="0.6">
      <c r="A15">
        <v>90</v>
      </c>
      <c r="B15" t="s">
        <v>6</v>
      </c>
      <c r="C15" t="s">
        <v>167</v>
      </c>
      <c r="D15" s="13">
        <v>7.3061403399999998</v>
      </c>
      <c r="E15">
        <v>0.28382217500000001</v>
      </c>
      <c r="F15" s="13">
        <v>5.5949656870000002</v>
      </c>
      <c r="G15" s="13">
        <v>0.40689484100000001</v>
      </c>
      <c r="H15">
        <v>4.6087646480000002</v>
      </c>
      <c r="I15" s="13">
        <v>0.34112878400000002</v>
      </c>
      <c r="J15">
        <f t="shared" si="0"/>
        <v>4.0186964380730004</v>
      </c>
      <c r="K15">
        <f t="shared" si="1"/>
        <v>1.1785646106626531</v>
      </c>
      <c r="L15">
        <f t="shared" si="3"/>
        <v>0.76893513119533541</v>
      </c>
      <c r="M15">
        <f t="shared" si="4"/>
        <v>0.80506897926634757</v>
      </c>
      <c r="N15">
        <f t="shared" si="5"/>
        <v>0.7533058621537182</v>
      </c>
      <c r="O15">
        <f t="shared" si="6"/>
        <v>0.7623878757642939</v>
      </c>
      <c r="P15">
        <f t="shared" si="7"/>
        <v>0.53271445180355703</v>
      </c>
      <c r="Q15">
        <f t="shared" si="8"/>
        <v>0.39628413788974776</v>
      </c>
    </row>
    <row r="16" spans="1:17" x14ac:dyDescent="0.6">
      <c r="A16">
        <v>90</v>
      </c>
      <c r="B16" t="s">
        <v>92</v>
      </c>
      <c r="C16" t="s">
        <v>174</v>
      </c>
      <c r="D16">
        <v>7.3084167630000003</v>
      </c>
      <c r="E16">
        <v>0.28416694399999998</v>
      </c>
      <c r="F16">
        <v>5.5689722350000004</v>
      </c>
      <c r="G16">
        <v>0.40508889300000001</v>
      </c>
      <c r="H16">
        <v>4.6488647460000001</v>
      </c>
      <c r="I16">
        <v>0.342944939</v>
      </c>
      <c r="J16">
        <f t="shared" si="0"/>
        <v>3.9983624796932813</v>
      </c>
      <c r="K16">
        <f t="shared" si="1"/>
        <v>1.1762346490853526</v>
      </c>
      <c r="L16">
        <f t="shared" si="3"/>
        <v>0.76586253779289437</v>
      </c>
      <c r="M16">
        <f t="shared" si="4"/>
        <v>0.79957027113237678</v>
      </c>
      <c r="N16">
        <f t="shared" si="5"/>
        <v>0.79974930944558231</v>
      </c>
      <c r="O16">
        <f t="shared" si="6"/>
        <v>0.80745901396933539</v>
      </c>
      <c r="P16">
        <f t="shared" si="7"/>
        <v>0.47406944554438069</v>
      </c>
      <c r="Q16">
        <f t="shared" si="8"/>
        <v>0.35165190180871181</v>
      </c>
    </row>
    <row r="17" spans="1:17" x14ac:dyDescent="0.6">
      <c r="A17">
        <v>90</v>
      </c>
      <c r="B17" t="s">
        <v>92</v>
      </c>
      <c r="C17" t="s">
        <v>181</v>
      </c>
      <c r="D17">
        <v>7.3029645209999998</v>
      </c>
      <c r="E17">
        <v>0.28436727000000001</v>
      </c>
      <c r="F17">
        <v>5.5629180490000003</v>
      </c>
      <c r="G17">
        <v>0.40486600099999998</v>
      </c>
      <c r="H17">
        <v>4.8130493159999999</v>
      </c>
      <c r="I17">
        <v>0.34186826100000001</v>
      </c>
      <c r="J17">
        <f t="shared" si="0"/>
        <v>3.8052518346226138</v>
      </c>
      <c r="K17">
        <f t="shared" si="1"/>
        <v>1.0787791475356197</v>
      </c>
      <c r="L17">
        <f t="shared" si="3"/>
        <v>0.77322168097397703</v>
      </c>
      <c r="M17">
        <f t="shared" si="4"/>
        <v>0.79637527910685801</v>
      </c>
      <c r="N17">
        <f t="shared" si="5"/>
        <v>0.81056654404705608</v>
      </c>
      <c r="O17">
        <f t="shared" si="6"/>
        <v>0.81302174121109394</v>
      </c>
      <c r="P17">
        <f t="shared" si="7"/>
        <v>0.23395519107771648</v>
      </c>
      <c r="Q17">
        <f t="shared" si="8"/>
        <v>0.37811139820591244</v>
      </c>
    </row>
    <row r="18" spans="1:17" x14ac:dyDescent="0.6">
      <c r="A18">
        <v>90</v>
      </c>
      <c r="B18" t="s">
        <v>99</v>
      </c>
      <c r="C18" t="s">
        <v>7</v>
      </c>
      <c r="D18">
        <v>7.3648809999999996</v>
      </c>
      <c r="E18">
        <v>0.28849999999999998</v>
      </c>
      <c r="F18">
        <v>5.6419259999999998</v>
      </c>
      <c r="G18">
        <v>0.41033900000000001</v>
      </c>
      <c r="H18">
        <v>4.6347659999999999</v>
      </c>
      <c r="I18">
        <v>0.33742</v>
      </c>
      <c r="J18">
        <f t="shared" si="0"/>
        <v>3.7480609889138767</v>
      </c>
      <c r="K18">
        <f t="shared" si="1"/>
        <v>1.0208021379233967</v>
      </c>
      <c r="L18">
        <f t="shared" si="3"/>
        <v>0.68965014577259531</v>
      </c>
      <c r="M18">
        <f t="shared" si="4"/>
        <v>0.73046251993620448</v>
      </c>
      <c r="N18">
        <f t="shared" si="5"/>
        <v>0.66940016076303965</v>
      </c>
      <c r="O18">
        <f t="shared" si="6"/>
        <v>0.67643182039108418</v>
      </c>
      <c r="P18">
        <f t="shared" si="7"/>
        <v>0.49468837389254949</v>
      </c>
      <c r="Q18">
        <f t="shared" si="8"/>
        <v>0.48742796815840378</v>
      </c>
    </row>
    <row r="19" spans="1:17" x14ac:dyDescent="0.6">
      <c r="A19">
        <v>90</v>
      </c>
      <c r="B19" t="s">
        <v>6</v>
      </c>
      <c r="C19" t="s">
        <v>171</v>
      </c>
      <c r="D19" s="13">
        <v>7.374923216</v>
      </c>
      <c r="E19">
        <v>0.289606629</v>
      </c>
      <c r="F19">
        <v>5.6479124299999999</v>
      </c>
      <c r="G19">
        <v>0.41086609000000002</v>
      </c>
      <c r="H19">
        <v>4.65625</v>
      </c>
      <c r="I19">
        <v>0.34347582799999998</v>
      </c>
      <c r="J19">
        <f t="shared" si="0"/>
        <v>3.5127638384434512</v>
      </c>
      <c r="K19">
        <f t="shared" si="1"/>
        <v>0.90128832087828614</v>
      </c>
      <c r="L19">
        <f t="shared" si="3"/>
        <v>0.67609570240794725</v>
      </c>
      <c r="M19">
        <f t="shared" si="4"/>
        <v>0.71281293460925033</v>
      </c>
      <c r="N19">
        <f t="shared" si="5"/>
        <v>0.65870398827423593</v>
      </c>
      <c r="O19">
        <f t="shared" si="6"/>
        <v>0.66327720783496646</v>
      </c>
      <c r="P19">
        <f t="shared" si="7"/>
        <v>0.4632687670259491</v>
      </c>
      <c r="Q19">
        <f t="shared" si="8"/>
        <v>0.33860523829110217</v>
      </c>
    </row>
    <row r="20" spans="1:17" x14ac:dyDescent="0.6">
      <c r="A20">
        <v>90</v>
      </c>
      <c r="B20" t="s">
        <v>92</v>
      </c>
      <c r="C20" t="s">
        <v>184</v>
      </c>
      <c r="D20">
        <v>7.4781059670000003</v>
      </c>
      <c r="E20">
        <v>0.29729077799999998</v>
      </c>
      <c r="F20">
        <v>5.7601468860000002</v>
      </c>
      <c r="G20">
        <v>0.41881793499999997</v>
      </c>
      <c r="H20">
        <v>4.5025024409999999</v>
      </c>
      <c r="I20">
        <v>0.32638429499999999</v>
      </c>
      <c r="J20">
        <f t="shared" si="0"/>
        <v>3.4968281439427269</v>
      </c>
      <c r="K20">
        <f t="shared" si="1"/>
        <v>0.88741976148995561</v>
      </c>
      <c r="L20">
        <f t="shared" si="3"/>
        <v>0.53682517141777319</v>
      </c>
      <c r="M20">
        <f t="shared" si="4"/>
        <v>0.59025872408293489</v>
      </c>
      <c r="N20">
        <f t="shared" si="5"/>
        <v>0.45817059849718378</v>
      </c>
      <c r="O20">
        <f t="shared" si="6"/>
        <v>0.46482259841095991</v>
      </c>
      <c r="P20">
        <f t="shared" si="7"/>
        <v>0.68811925392221807</v>
      </c>
      <c r="Q20">
        <f t="shared" si="8"/>
        <v>0.75863179761165689</v>
      </c>
    </row>
    <row r="21" spans="1:17" x14ac:dyDescent="0.6">
      <c r="A21">
        <v>90</v>
      </c>
      <c r="B21" t="s">
        <v>99</v>
      </c>
      <c r="C21" t="s">
        <v>167</v>
      </c>
      <c r="D21">
        <v>7.3829863180000004</v>
      </c>
      <c r="E21">
        <v>0.28935656500000001</v>
      </c>
      <c r="F21">
        <v>5.6978801570000002</v>
      </c>
      <c r="G21">
        <v>0.41419384300000001</v>
      </c>
      <c r="H21">
        <v>4.5984497070000003</v>
      </c>
      <c r="I21">
        <v>0.34079479200000001</v>
      </c>
      <c r="J21">
        <f t="shared" si="0"/>
        <v>3.4839566199887826</v>
      </c>
      <c r="K21">
        <f t="shared" si="1"/>
        <v>0.87636852269981835</v>
      </c>
      <c r="L21">
        <f t="shared" si="3"/>
        <v>0.66521256073858059</v>
      </c>
      <c r="M21">
        <f t="shared" si="4"/>
        <v>0.71680119617224869</v>
      </c>
      <c r="N21">
        <f t="shared" si="5"/>
        <v>0.56942483076876926</v>
      </c>
      <c r="O21">
        <f t="shared" si="6"/>
        <v>0.58022630306071998</v>
      </c>
      <c r="P21">
        <f t="shared" si="7"/>
        <v>0.54779969622136426</v>
      </c>
      <c r="Q21">
        <f t="shared" si="8"/>
        <v>0.40449203302709985</v>
      </c>
    </row>
    <row r="22" spans="1:17" x14ac:dyDescent="0.6">
      <c r="A22">
        <v>90</v>
      </c>
      <c r="B22" t="s">
        <v>6</v>
      </c>
      <c r="C22" t="s">
        <v>7</v>
      </c>
      <c r="D22" s="13">
        <v>7.3646177140000004</v>
      </c>
      <c r="E22">
        <v>0.288588703</v>
      </c>
      <c r="F22" s="13">
        <v>5.6495085420000004</v>
      </c>
      <c r="G22" s="13">
        <v>0.41088423899999998</v>
      </c>
      <c r="H22">
        <v>4.745117188</v>
      </c>
      <c r="I22" s="13">
        <v>0.34456918399999997</v>
      </c>
      <c r="J22">
        <f t="shared" si="0"/>
        <v>3.3827691897014027</v>
      </c>
      <c r="K22">
        <f t="shared" si="1"/>
        <v>0.84690059794588546</v>
      </c>
      <c r="L22">
        <f t="shared" si="3"/>
        <v>0.69000551506316754</v>
      </c>
      <c r="M22">
        <f t="shared" si="4"/>
        <v>0.72904779904306216</v>
      </c>
      <c r="N22">
        <f t="shared" si="5"/>
        <v>0.65585215683822895</v>
      </c>
      <c r="O22">
        <f t="shared" si="6"/>
        <v>0.66282426229761882</v>
      </c>
      <c r="P22">
        <f t="shared" si="7"/>
        <v>0.33330357849959169</v>
      </c>
      <c r="Q22">
        <f t="shared" si="8"/>
        <v>0.3117358779597334</v>
      </c>
    </row>
    <row r="23" spans="1:17" x14ac:dyDescent="0.6">
      <c r="A23">
        <v>90</v>
      </c>
      <c r="B23" t="s">
        <v>99</v>
      </c>
      <c r="C23" t="s">
        <v>184</v>
      </c>
      <c r="D23">
        <v>7.4856228089999997</v>
      </c>
      <c r="E23">
        <v>0.29739613100000001</v>
      </c>
      <c r="F23">
        <v>5.7703765450000004</v>
      </c>
      <c r="G23">
        <v>0.41945157399999999</v>
      </c>
      <c r="H23">
        <v>4.584960938</v>
      </c>
      <c r="I23">
        <v>0.33184570600000002</v>
      </c>
      <c r="J23">
        <f t="shared" si="0"/>
        <v>3.1961030203373677</v>
      </c>
      <c r="K23">
        <f t="shared" si="1"/>
        <v>0.73806344897750809</v>
      </c>
      <c r="L23">
        <f t="shared" si="3"/>
        <v>0.5266793421336794</v>
      </c>
      <c r="M23">
        <f t="shared" si="4"/>
        <v>0.58857845295055811</v>
      </c>
      <c r="N23">
        <f t="shared" si="5"/>
        <v>0.43989289422842198</v>
      </c>
      <c r="O23">
        <f t="shared" si="6"/>
        <v>0.44900883691776899</v>
      </c>
      <c r="P23">
        <f t="shared" si="7"/>
        <v>0.56752655430619003</v>
      </c>
      <c r="Q23">
        <f t="shared" si="8"/>
        <v>0.62441693980074886</v>
      </c>
    </row>
    <row r="24" spans="1:17" x14ac:dyDescent="0.6">
      <c r="A24">
        <v>90</v>
      </c>
      <c r="B24" t="s">
        <v>6</v>
      </c>
      <c r="C24" t="s">
        <v>184</v>
      </c>
      <c r="D24" s="13">
        <v>7.5520015169999999</v>
      </c>
      <c r="E24">
        <v>0.30249248899999998</v>
      </c>
      <c r="F24">
        <v>5.7659092730000001</v>
      </c>
      <c r="G24">
        <v>0.41896272099999998</v>
      </c>
      <c r="H24">
        <v>4.5360717770000001</v>
      </c>
      <c r="I24">
        <v>0.33432555000000003</v>
      </c>
      <c r="J24">
        <f t="shared" si="0"/>
        <v>3.0559653795053547</v>
      </c>
      <c r="K24">
        <f t="shared" si="1"/>
        <v>0.67402154447947726</v>
      </c>
      <c r="L24">
        <f t="shared" si="3"/>
        <v>0.4370849300831447</v>
      </c>
      <c r="M24">
        <f t="shared" si="4"/>
        <v>0.50729682615630023</v>
      </c>
      <c r="N24">
        <f t="shared" si="5"/>
        <v>0.44787473179545367</v>
      </c>
      <c r="O24">
        <f t="shared" si="6"/>
        <v>0.46120916667529782</v>
      </c>
      <c r="P24">
        <f t="shared" si="7"/>
        <v>0.63902526118842451</v>
      </c>
      <c r="Q24">
        <f t="shared" si="8"/>
        <v>0.56347446360673359</v>
      </c>
    </row>
    <row r="25" spans="1:17" x14ac:dyDescent="0.6">
      <c r="A25">
        <v>90</v>
      </c>
      <c r="B25" t="s">
        <v>9</v>
      </c>
      <c r="C25" t="s">
        <v>184</v>
      </c>
      <c r="D25">
        <v>7.3784115960000003</v>
      </c>
      <c r="E25">
        <v>0.29007639699999999</v>
      </c>
      <c r="F25">
        <v>5.6676100639999998</v>
      </c>
      <c r="G25">
        <v>0.41246891800000002</v>
      </c>
      <c r="H25">
        <v>4.8538208010000004</v>
      </c>
      <c r="I25">
        <v>0.348343703</v>
      </c>
      <c r="J25">
        <f t="shared" si="0"/>
        <v>3.0167976573244553</v>
      </c>
      <c r="K25">
        <f t="shared" si="1"/>
        <v>0.69099386110198069</v>
      </c>
      <c r="L25">
        <f t="shared" si="3"/>
        <v>0.67138727459237624</v>
      </c>
      <c r="M25">
        <f t="shared" si="4"/>
        <v>0.70532062200956958</v>
      </c>
      <c r="N25">
        <f t="shared" si="5"/>
        <v>0.62350950827775709</v>
      </c>
      <c r="O25">
        <f t="shared" si="6"/>
        <v>0.62327534603888468</v>
      </c>
      <c r="P25">
        <f t="shared" si="7"/>
        <v>0.17432830455437318</v>
      </c>
      <c r="Q25">
        <f t="shared" si="8"/>
        <v>0.21897660185149462</v>
      </c>
    </row>
    <row r="26" spans="1:17" x14ac:dyDescent="0.6">
      <c r="A26">
        <v>90</v>
      </c>
      <c r="B26" t="s">
        <v>92</v>
      </c>
      <c r="C26" t="s">
        <v>177</v>
      </c>
      <c r="D26">
        <v>7.567043913</v>
      </c>
      <c r="E26">
        <v>0.303448412</v>
      </c>
      <c r="F26">
        <v>5.8278214960000003</v>
      </c>
      <c r="G26">
        <v>0.42337012699999998</v>
      </c>
      <c r="H26">
        <v>4.5177001949999998</v>
      </c>
      <c r="I26">
        <v>0.33029998199999999</v>
      </c>
      <c r="J26">
        <f t="shared" si="0"/>
        <v>2.9255959365783628</v>
      </c>
      <c r="K26">
        <f t="shared" si="1"/>
        <v>0.62375892955199752</v>
      </c>
      <c r="L26">
        <f t="shared" si="3"/>
        <v>0.41678151252564538</v>
      </c>
      <c r="M26">
        <f t="shared" si="4"/>
        <v>0.49205084529505577</v>
      </c>
      <c r="N26">
        <f t="shared" si="5"/>
        <v>0.33725390830411184</v>
      </c>
      <c r="O26">
        <f t="shared" si="6"/>
        <v>0.35121330580237736</v>
      </c>
      <c r="P26">
        <f t="shared" si="7"/>
        <v>0.66589306438883045</v>
      </c>
      <c r="Q26">
        <f t="shared" si="8"/>
        <v>0.66240330026234207</v>
      </c>
    </row>
    <row r="27" spans="1:17" x14ac:dyDescent="0.6">
      <c r="A27">
        <v>90</v>
      </c>
      <c r="B27" t="s">
        <v>9</v>
      </c>
      <c r="C27" t="s">
        <v>167</v>
      </c>
      <c r="D27">
        <v>7.6604377880000003</v>
      </c>
      <c r="E27">
        <v>0.31437827899999998</v>
      </c>
      <c r="F27" s="13">
        <v>5.7231328259999996</v>
      </c>
      <c r="G27" s="13">
        <v>0.417059393</v>
      </c>
      <c r="H27">
        <v>4.6436157229999999</v>
      </c>
      <c r="I27">
        <v>0.33006569200000002</v>
      </c>
      <c r="J27">
        <f t="shared" si="0"/>
        <v>2.7913768340894558</v>
      </c>
      <c r="K27">
        <f t="shared" si="1"/>
        <v>0.55723642110175942</v>
      </c>
      <c r="L27">
        <f t="shared" si="3"/>
        <v>0.29072348018572497</v>
      </c>
      <c r="M27">
        <f t="shared" si="4"/>
        <v>0.31773079744816601</v>
      </c>
      <c r="N27">
        <f t="shared" si="5"/>
        <v>0.52430496744009814</v>
      </c>
      <c r="O27">
        <f t="shared" si="6"/>
        <v>0.50871062260732036</v>
      </c>
      <c r="P27">
        <f t="shared" si="7"/>
        <v>0.48174596011772591</v>
      </c>
      <c r="Q27">
        <f t="shared" si="8"/>
        <v>0.66816100629042041</v>
      </c>
    </row>
    <row r="28" spans="1:17" x14ac:dyDescent="0.6">
      <c r="A28">
        <v>90</v>
      </c>
      <c r="B28" t="s">
        <v>99</v>
      </c>
      <c r="C28" t="s">
        <v>181</v>
      </c>
      <c r="D28">
        <v>7.6098460560000003</v>
      </c>
      <c r="E28">
        <v>0.30686392699999998</v>
      </c>
      <c r="F28">
        <v>5.8823024799999999</v>
      </c>
      <c r="G28">
        <v>0.427302609</v>
      </c>
      <c r="H28">
        <v>4.6994628909999996</v>
      </c>
      <c r="I28">
        <v>0.33613069499999998</v>
      </c>
      <c r="J28">
        <f t="shared" si="0"/>
        <v>2.2087515088620338</v>
      </c>
      <c r="K28">
        <f t="shared" si="1"/>
        <v>0.35424018133874607</v>
      </c>
      <c r="L28">
        <f t="shared" si="3"/>
        <v>0.35900948061764371</v>
      </c>
      <c r="M28">
        <f t="shared" si="4"/>
        <v>0.43757692185007996</v>
      </c>
      <c r="N28">
        <f t="shared" si="5"/>
        <v>0.23991075015747979</v>
      </c>
      <c r="O28">
        <f t="shared" si="6"/>
        <v>0.25307014790921628</v>
      </c>
      <c r="P28">
        <f t="shared" si="7"/>
        <v>0.40007140867604973</v>
      </c>
      <c r="Q28">
        <f t="shared" si="8"/>
        <v>0.51911279965156454</v>
      </c>
    </row>
    <row r="29" spans="1:17" x14ac:dyDescent="0.6">
      <c r="A29">
        <v>90</v>
      </c>
      <c r="B29" t="s">
        <v>9</v>
      </c>
      <c r="C29" t="s">
        <v>7</v>
      </c>
      <c r="D29">
        <v>7.6237277749999999</v>
      </c>
      <c r="E29">
        <v>0.30664734100000002</v>
      </c>
      <c r="F29" s="13">
        <v>5.9513658500000002</v>
      </c>
      <c r="G29" s="13">
        <v>0.43191930499999998</v>
      </c>
      <c r="H29">
        <v>4.6381225590000001</v>
      </c>
      <c r="I29" s="13">
        <v>0.33464390100000002</v>
      </c>
      <c r="J29">
        <f t="shared" si="0"/>
        <v>2.0810981344767367</v>
      </c>
      <c r="K29">
        <f t="shared" si="1"/>
        <v>0.32313743123281119</v>
      </c>
      <c r="L29">
        <f t="shared" si="3"/>
        <v>0.34027268248569315</v>
      </c>
      <c r="M29">
        <f t="shared" si="4"/>
        <v>0.4410312440191384</v>
      </c>
      <c r="N29">
        <f t="shared" si="5"/>
        <v>0.11651271189793871</v>
      </c>
      <c r="O29">
        <f t="shared" si="6"/>
        <v>0.13785102561629264</v>
      </c>
      <c r="P29">
        <f t="shared" si="7"/>
        <v>0.48977952245871242</v>
      </c>
      <c r="Q29">
        <f t="shared" si="8"/>
        <v>0.55565094799896131</v>
      </c>
    </row>
    <row r="30" spans="1:17" x14ac:dyDescent="0.6">
      <c r="A30">
        <v>90</v>
      </c>
      <c r="B30" t="s">
        <v>92</v>
      </c>
      <c r="C30" t="s">
        <v>8</v>
      </c>
      <c r="D30">
        <v>7.8758290000000004</v>
      </c>
      <c r="E30">
        <v>0.33429999999999999</v>
      </c>
      <c r="F30">
        <v>5.987158</v>
      </c>
      <c r="G30">
        <v>0.43723400000000001</v>
      </c>
      <c r="H30">
        <v>4.4137570000000004</v>
      </c>
      <c r="I30">
        <v>0.31723600000000002</v>
      </c>
      <c r="J30">
        <f t="shared" si="0"/>
        <v>1.8591321621384433</v>
      </c>
      <c r="K30">
        <f t="shared" si="1"/>
        <v>0.35026774672790267</v>
      </c>
      <c r="L30">
        <f t="shared" si="3"/>
        <v>0</v>
      </c>
      <c r="M30">
        <f t="shared" si="4"/>
        <v>0</v>
      </c>
      <c r="N30">
        <f t="shared" si="5"/>
        <v>5.256157405031861E-2</v>
      </c>
      <c r="O30">
        <f t="shared" si="6"/>
        <v>5.2119059613278743E-3</v>
      </c>
      <c r="P30">
        <f t="shared" si="7"/>
        <v>0.81790639167231383</v>
      </c>
      <c r="Q30">
        <f t="shared" si="8"/>
        <v>0.9834522904544829</v>
      </c>
    </row>
    <row r="31" spans="1:17" x14ac:dyDescent="0.6">
      <c r="A31">
        <v>90</v>
      </c>
      <c r="B31" t="s">
        <v>9</v>
      </c>
      <c r="C31" t="s">
        <v>177</v>
      </c>
      <c r="D31">
        <v>7.7585138059999998</v>
      </c>
      <c r="E31">
        <v>0.32037516700000002</v>
      </c>
      <c r="F31">
        <v>6.0094596129999998</v>
      </c>
      <c r="G31">
        <v>0.43744283499999997</v>
      </c>
      <c r="H31">
        <v>4.6333618159999999</v>
      </c>
      <c r="I31">
        <v>0.32960342399999998</v>
      </c>
      <c r="J31">
        <f t="shared" si="0"/>
        <v>1.5694101081429874</v>
      </c>
      <c r="K31">
        <f t="shared" si="1"/>
        <v>0.20920412292634338</v>
      </c>
      <c r="L31">
        <f t="shared" si="3"/>
        <v>0.15834574290033537</v>
      </c>
      <c r="M31">
        <f t="shared" si="4"/>
        <v>0.22208665071770295</v>
      </c>
      <c r="N31">
        <f t="shared" si="5"/>
        <v>1.27144699454445E-2</v>
      </c>
      <c r="O31">
        <f t="shared" si="6"/>
        <v>0</v>
      </c>
      <c r="P31">
        <f t="shared" si="7"/>
        <v>0.49674194442170483</v>
      </c>
      <c r="Q31">
        <f t="shared" si="8"/>
        <v>0.67952130015779988</v>
      </c>
    </row>
    <row r="32" spans="1:17" x14ac:dyDescent="0.6">
      <c r="A32">
        <v>90</v>
      </c>
      <c r="B32" t="s">
        <v>9</v>
      </c>
      <c r="C32" t="s">
        <v>171</v>
      </c>
      <c r="D32">
        <v>7.6994646800000002</v>
      </c>
      <c r="E32">
        <v>0.31297444299999999</v>
      </c>
      <c r="F32">
        <v>6.0165756430000004</v>
      </c>
      <c r="G32">
        <v>0.43660273199999999</v>
      </c>
      <c r="H32">
        <v>4.694824219</v>
      </c>
      <c r="I32">
        <v>0.34256580199999997</v>
      </c>
      <c r="J32">
        <f t="shared" si="0"/>
        <v>1.3669586467356605</v>
      </c>
      <c r="K32">
        <f t="shared" si="1"/>
        <v>0.13955347774395307</v>
      </c>
      <c r="L32">
        <f t="shared" si="3"/>
        <v>0.23804707914912007</v>
      </c>
      <c r="M32">
        <f t="shared" si="4"/>
        <v>0.34012052631578954</v>
      </c>
      <c r="N32">
        <f t="shared" si="5"/>
        <v>0</v>
      </c>
      <c r="O32">
        <f t="shared" si="6"/>
        <v>2.0966494284148308E-2</v>
      </c>
      <c r="P32">
        <f t="shared" si="7"/>
        <v>0.4068553060239874</v>
      </c>
      <c r="Q32">
        <f t="shared" si="8"/>
        <v>0.36096924096261507</v>
      </c>
    </row>
    <row r="33" spans="1:17" x14ac:dyDescent="0.6">
      <c r="A33">
        <v>90</v>
      </c>
      <c r="B33" t="s">
        <v>9</v>
      </c>
      <c r="C33" t="s">
        <v>174</v>
      </c>
      <c r="D33">
        <v>7.698632269</v>
      </c>
      <c r="E33">
        <v>0.31373632299999998</v>
      </c>
      <c r="F33">
        <v>5.9821116830000003</v>
      </c>
      <c r="G33">
        <v>0.43451663099999999</v>
      </c>
      <c r="H33">
        <v>4.9730224610000002</v>
      </c>
      <c r="I33">
        <v>0.35725420099999999</v>
      </c>
      <c r="J33">
        <f t="shared" si="0"/>
        <v>0.70174739080980331</v>
      </c>
      <c r="K33">
        <f t="shared" si="1"/>
        <v>4.4658044169015386E-2</v>
      </c>
      <c r="L33">
        <f t="shared" si="3"/>
        <v>0.23917062277291909</v>
      </c>
      <c r="M33">
        <f t="shared" si="4"/>
        <v>0.32796933014354085</v>
      </c>
      <c r="N33">
        <f t="shared" si="5"/>
        <v>6.1578012405929285E-2</v>
      </c>
      <c r="O33">
        <f t="shared" si="6"/>
        <v>7.3029425487414104E-2</v>
      </c>
      <c r="P33">
        <f t="shared" si="7"/>
        <v>0</v>
      </c>
      <c r="Q33">
        <f t="shared" si="8"/>
        <v>0</v>
      </c>
    </row>
  </sheetData>
  <autoFilter ref="A1:P33" xr:uid="{0CEB8171-81C7-487C-B420-28161D86C538}">
    <sortState xmlns:xlrd2="http://schemas.microsoft.com/office/spreadsheetml/2017/richdata2" ref="A2:P33">
      <sortCondition descending="1" ref="J1:J33"/>
    </sortState>
  </autoFilter>
  <phoneticPr fontId="1" type="noConversion"/>
  <conditionalFormatting sqref="D1:D1048576">
    <cfRule type="top10" dxfId="25" priority="8" percent="1" bottom="1" rank="5"/>
  </conditionalFormatting>
  <conditionalFormatting sqref="D1:J1">
    <cfRule type="top10" dxfId="24" priority="13" percent="1" bottom="1" rank="10"/>
  </conditionalFormatting>
  <conditionalFormatting sqref="E1:E1048576">
    <cfRule type="top10" dxfId="23" priority="7" percent="1" bottom="1" rank="5"/>
  </conditionalFormatting>
  <conditionalFormatting sqref="F1:F1048576">
    <cfRule type="top10" dxfId="22" priority="6" percent="1" bottom="1" rank="5"/>
  </conditionalFormatting>
  <conditionalFormatting sqref="G1:G1048576">
    <cfRule type="top10" dxfId="21" priority="5" percent="1" bottom="1" rank="5"/>
  </conditionalFormatting>
  <conditionalFormatting sqref="H1:H1048576">
    <cfRule type="top10" dxfId="20" priority="4" percent="1" bottom="1" rank="5"/>
  </conditionalFormatting>
  <conditionalFormatting sqref="I1:J1048576">
    <cfRule type="top10" dxfId="19" priority="3" percent="1" bottom="1" rank="5"/>
  </conditionalFormatting>
  <conditionalFormatting sqref="K1">
    <cfRule type="top10" dxfId="18" priority="1" percent="1" bottom="1" rank="10"/>
    <cfRule type="top10" dxfId="17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A224-0241-42CC-90E8-D5F46600DC6C}">
  <dimension ref="A1:Q193"/>
  <sheetViews>
    <sheetView workbookViewId="0">
      <selection activeCell="R27" sqref="R2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20</v>
      </c>
      <c r="B2" t="s">
        <v>92</v>
      </c>
      <c r="C2" t="s">
        <v>174</v>
      </c>
      <c r="D2">
        <v>6.9285879279999998</v>
      </c>
      <c r="E2">
        <v>0.25792474900000001</v>
      </c>
      <c r="F2">
        <v>5.3191567879999999</v>
      </c>
      <c r="G2">
        <v>0.38953560999999998</v>
      </c>
      <c r="H2">
        <v>4.2520141599999999</v>
      </c>
      <c r="I2">
        <v>0.30999250699999997</v>
      </c>
      <c r="J2">
        <f t="shared" ref="J2:J33" si="0">SUM(L2:Q2)</f>
        <v>5.7655405501352543</v>
      </c>
      <c r="K2">
        <f t="shared" ref="K2:K33" si="1">0.5*SIN(RADIANS(60))*((L2*M2)+(M2*N2)+(N2*O2)+(O2*P2)+(P2*Q2)+(Q2*L2))</f>
        <v>2.3995057941295048</v>
      </c>
      <c r="L2">
        <f t="shared" ref="L2:L33" si="2">(MAX(D:D)-D2)/(MAX(D:D)-MIN(D:D))</f>
        <v>0.96856877804008157</v>
      </c>
      <c r="M2">
        <f t="shared" ref="M2:M33" si="3">(MAX(E:E)-E2)/(MAX(E:E)-MIN(E:E))</f>
        <v>0.96809517784201715</v>
      </c>
      <c r="N2">
        <f t="shared" ref="N2:N33" si="4">(MAX(F:F)-F2)/(MAX(F:F)-MIN(F:F))</f>
        <v>0.99069970969941556</v>
      </c>
      <c r="O2">
        <f t="shared" ref="O2:O33" si="5">(MAX(G:G)-G2)/(MAX(G:G)-MIN(G:G))</f>
        <v>0.98902929669717399</v>
      </c>
      <c r="P2">
        <f t="shared" ref="P2:P33" si="6">(MAX(H:H)-H2)/(MAX(H:H)-MIN(H:H))</f>
        <v>0.927497541025459</v>
      </c>
      <c r="Q2">
        <f t="shared" ref="Q2:Q33" si="7">(MAX(I:I)-I2)/(MAX(I:I)-MIN(I:I))</f>
        <v>0.92165004683110796</v>
      </c>
    </row>
    <row r="3" spans="1:17" x14ac:dyDescent="0.6">
      <c r="A3">
        <v>20</v>
      </c>
      <c r="B3" t="s">
        <v>99</v>
      </c>
      <c r="C3" t="s">
        <v>177</v>
      </c>
      <c r="D3">
        <v>6.8747985260000002</v>
      </c>
      <c r="E3">
        <v>0.25359787700000003</v>
      </c>
      <c r="F3">
        <v>5.3039641199999998</v>
      </c>
      <c r="G3">
        <v>0.38824872500000002</v>
      </c>
      <c r="H3">
        <v>4.4156494139999998</v>
      </c>
      <c r="I3">
        <v>0.32047466499999999</v>
      </c>
      <c r="J3">
        <f t="shared" si="0"/>
        <v>5.7315335514304326</v>
      </c>
      <c r="K3">
        <f t="shared" si="1"/>
        <v>2.3733792312375286</v>
      </c>
      <c r="L3">
        <f t="shared" si="2"/>
        <v>1</v>
      </c>
      <c r="M3">
        <f t="shared" si="3"/>
        <v>1</v>
      </c>
      <c r="N3">
        <f t="shared" si="4"/>
        <v>1</v>
      </c>
      <c r="O3">
        <f t="shared" si="5"/>
        <v>1</v>
      </c>
      <c r="P3">
        <f t="shared" si="6"/>
        <v>0.86471359646313839</v>
      </c>
      <c r="Q3">
        <f t="shared" si="7"/>
        <v>0.86681995496729425</v>
      </c>
    </row>
    <row r="4" spans="1:17" x14ac:dyDescent="0.6">
      <c r="A4">
        <v>30</v>
      </c>
      <c r="B4" t="s">
        <v>99</v>
      </c>
      <c r="C4" t="s">
        <v>167</v>
      </c>
      <c r="D4" s="13">
        <v>7.0456242040000001</v>
      </c>
      <c r="E4">
        <v>0.26660521500000001</v>
      </c>
      <c r="F4">
        <v>5.3802638380000003</v>
      </c>
      <c r="G4">
        <v>0.393671353</v>
      </c>
      <c r="H4">
        <v>4.0630493159999999</v>
      </c>
      <c r="I4">
        <v>0.29501393300000001</v>
      </c>
      <c r="J4">
        <f t="shared" si="0"/>
        <v>5.7113331557207871</v>
      </c>
      <c r="K4">
        <f t="shared" si="1"/>
        <v>2.355103760423698</v>
      </c>
      <c r="L4">
        <f t="shared" si="2"/>
        <v>0.90017996850621995</v>
      </c>
      <c r="M4">
        <f t="shared" si="3"/>
        <v>0.90408849495922827</v>
      </c>
      <c r="N4">
        <f t="shared" si="4"/>
        <v>0.95329263252163976</v>
      </c>
      <c r="O4">
        <f t="shared" si="5"/>
        <v>0.95377205973369938</v>
      </c>
      <c r="P4">
        <f t="shared" si="6"/>
        <v>1</v>
      </c>
      <c r="Q4">
        <f t="shared" si="7"/>
        <v>1</v>
      </c>
    </row>
    <row r="5" spans="1:17" x14ac:dyDescent="0.6">
      <c r="A5">
        <v>20</v>
      </c>
      <c r="B5" t="s">
        <v>6</v>
      </c>
      <c r="C5" t="s">
        <v>181</v>
      </c>
      <c r="D5">
        <v>6.9435927069999996</v>
      </c>
      <c r="E5">
        <v>0.25917542999999998</v>
      </c>
      <c r="F5">
        <v>5.3097110320000001</v>
      </c>
      <c r="G5">
        <v>0.388974237</v>
      </c>
      <c r="H5">
        <v>4.2913208010000004</v>
      </c>
      <c r="I5">
        <v>0.31725101500000003</v>
      </c>
      <c r="J5">
        <f t="shared" si="0"/>
        <v>5.7050695113458936</v>
      </c>
      <c r="K5">
        <f t="shared" si="1"/>
        <v>2.3501174836551617</v>
      </c>
      <c r="L5">
        <f t="shared" si="2"/>
        <v>0.95980090701581322</v>
      </c>
      <c r="M5">
        <f t="shared" si="3"/>
        <v>0.95887309896347217</v>
      </c>
      <c r="N5">
        <f t="shared" si="4"/>
        <v>0.99648199052780506</v>
      </c>
      <c r="O5">
        <f t="shared" si="5"/>
        <v>0.99381500530766931</v>
      </c>
      <c r="P5">
        <f t="shared" si="6"/>
        <v>0.91241628005540509</v>
      </c>
      <c r="Q5">
        <f t="shared" si="7"/>
        <v>0.88368222947572861</v>
      </c>
    </row>
    <row r="6" spans="1:17" x14ac:dyDescent="0.6">
      <c r="A6">
        <v>20</v>
      </c>
      <c r="B6" t="s">
        <v>6</v>
      </c>
      <c r="C6" t="s">
        <v>7</v>
      </c>
      <c r="D6">
        <v>6.9281274880000003</v>
      </c>
      <c r="E6">
        <v>0.25781232100000001</v>
      </c>
      <c r="F6">
        <v>5.3343183730000003</v>
      </c>
      <c r="G6">
        <v>0.39058098600000002</v>
      </c>
      <c r="H6">
        <v>4.3838500979999999</v>
      </c>
      <c r="I6">
        <v>0.31687311299999998</v>
      </c>
      <c r="J6">
        <f t="shared" si="0"/>
        <v>5.6618713092626427</v>
      </c>
      <c r="K6">
        <f t="shared" si="1"/>
        <v>2.3147741847142407</v>
      </c>
      <c r="L6">
        <f t="shared" si="2"/>
        <v>0.9688378308888046</v>
      </c>
      <c r="M6">
        <f t="shared" si="3"/>
        <v>0.96892418210781872</v>
      </c>
      <c r="N6">
        <f t="shared" si="4"/>
        <v>0.98141844705897685</v>
      </c>
      <c r="O6">
        <f t="shared" si="5"/>
        <v>0.98011745924791027</v>
      </c>
      <c r="P6">
        <f t="shared" si="6"/>
        <v>0.87691442998806879</v>
      </c>
      <c r="Q6">
        <f t="shared" si="7"/>
        <v>0.8856589599710637</v>
      </c>
    </row>
    <row r="7" spans="1:17" x14ac:dyDescent="0.6">
      <c r="A7">
        <v>20</v>
      </c>
      <c r="B7" t="s">
        <v>92</v>
      </c>
      <c r="C7" t="s">
        <v>181</v>
      </c>
      <c r="D7">
        <v>6.9520980259999998</v>
      </c>
      <c r="E7">
        <v>0.2596234</v>
      </c>
      <c r="F7">
        <v>5.3379471389999997</v>
      </c>
      <c r="G7">
        <v>0.39084732300000002</v>
      </c>
      <c r="H7">
        <v>4.4260253909999996</v>
      </c>
      <c r="I7">
        <v>0.32643863699999998</v>
      </c>
      <c r="J7">
        <f t="shared" si="0"/>
        <v>5.5638009739353569</v>
      </c>
      <c r="K7">
        <f t="shared" si="1"/>
        <v>2.2362491336502246</v>
      </c>
      <c r="L7">
        <f t="shared" si="2"/>
        <v>0.95483092111916912</v>
      </c>
      <c r="M7">
        <f t="shared" si="3"/>
        <v>0.95556992679149377</v>
      </c>
      <c r="N7">
        <f t="shared" si="4"/>
        <v>0.97919707440521486</v>
      </c>
      <c r="O7">
        <f t="shared" si="5"/>
        <v>0.97784693452692517</v>
      </c>
      <c r="P7">
        <f t="shared" si="6"/>
        <v>0.86073251812687779</v>
      </c>
      <c r="Q7">
        <f t="shared" si="7"/>
        <v>0.83562359896567606</v>
      </c>
    </row>
    <row r="8" spans="1:17" x14ac:dyDescent="0.6">
      <c r="A8">
        <v>20</v>
      </c>
      <c r="B8" t="s">
        <v>6</v>
      </c>
      <c r="C8" t="s">
        <v>167</v>
      </c>
      <c r="D8">
        <v>6.9094331880000004</v>
      </c>
      <c r="E8">
        <v>0.25553018900000002</v>
      </c>
      <c r="F8">
        <v>5.3485276959999997</v>
      </c>
      <c r="G8">
        <v>0.39119348599999998</v>
      </c>
      <c r="H8">
        <v>4.4732055659999999</v>
      </c>
      <c r="I8">
        <v>0.33340449799999999</v>
      </c>
      <c r="J8">
        <f t="shared" si="0"/>
        <v>5.5549463390870795</v>
      </c>
      <c r="K8">
        <f t="shared" si="1"/>
        <v>2.2303926866835702</v>
      </c>
      <c r="L8">
        <f t="shared" si="2"/>
        <v>0.9797616313185864</v>
      </c>
      <c r="M8">
        <f t="shared" si="3"/>
        <v>0.98575181546536705</v>
      </c>
      <c r="N8">
        <f t="shared" si="4"/>
        <v>0.97272011778101442</v>
      </c>
      <c r="O8">
        <f t="shared" si="5"/>
        <v>0.97489589261765142</v>
      </c>
      <c r="P8">
        <f t="shared" si="6"/>
        <v>0.84263032181384723</v>
      </c>
      <c r="Q8">
        <f t="shared" si="7"/>
        <v>0.79918656009061262</v>
      </c>
    </row>
    <row r="9" spans="1:17" x14ac:dyDescent="0.6">
      <c r="A9">
        <v>20</v>
      </c>
      <c r="B9" t="s">
        <v>99</v>
      </c>
      <c r="C9" t="s">
        <v>171</v>
      </c>
      <c r="D9">
        <v>6.9660552659999997</v>
      </c>
      <c r="E9">
        <v>0.26092077600000002</v>
      </c>
      <c r="F9">
        <v>5.3270828809999999</v>
      </c>
      <c r="G9">
        <v>0.39003821700000002</v>
      </c>
      <c r="H9">
        <v>4.4567871090000004</v>
      </c>
      <c r="I9">
        <v>0.33384280199999999</v>
      </c>
      <c r="J9">
        <f t="shared" si="0"/>
        <v>5.5090946433670815</v>
      </c>
      <c r="K9">
        <f t="shared" si="1"/>
        <v>2.1935848600169803</v>
      </c>
      <c r="L9">
        <f t="shared" si="2"/>
        <v>0.94667516753061187</v>
      </c>
      <c r="M9">
        <f t="shared" si="3"/>
        <v>0.94600353551575556</v>
      </c>
      <c r="N9">
        <f t="shared" si="4"/>
        <v>0.98584770043748549</v>
      </c>
      <c r="O9">
        <f t="shared" si="5"/>
        <v>0.98474456863295379</v>
      </c>
      <c r="P9">
        <f t="shared" si="6"/>
        <v>0.84892979255067769</v>
      </c>
      <c r="Q9">
        <f t="shared" si="7"/>
        <v>0.79689387869959782</v>
      </c>
    </row>
    <row r="10" spans="1:17" x14ac:dyDescent="0.6">
      <c r="A10">
        <v>20</v>
      </c>
      <c r="B10" t="s">
        <v>6</v>
      </c>
      <c r="C10" t="s">
        <v>174</v>
      </c>
      <c r="D10">
        <v>6.9747408760000003</v>
      </c>
      <c r="E10">
        <v>0.26134295499999999</v>
      </c>
      <c r="F10">
        <v>5.376243874</v>
      </c>
      <c r="G10">
        <v>0.39363596299999998</v>
      </c>
      <c r="H10">
        <v>4.4378051760000004</v>
      </c>
      <c r="I10">
        <v>0.32400996700000001</v>
      </c>
      <c r="J10">
        <f t="shared" si="0"/>
        <v>5.4988579211369411</v>
      </c>
      <c r="K10">
        <f t="shared" si="1"/>
        <v>2.1836310432180914</v>
      </c>
      <c r="L10">
        <f t="shared" si="2"/>
        <v>0.94159983064980202</v>
      </c>
      <c r="M10">
        <f t="shared" si="3"/>
        <v>0.94289053704622983</v>
      </c>
      <c r="N10">
        <f t="shared" si="4"/>
        <v>0.95575347956956447</v>
      </c>
      <c r="O10">
        <f t="shared" si="5"/>
        <v>0.95407375972234432</v>
      </c>
      <c r="P10">
        <f t="shared" si="6"/>
        <v>0.85621282356035056</v>
      </c>
      <c r="Q10">
        <f t="shared" si="7"/>
        <v>0.84832749058864965</v>
      </c>
    </row>
    <row r="11" spans="1:17" x14ac:dyDescent="0.6">
      <c r="A11">
        <v>20</v>
      </c>
      <c r="B11" t="s">
        <v>92</v>
      </c>
      <c r="C11" t="s">
        <v>8</v>
      </c>
      <c r="D11">
        <v>6.9888719999999998</v>
      </c>
      <c r="E11">
        <v>0.26179999999999998</v>
      </c>
      <c r="F11">
        <v>5.4186059999999996</v>
      </c>
      <c r="G11">
        <v>0.39645900000000001</v>
      </c>
      <c r="H11">
        <v>4.3173830000000004</v>
      </c>
      <c r="I11">
        <v>0.32121499999999997</v>
      </c>
      <c r="J11">
        <f t="shared" si="0"/>
        <v>5.4980555843007917</v>
      </c>
      <c r="K11">
        <f t="shared" si="1"/>
        <v>2.181794563670703</v>
      </c>
      <c r="L11">
        <f t="shared" si="2"/>
        <v>0.93334246993426329</v>
      </c>
      <c r="M11">
        <f t="shared" si="3"/>
        <v>0.93952044903734133</v>
      </c>
      <c r="N11">
        <f t="shared" si="4"/>
        <v>0.92982122925316657</v>
      </c>
      <c r="O11">
        <f t="shared" si="5"/>
        <v>0.93000735026081416</v>
      </c>
      <c r="P11">
        <f t="shared" si="6"/>
        <v>0.90241667656416613</v>
      </c>
      <c r="Q11">
        <f t="shared" si="7"/>
        <v>0.86294740925104052</v>
      </c>
    </row>
    <row r="12" spans="1:17" x14ac:dyDescent="0.6">
      <c r="A12">
        <v>30</v>
      </c>
      <c r="B12" t="s">
        <v>6</v>
      </c>
      <c r="C12" t="s">
        <v>184</v>
      </c>
      <c r="D12">
        <v>6.9449210900000002</v>
      </c>
      <c r="E12">
        <v>0.258124095</v>
      </c>
      <c r="F12">
        <v>5.3968339939999996</v>
      </c>
      <c r="G12">
        <v>0.39450969600000002</v>
      </c>
      <c r="H12">
        <v>4.5006103519999998</v>
      </c>
      <c r="I12">
        <v>0.329599423</v>
      </c>
      <c r="J12">
        <f t="shared" si="0"/>
        <v>5.4666299817188646</v>
      </c>
      <c r="K12">
        <f t="shared" si="1"/>
        <v>2.1591333461087348</v>
      </c>
      <c r="L12">
        <f t="shared" si="2"/>
        <v>0.95902468160024157</v>
      </c>
      <c r="M12">
        <f t="shared" si="3"/>
        <v>0.96662527101835671</v>
      </c>
      <c r="N12">
        <f t="shared" si="4"/>
        <v>0.94314910400341223</v>
      </c>
      <c r="O12">
        <f t="shared" si="5"/>
        <v>0.94662518000551732</v>
      </c>
      <c r="P12">
        <f t="shared" si="6"/>
        <v>0.83211559150416559</v>
      </c>
      <c r="Q12">
        <f t="shared" si="7"/>
        <v>0.81909015358717119</v>
      </c>
    </row>
    <row r="13" spans="1:17" x14ac:dyDescent="0.6">
      <c r="A13">
        <v>20</v>
      </c>
      <c r="B13" t="s">
        <v>6</v>
      </c>
      <c r="C13" t="s">
        <v>171</v>
      </c>
      <c r="D13">
        <v>6.9405278480000003</v>
      </c>
      <c r="E13">
        <v>0.25834558299999999</v>
      </c>
      <c r="F13">
        <v>5.3529685689999997</v>
      </c>
      <c r="G13">
        <v>0.39181845900000001</v>
      </c>
      <c r="H13">
        <v>4.5950927730000002</v>
      </c>
      <c r="I13">
        <v>0.336996778</v>
      </c>
      <c r="J13">
        <f t="shared" si="0"/>
        <v>5.4424139388694135</v>
      </c>
      <c r="K13">
        <f t="shared" si="1"/>
        <v>2.1423785781505473</v>
      </c>
      <c r="L13">
        <f t="shared" si="2"/>
        <v>0.9615918223248332</v>
      </c>
      <c r="M13">
        <f t="shared" si="3"/>
        <v>0.96499209692628118</v>
      </c>
      <c r="N13">
        <f t="shared" si="4"/>
        <v>0.97000160855748452</v>
      </c>
      <c r="O13">
        <f t="shared" si="5"/>
        <v>0.96956799357828294</v>
      </c>
      <c r="P13">
        <f t="shared" si="6"/>
        <v>0.79586436240057723</v>
      </c>
      <c r="Q13">
        <f t="shared" si="7"/>
        <v>0.78039605508195498</v>
      </c>
    </row>
    <row r="14" spans="1:17" x14ac:dyDescent="0.6">
      <c r="A14">
        <v>20</v>
      </c>
      <c r="B14" t="s">
        <v>9</v>
      </c>
      <c r="C14" t="s">
        <v>184</v>
      </c>
      <c r="D14">
        <v>7.0997707380000001</v>
      </c>
      <c r="E14">
        <v>0.27024348300000001</v>
      </c>
      <c r="F14">
        <v>5.4280830670000002</v>
      </c>
      <c r="G14">
        <v>0.39721298300000002</v>
      </c>
      <c r="H14">
        <v>4.3164672849999999</v>
      </c>
      <c r="I14">
        <v>0.31541016500000002</v>
      </c>
      <c r="J14">
        <f t="shared" si="0"/>
        <v>5.3894800480310767</v>
      </c>
      <c r="K14">
        <f t="shared" si="1"/>
        <v>2.0966721079257526</v>
      </c>
      <c r="L14">
        <f t="shared" si="2"/>
        <v>0.8685400605460184</v>
      </c>
      <c r="M14">
        <f t="shared" si="3"/>
        <v>0.87726119489047638</v>
      </c>
      <c r="N14">
        <f t="shared" si="4"/>
        <v>0.92401978119295136</v>
      </c>
      <c r="O14">
        <f t="shared" si="5"/>
        <v>0.92357964010149529</v>
      </c>
      <c r="P14">
        <f t="shared" si="6"/>
        <v>0.90276802016763502</v>
      </c>
      <c r="Q14">
        <f t="shared" si="7"/>
        <v>0.89331135113250015</v>
      </c>
    </row>
    <row r="15" spans="1:17" x14ac:dyDescent="0.6">
      <c r="A15">
        <v>30</v>
      </c>
      <c r="B15" t="s">
        <v>6</v>
      </c>
      <c r="C15" t="s">
        <v>7</v>
      </c>
      <c r="D15" s="13">
        <v>7.0741044869999996</v>
      </c>
      <c r="E15">
        <v>0.26864105500000002</v>
      </c>
      <c r="F15">
        <v>5.3911749090000001</v>
      </c>
      <c r="G15">
        <v>0.394375849</v>
      </c>
      <c r="H15">
        <v>4.4763793950000004</v>
      </c>
      <c r="I15">
        <v>0.31870420100000002</v>
      </c>
      <c r="J15">
        <f t="shared" si="0"/>
        <v>5.3844878299376546</v>
      </c>
      <c r="K15">
        <f t="shared" si="1"/>
        <v>2.092738225998886</v>
      </c>
      <c r="L15">
        <f t="shared" si="2"/>
        <v>0.88353784081619136</v>
      </c>
      <c r="M15">
        <f t="shared" si="3"/>
        <v>0.88907693160766421</v>
      </c>
      <c r="N15">
        <f t="shared" si="4"/>
        <v>0.9466133496076522</v>
      </c>
      <c r="O15">
        <f t="shared" si="5"/>
        <v>0.9477662265830854</v>
      </c>
      <c r="P15">
        <f t="shared" si="6"/>
        <v>0.84141257992073226</v>
      </c>
      <c r="Q15">
        <f t="shared" si="7"/>
        <v>0.8760809014023293</v>
      </c>
    </row>
    <row r="16" spans="1:17" x14ac:dyDescent="0.6">
      <c r="A16">
        <v>20</v>
      </c>
      <c r="B16" t="s">
        <v>6</v>
      </c>
      <c r="C16" t="s">
        <v>184</v>
      </c>
      <c r="D16">
        <v>6.9648967060000002</v>
      </c>
      <c r="E16">
        <v>0.259937154</v>
      </c>
      <c r="F16">
        <v>5.3860321039999999</v>
      </c>
      <c r="G16">
        <v>0.39412579399999997</v>
      </c>
      <c r="H16">
        <v>4.6018066409999996</v>
      </c>
      <c r="I16">
        <v>0.34029934099999998</v>
      </c>
      <c r="J16">
        <f t="shared" si="0"/>
        <v>5.3566774455421298</v>
      </c>
      <c r="K16">
        <f t="shared" si="1"/>
        <v>2.0752024198781309</v>
      </c>
      <c r="L16">
        <f t="shared" si="2"/>
        <v>0.94735215881811241</v>
      </c>
      <c r="M16">
        <f t="shared" si="3"/>
        <v>0.95325641588306942</v>
      </c>
      <c r="N16">
        <f t="shared" si="4"/>
        <v>0.94976155105978022</v>
      </c>
      <c r="O16">
        <f t="shared" si="5"/>
        <v>0.94989794714427656</v>
      </c>
      <c r="P16">
        <f t="shared" si="6"/>
        <v>0.7932883703328123</v>
      </c>
      <c r="Q16">
        <f t="shared" si="7"/>
        <v>0.76312100230407942</v>
      </c>
    </row>
    <row r="17" spans="1:17" x14ac:dyDescent="0.6">
      <c r="A17">
        <v>30</v>
      </c>
      <c r="B17" t="s">
        <v>99</v>
      </c>
      <c r="C17" t="s">
        <v>184</v>
      </c>
      <c r="D17">
        <v>7.0746923749999997</v>
      </c>
      <c r="E17">
        <v>0.268379164</v>
      </c>
      <c r="F17">
        <v>5.4036343770000004</v>
      </c>
      <c r="G17">
        <v>0.39516464000000001</v>
      </c>
      <c r="H17">
        <v>4.4638061520000001</v>
      </c>
      <c r="I17">
        <v>0.32595539800000001</v>
      </c>
      <c r="J17">
        <f t="shared" si="0"/>
        <v>5.3386183584023073</v>
      </c>
      <c r="K17">
        <f t="shared" si="1"/>
        <v>2.0581404269214603</v>
      </c>
      <c r="L17">
        <f t="shared" si="2"/>
        <v>0.88319431518607605</v>
      </c>
      <c r="M17">
        <f t="shared" si="3"/>
        <v>0.89100802311667515</v>
      </c>
      <c r="N17">
        <f t="shared" si="4"/>
        <v>0.93898620542265165</v>
      </c>
      <c r="O17">
        <f t="shared" si="5"/>
        <v>0.94104177798904642</v>
      </c>
      <c r="P17">
        <f t="shared" si="6"/>
        <v>0.84623671024829972</v>
      </c>
      <c r="Q17">
        <f t="shared" si="7"/>
        <v>0.83815132643955836</v>
      </c>
    </row>
    <row r="18" spans="1:17" x14ac:dyDescent="0.6">
      <c r="A18">
        <v>30</v>
      </c>
      <c r="B18" t="s">
        <v>9</v>
      </c>
      <c r="C18" t="s">
        <v>177</v>
      </c>
      <c r="D18">
        <v>7.0785406479999997</v>
      </c>
      <c r="E18">
        <v>0.26886777299999998</v>
      </c>
      <c r="F18">
        <v>5.3913911990000001</v>
      </c>
      <c r="G18">
        <v>0.394443504</v>
      </c>
      <c r="H18">
        <v>4.5274047849999999</v>
      </c>
      <c r="I18">
        <v>0.32923683599999998</v>
      </c>
      <c r="J18">
        <f t="shared" si="0"/>
        <v>5.3048430449109265</v>
      </c>
      <c r="K18">
        <f t="shared" si="1"/>
        <v>2.0328034647328312</v>
      </c>
      <c r="L18">
        <f t="shared" si="2"/>
        <v>0.88094562086474182</v>
      </c>
      <c r="M18">
        <f t="shared" si="3"/>
        <v>0.88740519334732004</v>
      </c>
      <c r="N18">
        <f t="shared" si="4"/>
        <v>0.94648094628065838</v>
      </c>
      <c r="O18">
        <f t="shared" si="5"/>
        <v>0.9471894672518687</v>
      </c>
      <c r="P18">
        <f t="shared" si="6"/>
        <v>0.8218350428147565</v>
      </c>
      <c r="Q18">
        <f t="shared" si="7"/>
        <v>0.82098677435158118</v>
      </c>
    </row>
    <row r="19" spans="1:17" x14ac:dyDescent="0.6">
      <c r="A19">
        <v>20</v>
      </c>
      <c r="B19" t="s">
        <v>92</v>
      </c>
      <c r="C19" t="s">
        <v>7</v>
      </c>
      <c r="D19">
        <v>6.9952860000000001</v>
      </c>
      <c r="E19">
        <v>0.26190000000000002</v>
      </c>
      <c r="F19">
        <v>5.434768</v>
      </c>
      <c r="G19">
        <v>0.39750799999999997</v>
      </c>
      <c r="H19">
        <v>4.5741579999999997</v>
      </c>
      <c r="I19">
        <v>0.33750200000000002</v>
      </c>
      <c r="J19">
        <f t="shared" si="0"/>
        <v>5.2910197834605119</v>
      </c>
      <c r="K19">
        <f t="shared" si="1"/>
        <v>2.0231574943536619</v>
      </c>
      <c r="L19">
        <f t="shared" si="2"/>
        <v>0.92959452238037654</v>
      </c>
      <c r="M19">
        <f t="shared" si="3"/>
        <v>0.93878308444328828</v>
      </c>
      <c r="N19">
        <f t="shared" si="4"/>
        <v>0.91992755607884014</v>
      </c>
      <c r="O19">
        <f t="shared" si="5"/>
        <v>0.92106461818711338</v>
      </c>
      <c r="P19">
        <f t="shared" si="6"/>
        <v>0.80389666348073929</v>
      </c>
      <c r="Q19">
        <f t="shared" si="7"/>
        <v>0.77775333889015352</v>
      </c>
    </row>
    <row r="20" spans="1:17" x14ac:dyDescent="0.6">
      <c r="A20">
        <v>5</v>
      </c>
      <c r="B20" t="s">
        <v>9</v>
      </c>
      <c r="C20" t="s">
        <v>177</v>
      </c>
      <c r="D20">
        <v>7.1823392070000001</v>
      </c>
      <c r="E20">
        <v>0.27906638</v>
      </c>
      <c r="F20">
        <v>5.4315624150000001</v>
      </c>
      <c r="G20">
        <v>0.39875422300000002</v>
      </c>
      <c r="H20">
        <v>4.271484375</v>
      </c>
      <c r="I20">
        <v>0.313879674</v>
      </c>
      <c r="J20">
        <f t="shared" si="0"/>
        <v>5.2861710417899737</v>
      </c>
      <c r="K20">
        <f t="shared" si="1"/>
        <v>2.018074353009196</v>
      </c>
      <c r="L20">
        <f t="shared" si="2"/>
        <v>0.82029211988236017</v>
      </c>
      <c r="M20">
        <f t="shared" si="3"/>
        <v>0.81220427624273228</v>
      </c>
      <c r="N20">
        <f t="shared" si="4"/>
        <v>0.92188987573745429</v>
      </c>
      <c r="O20">
        <f t="shared" si="5"/>
        <v>0.91044055870848195</v>
      </c>
      <c r="P20">
        <f t="shared" si="6"/>
        <v>0.92002716487304104</v>
      </c>
      <c r="Q20">
        <f t="shared" si="7"/>
        <v>0.90131704634590382</v>
      </c>
    </row>
    <row r="21" spans="1:17" x14ac:dyDescent="0.6">
      <c r="A21">
        <v>5</v>
      </c>
      <c r="B21" t="s">
        <v>99</v>
      </c>
      <c r="C21" t="s">
        <v>174</v>
      </c>
      <c r="D21">
        <v>7.092219504</v>
      </c>
      <c r="E21">
        <v>0.271810475</v>
      </c>
      <c r="F21">
        <v>5.3916216429999997</v>
      </c>
      <c r="G21">
        <v>0.39572529000000001</v>
      </c>
      <c r="H21">
        <v>4.5201416019999998</v>
      </c>
      <c r="I21">
        <v>0.32848809400000001</v>
      </c>
      <c r="J21">
        <f t="shared" si="0"/>
        <v>5.2707864926472974</v>
      </c>
      <c r="K21">
        <f t="shared" si="1"/>
        <v>2.0063179883201165</v>
      </c>
      <c r="L21">
        <f t="shared" si="2"/>
        <v>0.87295253778317539</v>
      </c>
      <c r="M21">
        <f t="shared" si="3"/>
        <v>0.86570675069083702</v>
      </c>
      <c r="N21">
        <f t="shared" si="4"/>
        <v>0.94633987849072021</v>
      </c>
      <c r="O21">
        <f t="shared" si="5"/>
        <v>0.93626223295842637</v>
      </c>
      <c r="P21">
        <f t="shared" si="6"/>
        <v>0.82462179730482499</v>
      </c>
      <c r="Q21">
        <f t="shared" si="7"/>
        <v>0.82490329541931295</v>
      </c>
    </row>
    <row r="22" spans="1:17" x14ac:dyDescent="0.6">
      <c r="A22">
        <v>30</v>
      </c>
      <c r="B22" t="s">
        <v>99</v>
      </c>
      <c r="C22" t="s">
        <v>177</v>
      </c>
      <c r="D22">
        <v>7.0389696099999997</v>
      </c>
      <c r="E22">
        <v>0.26562296600000002</v>
      </c>
      <c r="F22">
        <v>5.4290623340000002</v>
      </c>
      <c r="G22">
        <v>0.396953626</v>
      </c>
      <c r="H22">
        <v>4.595703125</v>
      </c>
      <c r="I22">
        <v>0.331826766</v>
      </c>
      <c r="J22">
        <f t="shared" si="0"/>
        <v>5.2676802773233344</v>
      </c>
      <c r="K22">
        <f t="shared" si="1"/>
        <v>2.0045596414107409</v>
      </c>
      <c r="L22">
        <f t="shared" si="2"/>
        <v>0.90406850441273845</v>
      </c>
      <c r="M22">
        <f t="shared" si="3"/>
        <v>0.91133125131066561</v>
      </c>
      <c r="N22">
        <f t="shared" si="4"/>
        <v>0.92342031654449197</v>
      </c>
      <c r="O22">
        <f t="shared" si="5"/>
        <v>0.92579066027541235</v>
      </c>
      <c r="P22">
        <f t="shared" si="6"/>
        <v>0.79563018116398687</v>
      </c>
      <c r="Q22">
        <f t="shared" si="7"/>
        <v>0.80743936361603919</v>
      </c>
    </row>
    <row r="23" spans="1:17" x14ac:dyDescent="0.6">
      <c r="A23">
        <v>10</v>
      </c>
      <c r="B23" t="s">
        <v>99</v>
      </c>
      <c r="C23" t="s">
        <v>184</v>
      </c>
      <c r="D23">
        <v>7.0933020459999998</v>
      </c>
      <c r="E23">
        <v>0.27127378499999999</v>
      </c>
      <c r="F23">
        <v>5.4057876450000002</v>
      </c>
      <c r="G23">
        <v>0.39638479300000001</v>
      </c>
      <c r="H23">
        <v>4.5213012700000004</v>
      </c>
      <c r="I23">
        <v>0.32774827400000001</v>
      </c>
      <c r="J23">
        <f t="shared" si="0"/>
        <v>5.2632421138904135</v>
      </c>
      <c r="K23">
        <f t="shared" si="1"/>
        <v>2.0004043433874079</v>
      </c>
      <c r="L23">
        <f t="shared" si="2"/>
        <v>0.87231996674468482</v>
      </c>
      <c r="M23">
        <f t="shared" si="3"/>
        <v>0.86966411273065891</v>
      </c>
      <c r="N23">
        <f t="shared" si="4"/>
        <v>0.93766806844401451</v>
      </c>
      <c r="O23">
        <f t="shared" si="5"/>
        <v>0.93063996543621264</v>
      </c>
      <c r="P23">
        <f t="shared" si="6"/>
        <v>0.82417685326224888</v>
      </c>
      <c r="Q23">
        <f t="shared" si="7"/>
        <v>0.82877314727259421</v>
      </c>
    </row>
    <row r="24" spans="1:17" x14ac:dyDescent="0.6">
      <c r="A24">
        <v>10</v>
      </c>
      <c r="B24" t="s">
        <v>6</v>
      </c>
      <c r="C24" t="s">
        <v>177</v>
      </c>
      <c r="D24">
        <v>7.1317229129999999</v>
      </c>
      <c r="E24">
        <v>0.27480635199999998</v>
      </c>
      <c r="F24">
        <v>5.4402314580000004</v>
      </c>
      <c r="G24">
        <v>0.39915139199999999</v>
      </c>
      <c r="H24">
        <v>4.3818969729999999</v>
      </c>
      <c r="I24">
        <v>0.32080249</v>
      </c>
      <c r="J24">
        <f t="shared" si="0"/>
        <v>5.2598921187429015</v>
      </c>
      <c r="K24">
        <f t="shared" si="1"/>
        <v>1.9971349056532799</v>
      </c>
      <c r="L24">
        <f t="shared" si="2"/>
        <v>0.84986917246796989</v>
      </c>
      <c r="M24">
        <f t="shared" si="3"/>
        <v>0.84361621441146684</v>
      </c>
      <c r="N24">
        <f t="shared" si="4"/>
        <v>0.91658306481206242</v>
      </c>
      <c r="O24">
        <f t="shared" si="5"/>
        <v>0.9070546903052602</v>
      </c>
      <c r="P24">
        <f t="shared" si="6"/>
        <v>0.87766380940800293</v>
      </c>
      <c r="Q24">
        <f t="shared" si="7"/>
        <v>0.86510516733813869</v>
      </c>
    </row>
    <row r="25" spans="1:17" x14ac:dyDescent="0.6">
      <c r="A25">
        <v>5</v>
      </c>
      <c r="B25" t="s">
        <v>99</v>
      </c>
      <c r="C25" t="s">
        <v>167</v>
      </c>
      <c r="D25">
        <v>7.1365300339999997</v>
      </c>
      <c r="E25">
        <v>0.27521844099999998</v>
      </c>
      <c r="F25">
        <v>5.4294058400000003</v>
      </c>
      <c r="G25">
        <v>0.39845836899999998</v>
      </c>
      <c r="H25">
        <v>4.3968505860000002</v>
      </c>
      <c r="I25">
        <v>0.32197364499999998</v>
      </c>
      <c r="J25">
        <f t="shared" si="0"/>
        <v>5.2547160163674036</v>
      </c>
      <c r="K25">
        <f t="shared" si="1"/>
        <v>1.9933807470282026</v>
      </c>
      <c r="L25">
        <f t="shared" si="2"/>
        <v>0.84706018628256519</v>
      </c>
      <c r="M25">
        <f t="shared" si="3"/>
        <v>0.84057761602948067</v>
      </c>
      <c r="N25">
        <f t="shared" si="4"/>
        <v>0.92321003711760041</v>
      </c>
      <c r="O25">
        <f t="shared" si="5"/>
        <v>0.91296271605350876</v>
      </c>
      <c r="P25">
        <f t="shared" si="6"/>
        <v>0.87192637333204326</v>
      </c>
      <c r="Q25">
        <f t="shared" si="7"/>
        <v>0.85897908755220487</v>
      </c>
    </row>
    <row r="26" spans="1:17" x14ac:dyDescent="0.6">
      <c r="A26">
        <v>30</v>
      </c>
      <c r="B26" t="s">
        <v>92</v>
      </c>
      <c r="C26" t="s">
        <v>181</v>
      </c>
      <c r="D26">
        <v>7.0190722210000001</v>
      </c>
      <c r="E26">
        <v>0.263302492</v>
      </c>
      <c r="F26">
        <v>5.4377097709999997</v>
      </c>
      <c r="G26">
        <v>0.39732566499999999</v>
      </c>
      <c r="H26">
        <v>4.5749511719999996</v>
      </c>
      <c r="I26">
        <v>0.33985430300000002</v>
      </c>
      <c r="J26">
        <f t="shared" si="0"/>
        <v>5.253923923674523</v>
      </c>
      <c r="K26">
        <f t="shared" si="1"/>
        <v>1.9949390161424183</v>
      </c>
      <c r="L26">
        <f t="shared" si="2"/>
        <v>0.91569531614196786</v>
      </c>
      <c r="M26">
        <f t="shared" si="3"/>
        <v>0.92844160500086581</v>
      </c>
      <c r="N26">
        <f t="shared" si="4"/>
        <v>0.91812673187220062</v>
      </c>
      <c r="O26">
        <f t="shared" si="5"/>
        <v>0.92261902529164919</v>
      </c>
      <c r="P26">
        <f t="shared" si="6"/>
        <v>0.80359233745282621</v>
      </c>
      <c r="Q26">
        <f t="shared" si="7"/>
        <v>0.7654489079150123</v>
      </c>
    </row>
    <row r="27" spans="1:17" x14ac:dyDescent="0.6">
      <c r="A27">
        <v>10</v>
      </c>
      <c r="B27" t="s">
        <v>99</v>
      </c>
      <c r="C27" t="s">
        <v>177</v>
      </c>
      <c r="D27">
        <v>7.0347555570000004</v>
      </c>
      <c r="E27">
        <v>0.26633654899999998</v>
      </c>
      <c r="F27">
        <v>5.4116259549999999</v>
      </c>
      <c r="G27">
        <v>0.39669362699999999</v>
      </c>
      <c r="H27">
        <v>4.5540771480000002</v>
      </c>
      <c r="I27">
        <v>0.34145180400000003</v>
      </c>
      <c r="J27">
        <f t="shared" si="0"/>
        <v>5.2433957704966918</v>
      </c>
      <c r="K27">
        <f t="shared" si="1"/>
        <v>1.98689503921088</v>
      </c>
      <c r="L27">
        <f t="shared" si="2"/>
        <v>0.90653093809426255</v>
      </c>
      <c r="M27">
        <f t="shared" si="3"/>
        <v>0.90606954291948627</v>
      </c>
      <c r="N27">
        <f t="shared" si="4"/>
        <v>0.93409410909304336</v>
      </c>
      <c r="O27">
        <f t="shared" si="5"/>
        <v>0.92800715350365859</v>
      </c>
      <c r="P27">
        <f t="shared" si="6"/>
        <v>0.81160133021919256</v>
      </c>
      <c r="Q27">
        <f t="shared" si="7"/>
        <v>0.75709269666704848</v>
      </c>
    </row>
    <row r="28" spans="1:17" x14ac:dyDescent="0.6">
      <c r="A28">
        <v>10</v>
      </c>
      <c r="B28" t="s">
        <v>92</v>
      </c>
      <c r="C28" t="s">
        <v>171</v>
      </c>
      <c r="D28">
        <v>7.0525043959999998</v>
      </c>
      <c r="E28">
        <v>0.26778474400000002</v>
      </c>
      <c r="F28">
        <v>5.3917527999999999</v>
      </c>
      <c r="G28">
        <v>0.395145476</v>
      </c>
      <c r="H28">
        <v>4.6395263670000002</v>
      </c>
      <c r="I28">
        <v>0.33735504100000002</v>
      </c>
      <c r="J28">
        <f t="shared" si="0"/>
        <v>5.2363534466312718</v>
      </c>
      <c r="K28">
        <f t="shared" si="1"/>
        <v>1.9820468515856446</v>
      </c>
      <c r="L28">
        <f t="shared" si="2"/>
        <v>0.89615960698818631</v>
      </c>
      <c r="M28">
        <f t="shared" si="3"/>
        <v>0.89539106573664351</v>
      </c>
      <c r="N28">
        <f t="shared" si="4"/>
        <v>0.94625958988209946</v>
      </c>
      <c r="O28">
        <f t="shared" si="5"/>
        <v>0.94120515121827475</v>
      </c>
      <c r="P28">
        <f t="shared" si="6"/>
        <v>0.77881598050115675</v>
      </c>
      <c r="Q28">
        <f t="shared" si="7"/>
        <v>0.77852205230491167</v>
      </c>
    </row>
    <row r="29" spans="1:17" x14ac:dyDescent="0.6">
      <c r="A29">
        <v>20</v>
      </c>
      <c r="B29" t="s">
        <v>9</v>
      </c>
      <c r="C29" t="s">
        <v>171</v>
      </c>
      <c r="D29">
        <v>7.0147425109999997</v>
      </c>
      <c r="E29">
        <v>0.264225973</v>
      </c>
      <c r="F29">
        <v>5.3937383580000002</v>
      </c>
      <c r="G29">
        <v>0.39491844599999998</v>
      </c>
      <c r="H29">
        <v>4.6662597659999996</v>
      </c>
      <c r="I29">
        <v>0.34529065799999997</v>
      </c>
      <c r="J29">
        <f t="shared" si="0"/>
        <v>5.2336134782988353</v>
      </c>
      <c r="K29">
        <f t="shared" si="1"/>
        <v>1.9817252698132102</v>
      </c>
      <c r="L29">
        <f t="shared" si="2"/>
        <v>0.9182253326688683</v>
      </c>
      <c r="M29">
        <f t="shared" si="3"/>
        <v>0.92163218307406136</v>
      </c>
      <c r="N29">
        <f t="shared" si="4"/>
        <v>0.94504411766822305</v>
      </c>
      <c r="O29">
        <f t="shared" si="5"/>
        <v>0.94314058349920182</v>
      </c>
      <c r="P29">
        <f t="shared" si="6"/>
        <v>0.76855884947498831</v>
      </c>
      <c r="Q29">
        <f t="shared" si="7"/>
        <v>0.73701241191349254</v>
      </c>
    </row>
    <row r="30" spans="1:17" x14ac:dyDescent="0.6">
      <c r="A30">
        <v>10</v>
      </c>
      <c r="B30" t="s">
        <v>6</v>
      </c>
      <c r="C30" t="s">
        <v>167</v>
      </c>
      <c r="D30">
        <v>7.0570886359999996</v>
      </c>
      <c r="E30">
        <v>0.26787085999999999</v>
      </c>
      <c r="F30">
        <v>5.4104095729999999</v>
      </c>
      <c r="G30">
        <v>0.39643145400000002</v>
      </c>
      <c r="H30">
        <v>4.6129760739999996</v>
      </c>
      <c r="I30">
        <v>0.33730529599999998</v>
      </c>
      <c r="J30">
        <f t="shared" si="0"/>
        <v>5.2211029564809293</v>
      </c>
      <c r="K30">
        <f t="shared" si="1"/>
        <v>1.9701119583359952</v>
      </c>
      <c r="L30">
        <f t="shared" si="2"/>
        <v>0.89348085876641703</v>
      </c>
      <c r="M30">
        <f t="shared" si="3"/>
        <v>0.89475607684282921</v>
      </c>
      <c r="N30">
        <f t="shared" si="4"/>
        <v>0.93483872522737899</v>
      </c>
      <c r="O30">
        <f t="shared" si="5"/>
        <v>0.93024218009656445</v>
      </c>
      <c r="P30">
        <f t="shared" si="6"/>
        <v>0.78900285700287576</v>
      </c>
      <c r="Q30">
        <f t="shared" si="7"/>
        <v>0.77878225854486416</v>
      </c>
    </row>
    <row r="31" spans="1:17" x14ac:dyDescent="0.6">
      <c r="A31">
        <v>5</v>
      </c>
      <c r="B31" t="s">
        <v>6</v>
      </c>
      <c r="C31" t="s">
        <v>177</v>
      </c>
      <c r="D31">
        <v>7.1274443940000003</v>
      </c>
      <c r="E31">
        <v>0.27499322900000001</v>
      </c>
      <c r="F31">
        <v>5.4261025429999998</v>
      </c>
      <c r="G31">
        <v>0.398301829</v>
      </c>
      <c r="H31">
        <v>4.4005126949999998</v>
      </c>
      <c r="I31">
        <v>0.33017576999999998</v>
      </c>
      <c r="J31">
        <f t="shared" si="0"/>
        <v>5.220733601793194</v>
      </c>
      <c r="K31">
        <f t="shared" si="1"/>
        <v>1.9680535242274768</v>
      </c>
      <c r="L31">
        <f t="shared" si="2"/>
        <v>0.85236927611940516</v>
      </c>
      <c r="M31">
        <f t="shared" si="3"/>
        <v>0.8422382495790387</v>
      </c>
      <c r="N31">
        <f t="shared" si="4"/>
        <v>0.92523217181106254</v>
      </c>
      <c r="O31">
        <f t="shared" si="5"/>
        <v>0.91429722060910168</v>
      </c>
      <c r="P31">
        <f t="shared" si="6"/>
        <v>0.87052128706354792</v>
      </c>
      <c r="Q31">
        <f t="shared" si="7"/>
        <v>0.8160753966110379</v>
      </c>
    </row>
    <row r="32" spans="1:17" x14ac:dyDescent="0.6">
      <c r="A32">
        <v>90</v>
      </c>
      <c r="B32" t="s">
        <v>92</v>
      </c>
      <c r="C32" t="s">
        <v>7</v>
      </c>
      <c r="D32">
        <v>7.1349489999999998</v>
      </c>
      <c r="E32">
        <v>0.27160000000000001</v>
      </c>
      <c r="F32">
        <v>5.4568960000000004</v>
      </c>
      <c r="G32">
        <v>0.397374</v>
      </c>
      <c r="H32">
        <v>4.4688720000000002</v>
      </c>
      <c r="I32">
        <v>0.32714700000000002</v>
      </c>
      <c r="J32">
        <f t="shared" si="0"/>
        <v>5.2200428172942139</v>
      </c>
      <c r="K32">
        <f t="shared" si="1"/>
        <v>1.9675273541364549</v>
      </c>
      <c r="L32">
        <f t="shared" si="2"/>
        <v>0.8479840454208426</v>
      </c>
      <c r="M32">
        <f t="shared" si="3"/>
        <v>0.86725871882016958</v>
      </c>
      <c r="N32">
        <f t="shared" si="4"/>
        <v>0.90638175729146886</v>
      </c>
      <c r="O32">
        <f t="shared" si="5"/>
        <v>0.92220696909071265</v>
      </c>
      <c r="P32">
        <f t="shared" si="6"/>
        <v>0.84429303422361401</v>
      </c>
      <c r="Q32">
        <f t="shared" si="7"/>
        <v>0.83191829244740667</v>
      </c>
    </row>
    <row r="33" spans="1:17" x14ac:dyDescent="0.6">
      <c r="A33">
        <v>30</v>
      </c>
      <c r="B33" t="s">
        <v>6</v>
      </c>
      <c r="C33" t="s">
        <v>177</v>
      </c>
      <c r="D33">
        <v>6.9798013120000002</v>
      </c>
      <c r="E33">
        <v>0.26082164299999999</v>
      </c>
      <c r="F33">
        <v>5.414489154</v>
      </c>
      <c r="G33">
        <v>0.39583638799999998</v>
      </c>
      <c r="H33">
        <v>4.7343139650000001</v>
      </c>
      <c r="I33">
        <v>0.34857923200000002</v>
      </c>
      <c r="J33">
        <f t="shared" si="0"/>
        <v>5.2152920281238044</v>
      </c>
      <c r="K33">
        <f t="shared" si="1"/>
        <v>1.9692757185363414</v>
      </c>
      <c r="L33">
        <f t="shared" si="2"/>
        <v>0.93864282274088418</v>
      </c>
      <c r="M33">
        <f t="shared" si="3"/>
        <v>0.94673450715877816</v>
      </c>
      <c r="N33">
        <f t="shared" si="4"/>
        <v>0.93234138324605287</v>
      </c>
      <c r="O33">
        <f t="shared" si="5"/>
        <v>0.93531512175926157</v>
      </c>
      <c r="P33">
        <f t="shared" si="6"/>
        <v>0.74244766039559118</v>
      </c>
      <c r="Q33">
        <f t="shared" si="7"/>
        <v>0.71981053282323726</v>
      </c>
    </row>
    <row r="34" spans="1:17" x14ac:dyDescent="0.6">
      <c r="A34">
        <v>20</v>
      </c>
      <c r="B34" t="s">
        <v>92</v>
      </c>
      <c r="C34" t="s">
        <v>184</v>
      </c>
      <c r="D34">
        <v>7.074308018</v>
      </c>
      <c r="E34">
        <v>0.26794008699999999</v>
      </c>
      <c r="F34">
        <v>5.4778284140000002</v>
      </c>
      <c r="G34">
        <v>0.40065980600000001</v>
      </c>
      <c r="H34">
        <v>4.5148925780000004</v>
      </c>
      <c r="I34">
        <v>0.33447051700000002</v>
      </c>
      <c r="J34">
        <f t="shared" ref="J34:J65" si="8">SUM(L34:Q34)</f>
        <v>5.1856740068785427</v>
      </c>
      <c r="K34">
        <f t="shared" ref="K34:K65" si="9">0.5*SIN(RADIANS(60))*((L34*M34)+(M34*N34)+(N34*O34)+(O34*P34)+(P34*Q34)+(Q34*L34))</f>
        <v>1.9417926632635538</v>
      </c>
      <c r="L34">
        <f t="shared" ref="L34:L65" si="10">(MAX(D:D)-D34)/(MAX(D:D)-MIN(D:D))</f>
        <v>0.88341890980378235</v>
      </c>
      <c r="M34">
        <f t="shared" ref="M34:M65" si="11">(MAX(E:E)-E34)/(MAX(E:E)-MIN(E:E))</f>
        <v>0.89424562145530428</v>
      </c>
      <c r="N34">
        <f t="shared" ref="N34:N65" si="12">(MAX(F:F)-F34)/(MAX(F:F)-MIN(F:F))</f>
        <v>0.89356784423208957</v>
      </c>
      <c r="O34">
        <f t="shared" ref="O34:O65" si="13">(MAX(G:G)-G34)/(MAX(G:G)-MIN(G:G))</f>
        <v>0.89419545078360163</v>
      </c>
      <c r="P34">
        <f t="shared" ref="P34:P65" si="14">(MAX(H:H)-H34)/(MAX(H:H)-MIN(H:H))</f>
        <v>0.8266357547117188</v>
      </c>
      <c r="Q34">
        <f t="shared" ref="Q34:Q65" si="15">(MAX(I:I)-I34)/(MAX(I:I)-MIN(I:I))</f>
        <v>0.79361042589204656</v>
      </c>
    </row>
    <row r="35" spans="1:17" x14ac:dyDescent="0.6">
      <c r="A35">
        <v>10</v>
      </c>
      <c r="B35" t="s">
        <v>6</v>
      </c>
      <c r="C35" t="s">
        <v>171</v>
      </c>
      <c r="D35">
        <v>7.118390496</v>
      </c>
      <c r="E35">
        <v>0.27302164499999998</v>
      </c>
      <c r="F35">
        <v>5.4122206430000004</v>
      </c>
      <c r="G35">
        <v>0.39672678099999997</v>
      </c>
      <c r="H35">
        <v>4.5758056639999998</v>
      </c>
      <c r="I35">
        <v>0.333067748</v>
      </c>
      <c r="J35">
        <f t="shared" si="8"/>
        <v>5.1801029288787817</v>
      </c>
      <c r="K35">
        <f t="shared" si="9"/>
        <v>1.9384187556308401</v>
      </c>
      <c r="L35">
        <f t="shared" si="10"/>
        <v>0.85765981788152534</v>
      </c>
      <c r="M35">
        <f t="shared" si="11"/>
        <v>0.85677601193704822</v>
      </c>
      <c r="N35">
        <f t="shared" si="12"/>
        <v>0.93373006697494532</v>
      </c>
      <c r="O35">
        <f t="shared" si="13"/>
        <v>0.92772451543009204</v>
      </c>
      <c r="P35">
        <f t="shared" si="14"/>
        <v>0.80326448402854544</v>
      </c>
      <c r="Q35">
        <f t="shared" si="15"/>
        <v>0.80094803262662462</v>
      </c>
    </row>
    <row r="36" spans="1:17" x14ac:dyDescent="0.6">
      <c r="A36">
        <v>20</v>
      </c>
      <c r="B36" t="s">
        <v>99</v>
      </c>
      <c r="C36" t="s">
        <v>184</v>
      </c>
      <c r="D36">
        <v>7.0615957710000004</v>
      </c>
      <c r="E36">
        <v>0.26684443400000002</v>
      </c>
      <c r="F36">
        <v>5.4926418730000002</v>
      </c>
      <c r="G36">
        <v>0.40174695500000002</v>
      </c>
      <c r="H36">
        <v>4.5133666989999996</v>
      </c>
      <c r="I36">
        <v>0.33576207000000002</v>
      </c>
      <c r="J36">
        <f t="shared" si="8"/>
        <v>5.1766747075696626</v>
      </c>
      <c r="K36">
        <f t="shared" si="9"/>
        <v>1.9349423478874288</v>
      </c>
      <c r="L36">
        <f t="shared" si="10"/>
        <v>0.89084716596967717</v>
      </c>
      <c r="M36">
        <f t="shared" si="11"/>
        <v>0.90232457875098104</v>
      </c>
      <c r="N36">
        <f t="shared" si="12"/>
        <v>0.88449968918152155</v>
      </c>
      <c r="O36">
        <f t="shared" si="13"/>
        <v>0.88492749822765104</v>
      </c>
      <c r="P36">
        <f t="shared" si="14"/>
        <v>0.82722120741951277</v>
      </c>
      <c r="Q36">
        <f t="shared" si="15"/>
        <v>0.78685456802031983</v>
      </c>
    </row>
    <row r="37" spans="1:17" x14ac:dyDescent="0.6">
      <c r="A37">
        <v>30</v>
      </c>
      <c r="B37" t="s">
        <v>6</v>
      </c>
      <c r="C37" t="s">
        <v>181</v>
      </c>
      <c r="D37">
        <v>7.1613486200000001</v>
      </c>
      <c r="E37">
        <v>0.274647417</v>
      </c>
      <c r="F37">
        <v>5.4657379449999999</v>
      </c>
      <c r="G37">
        <v>0.39960011200000001</v>
      </c>
      <c r="H37">
        <v>4.4232177730000002</v>
      </c>
      <c r="I37">
        <v>0.32861494000000002</v>
      </c>
      <c r="J37">
        <f t="shared" si="8"/>
        <v>5.1675938672328074</v>
      </c>
      <c r="K37">
        <f t="shared" si="9"/>
        <v>1.9283015213692303</v>
      </c>
      <c r="L37">
        <f t="shared" si="10"/>
        <v>0.8325577293618257</v>
      </c>
      <c r="M37">
        <f t="shared" si="11"/>
        <v>0.84478814482902442</v>
      </c>
      <c r="N37">
        <f t="shared" si="12"/>
        <v>0.90096910328482605</v>
      </c>
      <c r="O37">
        <f t="shared" si="13"/>
        <v>0.90322934927941534</v>
      </c>
      <c r="P37">
        <f t="shared" si="14"/>
        <v>0.86180975135477456</v>
      </c>
      <c r="Q37">
        <f t="shared" si="15"/>
        <v>0.82423978912294182</v>
      </c>
    </row>
    <row r="38" spans="1:17" x14ac:dyDescent="0.6">
      <c r="A38">
        <v>5</v>
      </c>
      <c r="B38" t="s">
        <v>99</v>
      </c>
      <c r="C38" t="s">
        <v>171</v>
      </c>
      <c r="D38">
        <v>7.1488639369999998</v>
      </c>
      <c r="E38">
        <v>0.27624827499999999</v>
      </c>
      <c r="F38">
        <v>5.4371781779999999</v>
      </c>
      <c r="G38">
        <v>0.399022551</v>
      </c>
      <c r="H38">
        <v>4.4279785159999996</v>
      </c>
      <c r="I38">
        <v>0.33270807299999999</v>
      </c>
      <c r="J38">
        <f t="shared" si="8"/>
        <v>5.1622547665211282</v>
      </c>
      <c r="K38">
        <f t="shared" si="9"/>
        <v>1.9244859662164224</v>
      </c>
      <c r="L38">
        <f t="shared" si="10"/>
        <v>0.83985301110658706</v>
      </c>
      <c r="M38">
        <f t="shared" si="11"/>
        <v>0.83298398473596325</v>
      </c>
      <c r="N38">
        <f t="shared" si="12"/>
        <v>0.91845214997662816</v>
      </c>
      <c r="O38">
        <f t="shared" si="13"/>
        <v>0.90815306069907109</v>
      </c>
      <c r="P38">
        <f t="shared" si="14"/>
        <v>0.85998313870694365</v>
      </c>
      <c r="Q38">
        <f t="shared" si="15"/>
        <v>0.80282942129593471</v>
      </c>
    </row>
    <row r="39" spans="1:17" x14ac:dyDescent="0.6">
      <c r="A39">
        <v>30</v>
      </c>
      <c r="B39" t="s">
        <v>6</v>
      </c>
      <c r="C39" t="s">
        <v>167</v>
      </c>
      <c r="D39">
        <v>7.0867419250000001</v>
      </c>
      <c r="E39">
        <v>0.26887227600000002</v>
      </c>
      <c r="F39">
        <v>5.4375284439999998</v>
      </c>
      <c r="G39">
        <v>0.39761129499999998</v>
      </c>
      <c r="H39">
        <v>4.6083374020000001</v>
      </c>
      <c r="I39">
        <v>0.33992134899999998</v>
      </c>
      <c r="J39">
        <f t="shared" si="8"/>
        <v>5.1578278849858323</v>
      </c>
      <c r="K39">
        <f t="shared" si="9"/>
        <v>1.9226955915942365</v>
      </c>
      <c r="L39">
        <f t="shared" si="10"/>
        <v>0.87615329843398138</v>
      </c>
      <c r="M39">
        <f t="shared" si="11"/>
        <v>0.88737198981964949</v>
      </c>
      <c r="N39">
        <f t="shared" si="12"/>
        <v>0.91823773237187145</v>
      </c>
      <c r="O39">
        <f t="shared" si="13"/>
        <v>0.92018402761556617</v>
      </c>
      <c r="P39">
        <f t="shared" si="14"/>
        <v>0.79078263317317921</v>
      </c>
      <c r="Q39">
        <f t="shared" si="15"/>
        <v>0.76509820357158431</v>
      </c>
    </row>
    <row r="40" spans="1:17" x14ac:dyDescent="0.6">
      <c r="A40">
        <v>10</v>
      </c>
      <c r="B40" t="s">
        <v>99</v>
      </c>
      <c r="C40" t="s">
        <v>171</v>
      </c>
      <c r="D40">
        <v>7.1364558499999999</v>
      </c>
      <c r="E40">
        <v>0.274404969</v>
      </c>
      <c r="F40">
        <v>5.477234427</v>
      </c>
      <c r="G40">
        <v>0.40156658099999998</v>
      </c>
      <c r="H40">
        <v>4.4888916019999998</v>
      </c>
      <c r="I40">
        <v>0.32502688800000001</v>
      </c>
      <c r="J40">
        <f t="shared" si="8"/>
        <v>5.1536960967420971</v>
      </c>
      <c r="K40">
        <f t="shared" si="9"/>
        <v>1.9171076548735608</v>
      </c>
      <c r="L40">
        <f t="shared" si="10"/>
        <v>0.84710353485464762</v>
      </c>
      <c r="M40">
        <f t="shared" si="11"/>
        <v>0.84657587054001349</v>
      </c>
      <c r="N40">
        <f t="shared" si="12"/>
        <v>0.89393145722848866</v>
      </c>
      <c r="O40">
        <f t="shared" si="13"/>
        <v>0.88646518779396388</v>
      </c>
      <c r="P40">
        <f t="shared" si="14"/>
        <v>0.83661186802376997</v>
      </c>
      <c r="Q40">
        <f t="shared" si="15"/>
        <v>0.84300817830121411</v>
      </c>
    </row>
    <row r="41" spans="1:17" x14ac:dyDescent="0.6">
      <c r="A41">
        <v>5</v>
      </c>
      <c r="B41" t="s">
        <v>92</v>
      </c>
      <c r="C41" t="s">
        <v>174</v>
      </c>
      <c r="D41">
        <v>7.1141418810000001</v>
      </c>
      <c r="E41">
        <v>0.27338674800000001</v>
      </c>
      <c r="F41">
        <v>5.4146337469999999</v>
      </c>
      <c r="G41">
        <v>0.39730070099999998</v>
      </c>
      <c r="H41">
        <v>4.578613281</v>
      </c>
      <c r="I41">
        <v>0.33754725200000002</v>
      </c>
      <c r="J41">
        <f t="shared" si="8"/>
        <v>5.1490149182459986</v>
      </c>
      <c r="K41">
        <f t="shared" si="9"/>
        <v>1.9156228616465187</v>
      </c>
      <c r="L41">
        <f t="shared" si="10"/>
        <v>0.86014244747252244</v>
      </c>
      <c r="M41">
        <f t="shared" si="11"/>
        <v>0.85408387168322353</v>
      </c>
      <c r="N41">
        <f t="shared" si="12"/>
        <v>0.93225286970284693</v>
      </c>
      <c r="O41">
        <f t="shared" si="13"/>
        <v>0.9228318435599886</v>
      </c>
      <c r="P41">
        <f t="shared" si="14"/>
        <v>0.80218725118433054</v>
      </c>
      <c r="Q41">
        <f t="shared" si="15"/>
        <v>0.77751663464308718</v>
      </c>
    </row>
    <row r="42" spans="1:17" x14ac:dyDescent="0.6">
      <c r="A42">
        <v>20</v>
      </c>
      <c r="B42" t="s">
        <v>92</v>
      </c>
      <c r="C42" t="s">
        <v>177</v>
      </c>
      <c r="D42">
        <v>7.0545336860000001</v>
      </c>
      <c r="E42">
        <v>0.26628473800000002</v>
      </c>
      <c r="F42">
        <v>5.4904400860000004</v>
      </c>
      <c r="G42">
        <v>0.40153060899999998</v>
      </c>
      <c r="H42">
        <v>4.588867188</v>
      </c>
      <c r="I42">
        <v>0.33780606800000001</v>
      </c>
      <c r="J42">
        <f t="shared" si="8"/>
        <v>5.1484605985523286</v>
      </c>
      <c r="K42">
        <f t="shared" si="9"/>
        <v>1.9147219657829897</v>
      </c>
      <c r="L42">
        <f t="shared" si="10"/>
        <v>0.89497381458225744</v>
      </c>
      <c r="M42">
        <f t="shared" si="11"/>
        <v>0.90645157888931072</v>
      </c>
      <c r="N42">
        <f t="shared" si="12"/>
        <v>0.88584752738084571</v>
      </c>
      <c r="O42">
        <f t="shared" si="13"/>
        <v>0.88677184933653308</v>
      </c>
      <c r="P42">
        <f t="shared" si="14"/>
        <v>0.79825300894191498</v>
      </c>
      <c r="Q42">
        <f t="shared" si="15"/>
        <v>0.77616281942146725</v>
      </c>
    </row>
    <row r="43" spans="1:17" x14ac:dyDescent="0.6">
      <c r="A43">
        <v>20</v>
      </c>
      <c r="B43" t="s">
        <v>9</v>
      </c>
      <c r="C43" t="s">
        <v>167</v>
      </c>
      <c r="D43">
        <v>7.1109677749999998</v>
      </c>
      <c r="E43">
        <v>0.27237505200000001</v>
      </c>
      <c r="F43">
        <v>5.4359684699999997</v>
      </c>
      <c r="G43">
        <v>0.398415095</v>
      </c>
      <c r="H43">
        <v>4.5651245119999997</v>
      </c>
      <c r="I43">
        <v>0.336132084</v>
      </c>
      <c r="J43">
        <f t="shared" si="8"/>
        <v>5.1483470182669668</v>
      </c>
      <c r="K43">
        <f t="shared" si="9"/>
        <v>1.9146968852315127</v>
      </c>
      <c r="L43">
        <f t="shared" si="10"/>
        <v>0.86199720001671909</v>
      </c>
      <c r="M43">
        <f t="shared" si="11"/>
        <v>0.86154375978667164</v>
      </c>
      <c r="N43">
        <f t="shared" si="12"/>
        <v>0.91919268057855674</v>
      </c>
      <c r="O43">
        <f t="shared" si="13"/>
        <v>0.91333162719531724</v>
      </c>
      <c r="P43">
        <f t="shared" si="14"/>
        <v>0.80736265259941908</v>
      </c>
      <c r="Q43">
        <f t="shared" si="15"/>
        <v>0.78491909809028293</v>
      </c>
    </row>
    <row r="44" spans="1:17" x14ac:dyDescent="0.6">
      <c r="A44">
        <v>20</v>
      </c>
      <c r="B44" t="s">
        <v>9</v>
      </c>
      <c r="C44" t="s">
        <v>8</v>
      </c>
      <c r="D44">
        <v>6.9988769279999996</v>
      </c>
      <c r="E44">
        <v>0.26266763500000001</v>
      </c>
      <c r="F44">
        <v>5.3779223409999997</v>
      </c>
      <c r="G44">
        <v>0.39357667400000002</v>
      </c>
      <c r="H44">
        <v>4.820800781</v>
      </c>
      <c r="I44">
        <v>0.35856878599999997</v>
      </c>
      <c r="J44">
        <f t="shared" si="8"/>
        <v>5.1467455723653845</v>
      </c>
      <c r="K44">
        <f t="shared" si="9"/>
        <v>1.9214445143032881</v>
      </c>
      <c r="L44">
        <f t="shared" si="10"/>
        <v>0.92749620466697136</v>
      </c>
      <c r="M44">
        <f t="shared" si="11"/>
        <v>0.93312281574173139</v>
      </c>
      <c r="N44">
        <f t="shared" si="12"/>
        <v>0.954725995104035</v>
      </c>
      <c r="O44">
        <f t="shared" si="13"/>
        <v>0.95457919884714626</v>
      </c>
      <c r="P44">
        <f t="shared" si="14"/>
        <v>0.70926420311250704</v>
      </c>
      <c r="Q44">
        <f t="shared" si="15"/>
        <v>0.66755715489299394</v>
      </c>
    </row>
    <row r="45" spans="1:17" x14ac:dyDescent="0.6">
      <c r="A45">
        <v>10</v>
      </c>
      <c r="B45" t="s">
        <v>92</v>
      </c>
      <c r="C45" t="s">
        <v>167</v>
      </c>
      <c r="D45">
        <v>7.0659314550000003</v>
      </c>
      <c r="E45">
        <v>0.26829408500000002</v>
      </c>
      <c r="F45">
        <v>5.430980581</v>
      </c>
      <c r="G45">
        <v>0.39783717499999999</v>
      </c>
      <c r="H45">
        <v>4.646484375</v>
      </c>
      <c r="I45">
        <v>0.34405323500000001</v>
      </c>
      <c r="J45">
        <f t="shared" si="8"/>
        <v>5.1400849151569643</v>
      </c>
      <c r="K45">
        <f t="shared" si="9"/>
        <v>1.9102023467181795</v>
      </c>
      <c r="L45">
        <f t="shared" si="10"/>
        <v>0.88831365860419154</v>
      </c>
      <c r="M45">
        <f t="shared" si="11"/>
        <v>0.89163536553964917</v>
      </c>
      <c r="N45">
        <f t="shared" si="12"/>
        <v>0.92224604919604303</v>
      </c>
      <c r="O45">
        <f t="shared" si="13"/>
        <v>0.91825839909239393</v>
      </c>
      <c r="P45">
        <f t="shared" si="14"/>
        <v>0.7761463162457013</v>
      </c>
      <c r="Q45">
        <f t="shared" si="15"/>
        <v>0.74348512647898501</v>
      </c>
    </row>
    <row r="46" spans="1:17" x14ac:dyDescent="0.6">
      <c r="A46">
        <v>5</v>
      </c>
      <c r="B46" t="s">
        <v>99</v>
      </c>
      <c r="C46" t="s">
        <v>7</v>
      </c>
      <c r="D46">
        <v>7.1601179999999998</v>
      </c>
      <c r="E46">
        <v>0.2772</v>
      </c>
      <c r="F46">
        <v>5.4565830000000002</v>
      </c>
      <c r="G46">
        <v>0.40040500000000001</v>
      </c>
      <c r="H46">
        <v>4.5373539999999997</v>
      </c>
      <c r="I46">
        <v>0.32225999999999999</v>
      </c>
      <c r="J46">
        <f t="shared" si="8"/>
        <v>5.1376830923296444</v>
      </c>
      <c r="K46">
        <f t="shared" si="9"/>
        <v>1.9047706385889094</v>
      </c>
      <c r="L46">
        <f t="shared" si="10"/>
        <v>0.83327682808629788</v>
      </c>
      <c r="M46">
        <f t="shared" si="11"/>
        <v>0.82596630155321438</v>
      </c>
      <c r="N46">
        <f t="shared" si="12"/>
        <v>0.90657336227250873</v>
      </c>
      <c r="O46">
        <f t="shared" si="13"/>
        <v>0.8963676736518299</v>
      </c>
      <c r="P46">
        <f t="shared" si="14"/>
        <v>0.81801770548842101</v>
      </c>
      <c r="Q46">
        <f t="shared" si="15"/>
        <v>0.8574812212773727</v>
      </c>
    </row>
    <row r="47" spans="1:17" x14ac:dyDescent="0.6">
      <c r="A47">
        <v>10</v>
      </c>
      <c r="B47" t="s">
        <v>92</v>
      </c>
      <c r="C47" t="s">
        <v>184</v>
      </c>
      <c r="D47">
        <v>7.1144293689999998</v>
      </c>
      <c r="E47">
        <v>0.27191211599999998</v>
      </c>
      <c r="F47">
        <v>5.4626734910000003</v>
      </c>
      <c r="G47">
        <v>0.400141688</v>
      </c>
      <c r="H47">
        <v>4.5383300780000004</v>
      </c>
      <c r="I47">
        <v>0.33446566799999999</v>
      </c>
      <c r="J47">
        <f t="shared" si="8"/>
        <v>5.1376681737273646</v>
      </c>
      <c r="K47">
        <f t="shared" si="9"/>
        <v>1.9062228271602151</v>
      </c>
      <c r="L47">
        <f t="shared" si="10"/>
        <v>0.85997445714723864</v>
      </c>
      <c r="M47">
        <f t="shared" si="11"/>
        <v>0.86495728594379595</v>
      </c>
      <c r="N47">
        <f t="shared" si="12"/>
        <v>0.9028450286859987</v>
      </c>
      <c r="O47">
        <f t="shared" si="13"/>
        <v>0.89861241022741667</v>
      </c>
      <c r="P47">
        <f t="shared" si="14"/>
        <v>0.81764320167251003</v>
      </c>
      <c r="Q47">
        <f t="shared" si="15"/>
        <v>0.79363579005040497</v>
      </c>
    </row>
    <row r="48" spans="1:17" x14ac:dyDescent="0.6">
      <c r="A48">
        <v>20</v>
      </c>
      <c r="B48" t="s">
        <v>6</v>
      </c>
      <c r="C48" t="s">
        <v>177</v>
      </c>
      <c r="D48">
        <v>7.0982164799999996</v>
      </c>
      <c r="E48">
        <v>0.27056113599999998</v>
      </c>
      <c r="F48">
        <v>5.4513521550000004</v>
      </c>
      <c r="G48">
        <v>0.39902484900000001</v>
      </c>
      <c r="H48">
        <v>4.5793457030000004</v>
      </c>
      <c r="I48">
        <v>0.338677705</v>
      </c>
      <c r="J48">
        <f t="shared" si="8"/>
        <v>5.135785828596438</v>
      </c>
      <c r="K48">
        <f t="shared" si="9"/>
        <v>1.9055741026005619</v>
      </c>
      <c r="L48">
        <f t="shared" si="10"/>
        <v>0.86944827343488817</v>
      </c>
      <c r="M48">
        <f t="shared" si="11"/>
        <v>0.8749189341365301</v>
      </c>
      <c r="N48">
        <f t="shared" si="12"/>
        <v>0.90977545798192327</v>
      </c>
      <c r="O48">
        <f t="shared" si="13"/>
        <v>0.90813347023357494</v>
      </c>
      <c r="P48">
        <f t="shared" si="14"/>
        <v>0.80190623385389481</v>
      </c>
      <c r="Q48">
        <f t="shared" si="15"/>
        <v>0.77160345895562643</v>
      </c>
    </row>
    <row r="49" spans="1:17" x14ac:dyDescent="0.6">
      <c r="A49">
        <v>30</v>
      </c>
      <c r="B49" t="s">
        <v>92</v>
      </c>
      <c r="C49" t="s">
        <v>7</v>
      </c>
      <c r="D49">
        <v>7.102481</v>
      </c>
      <c r="E49">
        <v>0.26960000000000001</v>
      </c>
      <c r="F49">
        <v>5.5047560000000004</v>
      </c>
      <c r="G49">
        <v>0.402221</v>
      </c>
      <c r="H49">
        <v>4.533569</v>
      </c>
      <c r="I49">
        <v>0.33159</v>
      </c>
      <c r="J49">
        <f t="shared" si="8"/>
        <v>5.1350803522867601</v>
      </c>
      <c r="K49">
        <f t="shared" si="9"/>
        <v>1.9037406082647155</v>
      </c>
      <c r="L49">
        <f t="shared" si="10"/>
        <v>0.86695634993901949</v>
      </c>
      <c r="M49">
        <f t="shared" si="11"/>
        <v>0.88200601070122497</v>
      </c>
      <c r="N49">
        <f t="shared" si="12"/>
        <v>0.87708394773056975</v>
      </c>
      <c r="O49">
        <f t="shared" si="13"/>
        <v>0.88088626140603299</v>
      </c>
      <c r="P49">
        <f t="shared" si="14"/>
        <v>0.81946994285389951</v>
      </c>
      <c r="Q49">
        <f t="shared" si="15"/>
        <v>0.8086778396560137</v>
      </c>
    </row>
    <row r="50" spans="1:17" x14ac:dyDescent="0.6">
      <c r="A50">
        <v>10</v>
      </c>
      <c r="B50" t="s">
        <v>92</v>
      </c>
      <c r="C50" t="s">
        <v>177</v>
      </c>
      <c r="D50">
        <v>7.1431431080000003</v>
      </c>
      <c r="E50">
        <v>0.27378740699999998</v>
      </c>
      <c r="F50">
        <v>5.5197159759999996</v>
      </c>
      <c r="G50">
        <v>0.40412142600000001</v>
      </c>
      <c r="H50">
        <v>4.4171752929999997</v>
      </c>
      <c r="I50">
        <v>0.32674482700000002</v>
      </c>
      <c r="J50">
        <f t="shared" si="8"/>
        <v>5.1250868079669551</v>
      </c>
      <c r="K50">
        <f t="shared" si="9"/>
        <v>1.8957355986986761</v>
      </c>
      <c r="L50">
        <f t="shared" si="10"/>
        <v>0.8431959121132524</v>
      </c>
      <c r="M50">
        <f t="shared" si="11"/>
        <v>0.85112955407433788</v>
      </c>
      <c r="N50">
        <f t="shared" si="12"/>
        <v>0.86792610134771142</v>
      </c>
      <c r="O50">
        <f t="shared" si="13"/>
        <v>0.86468511694092753</v>
      </c>
      <c r="P50">
        <f t="shared" si="14"/>
        <v>0.86412814375534475</v>
      </c>
      <c r="Q50">
        <f t="shared" si="15"/>
        <v>0.83402197973538172</v>
      </c>
    </row>
    <row r="51" spans="1:17" x14ac:dyDescent="0.6">
      <c r="A51">
        <v>5</v>
      </c>
      <c r="B51" t="s">
        <v>6</v>
      </c>
      <c r="C51" t="s">
        <v>8</v>
      </c>
      <c r="D51">
        <v>7.1444564289999999</v>
      </c>
      <c r="E51">
        <v>0.27593425999999999</v>
      </c>
      <c r="F51">
        <v>5.394038213</v>
      </c>
      <c r="G51">
        <v>0.39588277399999999</v>
      </c>
      <c r="H51">
        <v>4.6175537110000002</v>
      </c>
      <c r="I51">
        <v>0.33884469299999997</v>
      </c>
      <c r="J51">
        <f t="shared" si="8"/>
        <v>5.1154846251411543</v>
      </c>
      <c r="K51">
        <f t="shared" si="9"/>
        <v>1.8915475070956027</v>
      </c>
      <c r="L51">
        <f t="shared" si="10"/>
        <v>0.84242848800514258</v>
      </c>
      <c r="M51">
        <f t="shared" si="11"/>
        <v>0.83529942016597802</v>
      </c>
      <c r="N51">
        <f t="shared" si="12"/>
        <v>0.94486055948423064</v>
      </c>
      <c r="O51">
        <f t="shared" si="13"/>
        <v>0.9349196807964677</v>
      </c>
      <c r="P51">
        <f t="shared" si="14"/>
        <v>0.78724649887949438</v>
      </c>
      <c r="Q51">
        <f t="shared" si="15"/>
        <v>0.77072997780984009</v>
      </c>
    </row>
    <row r="52" spans="1:17" x14ac:dyDescent="0.6">
      <c r="A52">
        <v>90</v>
      </c>
      <c r="B52" t="s">
        <v>6</v>
      </c>
      <c r="C52" t="s">
        <v>181</v>
      </c>
      <c r="D52">
        <v>7.2533024179999996</v>
      </c>
      <c r="E52">
        <v>0.280864318</v>
      </c>
      <c r="F52">
        <v>5.464723352</v>
      </c>
      <c r="G52">
        <v>0.39796667800000002</v>
      </c>
      <c r="H52">
        <v>4.4476318360000002</v>
      </c>
      <c r="I52">
        <v>0.32151564300000002</v>
      </c>
      <c r="J52">
        <f t="shared" si="8"/>
        <v>5.1103343888390409</v>
      </c>
      <c r="K52">
        <f t="shared" si="9"/>
        <v>1.8863830370498702</v>
      </c>
      <c r="L52">
        <f t="shared" si="10"/>
        <v>0.77882557902121563</v>
      </c>
      <c r="M52">
        <f t="shared" si="11"/>
        <v>0.79894691800771178</v>
      </c>
      <c r="N52">
        <f t="shared" si="12"/>
        <v>0.90159019297341392</v>
      </c>
      <c r="O52">
        <f t="shared" si="13"/>
        <v>0.91715438514411862</v>
      </c>
      <c r="P52">
        <f t="shared" si="14"/>
        <v>0.85244250841375768</v>
      </c>
      <c r="Q52">
        <f t="shared" si="15"/>
        <v>0.86137480527882271</v>
      </c>
    </row>
    <row r="53" spans="1:17" x14ac:dyDescent="0.6">
      <c r="A53">
        <v>90</v>
      </c>
      <c r="B53" t="s">
        <v>6</v>
      </c>
      <c r="C53" t="s">
        <v>8</v>
      </c>
      <c r="D53">
        <v>7.2547915349999998</v>
      </c>
      <c r="E53">
        <v>0.28035698399999998</v>
      </c>
      <c r="F53">
        <v>5.5410415439999996</v>
      </c>
      <c r="G53">
        <v>0.40317481399999999</v>
      </c>
      <c r="H53">
        <v>4.2892456049999996</v>
      </c>
      <c r="I53">
        <v>0.316562648</v>
      </c>
      <c r="J53">
        <f t="shared" si="8"/>
        <v>5.1087651938006653</v>
      </c>
      <c r="K53">
        <f t="shared" si="9"/>
        <v>1.8854667308734314</v>
      </c>
      <c r="L53">
        <f t="shared" si="10"/>
        <v>0.77795543053078819</v>
      </c>
      <c r="M53">
        <f t="shared" si="11"/>
        <v>0.8026878192973036</v>
      </c>
      <c r="N53">
        <f t="shared" si="12"/>
        <v>0.8548715165160774</v>
      </c>
      <c r="O53">
        <f t="shared" si="13"/>
        <v>0.87275499062419781</v>
      </c>
      <c r="P53">
        <f t="shared" si="14"/>
        <v>0.9132124959528668</v>
      </c>
      <c r="Q53">
        <f t="shared" si="15"/>
        <v>0.88728294087943183</v>
      </c>
    </row>
    <row r="54" spans="1:17" x14ac:dyDescent="0.6">
      <c r="A54">
        <v>5</v>
      </c>
      <c r="B54" t="s">
        <v>99</v>
      </c>
      <c r="C54" t="s">
        <v>8</v>
      </c>
      <c r="D54">
        <v>7.2173910000000001</v>
      </c>
      <c r="E54">
        <v>0.28079999999999999</v>
      </c>
      <c r="F54">
        <v>5.4710340000000004</v>
      </c>
      <c r="G54">
        <v>0.40113599999999999</v>
      </c>
      <c r="H54">
        <v>4.3646240000000001</v>
      </c>
      <c r="I54">
        <v>0.32753700000000002</v>
      </c>
      <c r="J54">
        <f t="shared" si="8"/>
        <v>5.1012635867000062</v>
      </c>
      <c r="K54">
        <f t="shared" si="9"/>
        <v>1.8796581066945397</v>
      </c>
      <c r="L54">
        <f t="shared" si="10"/>
        <v>0.79981000547112113</v>
      </c>
      <c r="M54">
        <f t="shared" si="11"/>
        <v>0.79942117616731467</v>
      </c>
      <c r="N54">
        <f t="shared" si="12"/>
        <v>0.89772708885076702</v>
      </c>
      <c r="O54">
        <f t="shared" si="13"/>
        <v>0.89013589372249213</v>
      </c>
      <c r="P54">
        <f t="shared" si="14"/>
        <v>0.88429114277748844</v>
      </c>
      <c r="Q54">
        <f t="shared" si="15"/>
        <v>0.82987827971082251</v>
      </c>
    </row>
    <row r="55" spans="1:17" x14ac:dyDescent="0.6">
      <c r="A55">
        <v>20</v>
      </c>
      <c r="B55" t="s">
        <v>6</v>
      </c>
      <c r="C55" t="s">
        <v>8</v>
      </c>
      <c r="D55">
        <v>7.177795841</v>
      </c>
      <c r="E55">
        <v>0.277910716</v>
      </c>
      <c r="F55">
        <v>5.4973658810000003</v>
      </c>
      <c r="G55">
        <v>0.402926705</v>
      </c>
      <c r="H55">
        <v>4.436035156</v>
      </c>
      <c r="I55">
        <v>0.32673135800000003</v>
      </c>
      <c r="J55">
        <f t="shared" si="8"/>
        <v>5.091135078052881</v>
      </c>
      <c r="K55">
        <f t="shared" si="9"/>
        <v>1.871080144943986</v>
      </c>
      <c r="L55">
        <f t="shared" si="10"/>
        <v>0.8229469838496366</v>
      </c>
      <c r="M55">
        <f t="shared" si="11"/>
        <v>0.82072573340494626</v>
      </c>
      <c r="N55">
        <f t="shared" si="12"/>
        <v>0.88160785703049427</v>
      </c>
      <c r="O55">
        <f t="shared" si="13"/>
        <v>0.87487012152226629</v>
      </c>
      <c r="P55">
        <f t="shared" si="14"/>
        <v>0.85689194883951691</v>
      </c>
      <c r="Q55">
        <f t="shared" si="15"/>
        <v>0.83409243340602024</v>
      </c>
    </row>
    <row r="56" spans="1:17" x14ac:dyDescent="0.6">
      <c r="A56">
        <v>10</v>
      </c>
      <c r="B56" t="s">
        <v>6</v>
      </c>
      <c r="C56" t="s">
        <v>184</v>
      </c>
      <c r="D56">
        <v>7.1531664460000002</v>
      </c>
      <c r="E56">
        <v>0.27550402299999999</v>
      </c>
      <c r="F56">
        <v>5.4249386409999998</v>
      </c>
      <c r="G56">
        <v>0.39757794600000002</v>
      </c>
      <c r="H56">
        <v>4.6130371090000004</v>
      </c>
      <c r="I56">
        <v>0.33746517799999998</v>
      </c>
      <c r="J56">
        <f t="shared" si="8"/>
        <v>5.0891491011190348</v>
      </c>
      <c r="K56">
        <f t="shared" si="9"/>
        <v>1.8715608612579937</v>
      </c>
      <c r="L56">
        <f t="shared" si="10"/>
        <v>0.8373388891729846</v>
      </c>
      <c r="M56">
        <f t="shared" si="11"/>
        <v>0.83847183547449289</v>
      </c>
      <c r="N56">
        <f t="shared" si="12"/>
        <v>0.92594466197285852</v>
      </c>
      <c r="O56">
        <f t="shared" si="13"/>
        <v>0.92046832806544754</v>
      </c>
      <c r="P56">
        <f t="shared" si="14"/>
        <v>0.78897943895595279</v>
      </c>
      <c r="Q56">
        <f t="shared" si="15"/>
        <v>0.77794594747729862</v>
      </c>
    </row>
    <row r="57" spans="1:17" x14ac:dyDescent="0.6">
      <c r="A57">
        <v>90</v>
      </c>
      <c r="B57" t="s">
        <v>99</v>
      </c>
      <c r="C57" t="s">
        <v>171</v>
      </c>
      <c r="D57">
        <v>7.2289853859999997</v>
      </c>
      <c r="E57">
        <v>0.27868094199999999</v>
      </c>
      <c r="F57">
        <v>5.5359931839999996</v>
      </c>
      <c r="G57">
        <v>0.40285466599999997</v>
      </c>
      <c r="H57">
        <v>4.408691406</v>
      </c>
      <c r="I57">
        <v>0.31815025299999999</v>
      </c>
      <c r="J57">
        <f t="shared" si="8"/>
        <v>5.0878892298814451</v>
      </c>
      <c r="K57">
        <f t="shared" si="9"/>
        <v>1.868719753590059</v>
      </c>
      <c r="L57">
        <f t="shared" si="10"/>
        <v>0.79303495859748308</v>
      </c>
      <c r="M57">
        <f t="shared" si="11"/>
        <v>0.81504635958675753</v>
      </c>
      <c r="N57">
        <f t="shared" si="12"/>
        <v>0.85796190284860685</v>
      </c>
      <c r="O57">
        <f t="shared" si="13"/>
        <v>0.87548425448304568</v>
      </c>
      <c r="P57">
        <f t="shared" si="14"/>
        <v>0.86738326071859384</v>
      </c>
      <c r="Q57">
        <f t="shared" si="15"/>
        <v>0.87897849364695835</v>
      </c>
    </row>
    <row r="58" spans="1:17" x14ac:dyDescent="0.6">
      <c r="A58">
        <v>5</v>
      </c>
      <c r="B58" t="s">
        <v>92</v>
      </c>
      <c r="C58" t="s">
        <v>8</v>
      </c>
      <c r="D58">
        <v>7.1516469999999996</v>
      </c>
      <c r="E58">
        <v>0.27660000000000001</v>
      </c>
      <c r="F58">
        <v>5.4203900000000003</v>
      </c>
      <c r="G58">
        <v>0.397868</v>
      </c>
      <c r="H58">
        <v>4.642944</v>
      </c>
      <c r="I58">
        <v>0.33465699999999998</v>
      </c>
      <c r="J58">
        <f t="shared" si="8"/>
        <v>5.0854816726227252</v>
      </c>
      <c r="K58">
        <f t="shared" si="9"/>
        <v>1.8681310299735785</v>
      </c>
      <c r="L58">
        <f t="shared" si="10"/>
        <v>0.83822676006774055</v>
      </c>
      <c r="M58">
        <f t="shared" si="11"/>
        <v>0.83039048911753099</v>
      </c>
      <c r="N58">
        <f t="shared" si="12"/>
        <v>0.92872914207688861</v>
      </c>
      <c r="O58">
        <f t="shared" si="13"/>
        <v>0.91799561575953215</v>
      </c>
      <c r="P58">
        <f t="shared" si="14"/>
        <v>0.77750469533759203</v>
      </c>
      <c r="Q58">
        <f t="shared" si="15"/>
        <v>0.79263497026344054</v>
      </c>
    </row>
    <row r="59" spans="1:17" x14ac:dyDescent="0.6">
      <c r="A59">
        <v>10</v>
      </c>
      <c r="B59" t="s">
        <v>99</v>
      </c>
      <c r="C59" t="s">
        <v>8</v>
      </c>
      <c r="D59">
        <v>7.1114889999999997</v>
      </c>
      <c r="E59">
        <v>0.2722</v>
      </c>
      <c r="F59">
        <v>5.431991</v>
      </c>
      <c r="G59">
        <v>0.39815299999999998</v>
      </c>
      <c r="H59">
        <v>4.627014</v>
      </c>
      <c r="I59">
        <v>0.34491699999999997</v>
      </c>
      <c r="J59">
        <f t="shared" si="8"/>
        <v>5.0843043595634247</v>
      </c>
      <c r="K59">
        <f t="shared" si="9"/>
        <v>1.8687975604728606</v>
      </c>
      <c r="L59">
        <f t="shared" si="10"/>
        <v>0.86169262814834147</v>
      </c>
      <c r="M59">
        <f t="shared" si="11"/>
        <v>0.86283453125585297</v>
      </c>
      <c r="N59">
        <f t="shared" si="12"/>
        <v>0.9216275146486399</v>
      </c>
      <c r="O59">
        <f t="shared" si="13"/>
        <v>0.91556598883769746</v>
      </c>
      <c r="P59">
        <f t="shared" si="14"/>
        <v>0.78361675378728146</v>
      </c>
      <c r="Q59">
        <f t="shared" si="15"/>
        <v>0.73896694288561182</v>
      </c>
    </row>
    <row r="60" spans="1:17" x14ac:dyDescent="0.6">
      <c r="A60">
        <v>5</v>
      </c>
      <c r="B60" t="s">
        <v>6</v>
      </c>
      <c r="C60" t="s">
        <v>174</v>
      </c>
      <c r="D60">
        <v>7.1018774059999998</v>
      </c>
      <c r="E60">
        <v>0.27159997299999999</v>
      </c>
      <c r="F60">
        <v>5.4605311270000003</v>
      </c>
      <c r="G60">
        <v>0.40031509500000001</v>
      </c>
      <c r="H60">
        <v>4.5845947269999998</v>
      </c>
      <c r="I60">
        <v>0.34339883399999999</v>
      </c>
      <c r="J60">
        <f t="shared" si="8"/>
        <v>5.0826590211053455</v>
      </c>
      <c r="K60">
        <f t="shared" si="9"/>
        <v>1.8664258483582359</v>
      </c>
      <c r="L60">
        <f t="shared" si="10"/>
        <v>0.86730905319063178</v>
      </c>
      <c r="M60">
        <f t="shared" si="11"/>
        <v>0.86725891790861009</v>
      </c>
      <c r="N60">
        <f t="shared" si="12"/>
        <v>0.90415649071028048</v>
      </c>
      <c r="O60">
        <f t="shared" si="13"/>
        <v>0.89713411438308455</v>
      </c>
      <c r="P60">
        <f t="shared" si="14"/>
        <v>0.799892276447001</v>
      </c>
      <c r="Q60">
        <f t="shared" si="15"/>
        <v>0.74690816846573738</v>
      </c>
    </row>
    <row r="61" spans="1:17" x14ac:dyDescent="0.6">
      <c r="A61">
        <v>5</v>
      </c>
      <c r="B61" t="s">
        <v>92</v>
      </c>
      <c r="C61" t="s">
        <v>181</v>
      </c>
      <c r="D61">
        <v>7.1550957420000003</v>
      </c>
      <c r="E61">
        <v>0.27660694800000002</v>
      </c>
      <c r="F61">
        <v>5.4251307369999999</v>
      </c>
      <c r="G61">
        <v>0.39810931900000002</v>
      </c>
      <c r="H61">
        <v>4.591796875</v>
      </c>
      <c r="I61">
        <v>0.338867476</v>
      </c>
      <c r="J61">
        <f t="shared" si="8"/>
        <v>5.0760559674145025</v>
      </c>
      <c r="K61">
        <f t="shared" si="9"/>
        <v>1.8619031538052051</v>
      </c>
      <c r="L61">
        <f t="shared" si="10"/>
        <v>0.83621152711749291</v>
      </c>
      <c r="M61">
        <f t="shared" si="11"/>
        <v>0.83033925702553613</v>
      </c>
      <c r="N61">
        <f t="shared" si="12"/>
        <v>0.92582706915995805</v>
      </c>
      <c r="O61">
        <f t="shared" si="13"/>
        <v>0.9159383696572504</v>
      </c>
      <c r="P61">
        <f t="shared" si="14"/>
        <v>0.79712894000385504</v>
      </c>
      <c r="Q61">
        <f t="shared" si="15"/>
        <v>0.77061080445041019</v>
      </c>
    </row>
    <row r="62" spans="1:17" x14ac:dyDescent="0.6">
      <c r="A62">
        <v>20</v>
      </c>
      <c r="B62" t="s">
        <v>92</v>
      </c>
      <c r="C62" t="s">
        <v>171</v>
      </c>
      <c r="D62">
        <v>7.1110226440000002</v>
      </c>
      <c r="E62">
        <v>0.27045961099999999</v>
      </c>
      <c r="F62">
        <v>5.5107970059999998</v>
      </c>
      <c r="G62">
        <v>0.40300740699999998</v>
      </c>
      <c r="H62">
        <v>4.5602416989999996</v>
      </c>
      <c r="I62">
        <v>0.33683021499999999</v>
      </c>
      <c r="J62">
        <f t="shared" si="8"/>
        <v>5.0757041390986757</v>
      </c>
      <c r="K62">
        <f t="shared" si="9"/>
        <v>1.8602934039529202</v>
      </c>
      <c r="L62">
        <f t="shared" si="10"/>
        <v>0.86196513794401319</v>
      </c>
      <c r="M62">
        <f t="shared" si="11"/>
        <v>0.87566754354064213</v>
      </c>
      <c r="N62">
        <f t="shared" si="12"/>
        <v>0.8733859067079156</v>
      </c>
      <c r="O62">
        <f t="shared" si="13"/>
        <v>0.87418213642807019</v>
      </c>
      <c r="P62">
        <f t="shared" si="14"/>
        <v>0.80923610134109536</v>
      </c>
      <c r="Q62">
        <f t="shared" si="15"/>
        <v>0.78126731313693876</v>
      </c>
    </row>
    <row r="63" spans="1:17" x14ac:dyDescent="0.6">
      <c r="A63">
        <v>20</v>
      </c>
      <c r="B63" t="s">
        <v>92</v>
      </c>
      <c r="C63" t="s">
        <v>167</v>
      </c>
      <c r="D63">
        <v>7.1424367550000003</v>
      </c>
      <c r="E63">
        <v>0.27479675100000001</v>
      </c>
      <c r="F63">
        <v>5.4602005570000003</v>
      </c>
      <c r="G63">
        <v>0.400068282</v>
      </c>
      <c r="H63">
        <v>4.5690917969999996</v>
      </c>
      <c r="I63">
        <v>0.337541019</v>
      </c>
      <c r="J63">
        <f t="shared" si="8"/>
        <v>5.0742824322947069</v>
      </c>
      <c r="K63">
        <f t="shared" si="9"/>
        <v>1.8598510257202381</v>
      </c>
      <c r="L63">
        <f t="shared" si="10"/>
        <v>0.84360866141143298</v>
      </c>
      <c r="M63">
        <f t="shared" si="11"/>
        <v>0.84368700878614167</v>
      </c>
      <c r="N63">
        <f t="shared" si="12"/>
        <v>0.90435885128083093</v>
      </c>
      <c r="O63">
        <f t="shared" si="13"/>
        <v>0.89923819687241391</v>
      </c>
      <c r="P63">
        <f t="shared" si="14"/>
        <v>0.8058404757126284</v>
      </c>
      <c r="Q63">
        <f t="shared" si="15"/>
        <v>0.77754923823125943</v>
      </c>
    </row>
    <row r="64" spans="1:17" x14ac:dyDescent="0.6">
      <c r="A64">
        <v>10</v>
      </c>
      <c r="B64" t="s">
        <v>99</v>
      </c>
      <c r="C64" t="s">
        <v>174</v>
      </c>
      <c r="D64">
        <v>7.150513235</v>
      </c>
      <c r="E64">
        <v>0.27492379300000003</v>
      </c>
      <c r="F64">
        <v>5.4828005089999996</v>
      </c>
      <c r="G64">
        <v>0.40173450700000002</v>
      </c>
      <c r="H64">
        <v>4.5423583980000002</v>
      </c>
      <c r="I64">
        <v>0.33483871100000001</v>
      </c>
      <c r="J64">
        <f t="shared" si="8"/>
        <v>5.0649793530251204</v>
      </c>
      <c r="K64">
        <f t="shared" si="9"/>
        <v>1.8524753674945214</v>
      </c>
      <c r="L64">
        <f t="shared" si="10"/>
        <v>0.83888926268052988</v>
      </c>
      <c r="M64">
        <f t="shared" si="11"/>
        <v>0.84275024605856497</v>
      </c>
      <c r="N64">
        <f t="shared" si="12"/>
        <v>0.89052414401418989</v>
      </c>
      <c r="O64">
        <f t="shared" si="13"/>
        <v>0.88503361751159138</v>
      </c>
      <c r="P64">
        <f t="shared" si="14"/>
        <v>0.81609760673879683</v>
      </c>
      <c r="Q64">
        <f t="shared" si="15"/>
        <v>0.79168447602144698</v>
      </c>
    </row>
    <row r="65" spans="1:17" x14ac:dyDescent="0.6">
      <c r="A65">
        <v>10</v>
      </c>
      <c r="B65" t="s">
        <v>6</v>
      </c>
      <c r="C65" t="s">
        <v>8</v>
      </c>
      <c r="D65">
        <v>7.1650203890000004</v>
      </c>
      <c r="E65">
        <v>0.27673687499999999</v>
      </c>
      <c r="F65">
        <v>5.4374060169999998</v>
      </c>
      <c r="G65">
        <v>0.39856606700000002</v>
      </c>
      <c r="H65">
        <v>4.5518798829999998</v>
      </c>
      <c r="I65">
        <v>0.34092889700000001</v>
      </c>
      <c r="J65">
        <f t="shared" si="8"/>
        <v>5.062422962612616</v>
      </c>
      <c r="K65">
        <f t="shared" si="9"/>
        <v>1.8520712945885838</v>
      </c>
      <c r="L65">
        <f t="shared" si="10"/>
        <v>0.83041217313451232</v>
      </c>
      <c r="M65">
        <f t="shared" si="11"/>
        <v>0.82938122132942138</v>
      </c>
      <c r="N65">
        <f t="shared" si="12"/>
        <v>0.91831267685434348</v>
      </c>
      <c r="O65">
        <f t="shared" si="13"/>
        <v>0.91204458987727055</v>
      </c>
      <c r="P65">
        <f t="shared" si="14"/>
        <v>0.81244438182681711</v>
      </c>
      <c r="Q65">
        <f t="shared" si="15"/>
        <v>0.7598279195902512</v>
      </c>
    </row>
    <row r="66" spans="1:17" x14ac:dyDescent="0.6">
      <c r="A66">
        <v>5</v>
      </c>
      <c r="B66" t="s">
        <v>92</v>
      </c>
      <c r="C66" t="s">
        <v>184</v>
      </c>
      <c r="D66">
        <v>7.1642622090000003</v>
      </c>
      <c r="E66">
        <v>0.27686743200000002</v>
      </c>
      <c r="F66">
        <v>5.4519497430000001</v>
      </c>
      <c r="G66">
        <v>0.39985611700000001</v>
      </c>
      <c r="H66">
        <v>4.5842285159999996</v>
      </c>
      <c r="I66">
        <v>0.33526829200000002</v>
      </c>
      <c r="J66">
        <f t="shared" ref="J66:J97" si="16">SUM(L66:Q66)</f>
        <v>5.0592005007494842</v>
      </c>
      <c r="K66">
        <f t="shared" ref="K66:K97" si="17">0.5*SIN(RADIANS(60))*((L66*M66)+(M66*N66)+(N66*O66)+(O66*P66)+(P66*Q66)+(Q66*L66))</f>
        <v>1.8487215269665465</v>
      </c>
      <c r="L66">
        <f t="shared" ref="L66:L97" si="18">(MAX(D:D)-D66)/(MAX(D:D)-MIN(D:D))</f>
        <v>0.83085520694748494</v>
      </c>
      <c r="M66">
        <f t="shared" ref="M66:M97" si="19">(MAX(E:E)-E66)/(MAX(E:E)-MIN(E:E))</f>
        <v>0.82841854023636363</v>
      </c>
      <c r="N66">
        <f t="shared" ref="N66:N97" si="20">(MAX(F:F)-F66)/(MAX(F:F)-MIN(F:F))</f>
        <v>0.90940964061000784</v>
      </c>
      <c r="O66">
        <f t="shared" ref="O66:O97" si="21">(MAX(G:G)-G66)/(MAX(G:G)-MIN(G:G))</f>
        <v>0.9010469049281018</v>
      </c>
      <c r="P66">
        <f t="shared" ref="P66:P97" si="22">(MAX(H:H)-H66)/(MAX(H:H)-MIN(H:H))</f>
        <v>0.80003278511221887</v>
      </c>
      <c r="Q66">
        <f t="shared" ref="Q66:Q97" si="23">(MAX(I:I)-I66)/(MAX(I:I)-MIN(I:I))</f>
        <v>0.78943742291530705</v>
      </c>
    </row>
    <row r="67" spans="1:17" x14ac:dyDescent="0.6">
      <c r="A67">
        <v>20</v>
      </c>
      <c r="B67" t="s">
        <v>99</v>
      </c>
      <c r="C67" t="s">
        <v>167</v>
      </c>
      <c r="D67">
        <v>7.1612871980000001</v>
      </c>
      <c r="E67">
        <v>0.27517145100000001</v>
      </c>
      <c r="F67">
        <v>5.4898941609999996</v>
      </c>
      <c r="G67">
        <v>0.40188889100000003</v>
      </c>
      <c r="H67">
        <v>4.5536499020000001</v>
      </c>
      <c r="I67">
        <v>0.33393390000000001</v>
      </c>
      <c r="J67">
        <f t="shared" si="16"/>
        <v>5.0515995560804576</v>
      </c>
      <c r="K67">
        <f t="shared" si="17"/>
        <v>1.8426686729999406</v>
      </c>
      <c r="L67">
        <f t="shared" si="18"/>
        <v>0.83259362060514563</v>
      </c>
      <c r="M67">
        <f t="shared" si="19"/>
        <v>0.84092410365222592</v>
      </c>
      <c r="N67">
        <f t="shared" si="20"/>
        <v>0.88618171891207342</v>
      </c>
      <c r="O67">
        <f t="shared" si="21"/>
        <v>0.8837174928705368</v>
      </c>
      <c r="P67">
        <f t="shared" si="22"/>
        <v>0.81176525693133295</v>
      </c>
      <c r="Q67">
        <f t="shared" si="23"/>
        <v>0.79641736310914302</v>
      </c>
    </row>
    <row r="68" spans="1:17" x14ac:dyDescent="0.6">
      <c r="A68">
        <v>10</v>
      </c>
      <c r="B68" t="s">
        <v>9</v>
      </c>
      <c r="C68" t="s">
        <v>7</v>
      </c>
      <c r="D68">
        <v>7.1804869379999996</v>
      </c>
      <c r="E68">
        <v>0.27834729899999999</v>
      </c>
      <c r="F68">
        <v>5.4466844410000004</v>
      </c>
      <c r="G68">
        <v>0.39956306699999999</v>
      </c>
      <c r="H68">
        <v>4.5809326170000002</v>
      </c>
      <c r="I68">
        <v>0.334844325</v>
      </c>
      <c r="J68">
        <f t="shared" si="16"/>
        <v>5.0480114579791273</v>
      </c>
      <c r="K68">
        <f t="shared" si="17"/>
        <v>1.8406382951613556</v>
      </c>
      <c r="L68">
        <f t="shared" si="18"/>
        <v>0.82137447209123005</v>
      </c>
      <c r="M68">
        <f t="shared" si="19"/>
        <v>0.81750652493929299</v>
      </c>
      <c r="N68">
        <f t="shared" si="20"/>
        <v>0.91263282939556178</v>
      </c>
      <c r="O68">
        <f t="shared" si="21"/>
        <v>0.90354515815422032</v>
      </c>
      <c r="P68">
        <f t="shared" si="22"/>
        <v>0.80129736309917865</v>
      </c>
      <c r="Q68">
        <f t="shared" si="23"/>
        <v>0.79165511029964408</v>
      </c>
    </row>
    <row r="69" spans="1:17" x14ac:dyDescent="0.6">
      <c r="A69">
        <v>5</v>
      </c>
      <c r="B69" t="s">
        <v>6</v>
      </c>
      <c r="C69" t="s">
        <v>184</v>
      </c>
      <c r="D69">
        <v>7.176378519</v>
      </c>
      <c r="E69">
        <v>0.27840726999999998</v>
      </c>
      <c r="F69">
        <v>5.4287067100000002</v>
      </c>
      <c r="G69">
        <v>0.398591998</v>
      </c>
      <c r="H69">
        <v>4.604003906</v>
      </c>
      <c r="I69">
        <v>0.33747643500000002</v>
      </c>
      <c r="J69">
        <f t="shared" si="16"/>
        <v>5.0466334248481584</v>
      </c>
      <c r="K69">
        <f t="shared" si="17"/>
        <v>1.8401962281084958</v>
      </c>
      <c r="L69">
        <f t="shared" si="18"/>
        <v>0.82377517975281245</v>
      </c>
      <c r="M69">
        <f t="shared" si="19"/>
        <v>0.81706432001859364</v>
      </c>
      <c r="N69">
        <f t="shared" si="20"/>
        <v>0.92363801408371637</v>
      </c>
      <c r="O69">
        <f t="shared" si="21"/>
        <v>0.91182352792741073</v>
      </c>
      <c r="P69">
        <f t="shared" si="22"/>
        <v>0.79244531872518775</v>
      </c>
      <c r="Q69">
        <f t="shared" si="23"/>
        <v>0.77788706434043764</v>
      </c>
    </row>
    <row r="70" spans="1:17" x14ac:dyDescent="0.6">
      <c r="A70">
        <v>10</v>
      </c>
      <c r="B70" t="s">
        <v>9</v>
      </c>
      <c r="C70" t="s">
        <v>184</v>
      </c>
      <c r="D70">
        <v>7.2017669529999999</v>
      </c>
      <c r="E70">
        <v>0.278693409</v>
      </c>
      <c r="F70">
        <v>5.5002295569999999</v>
      </c>
      <c r="G70">
        <v>0.402959601</v>
      </c>
      <c r="H70">
        <v>4.4947509769999998</v>
      </c>
      <c r="I70">
        <v>0.32732746899999998</v>
      </c>
      <c r="J70">
        <f t="shared" si="16"/>
        <v>5.0436767177231072</v>
      </c>
      <c r="K70">
        <f t="shared" si="17"/>
        <v>1.8364378040629177</v>
      </c>
      <c r="L70">
        <f t="shared" si="18"/>
        <v>0.80893973866966473</v>
      </c>
      <c r="M70">
        <f t="shared" si="19"/>
        <v>0.81495443234281684</v>
      </c>
      <c r="N70">
        <f t="shared" si="20"/>
        <v>0.87985483918485896</v>
      </c>
      <c r="O70">
        <f t="shared" si="21"/>
        <v>0.87458968290043926</v>
      </c>
      <c r="P70">
        <f t="shared" si="22"/>
        <v>0.83436372976396778</v>
      </c>
      <c r="Q70">
        <f t="shared" si="23"/>
        <v>0.83097429486135921</v>
      </c>
    </row>
    <row r="71" spans="1:17" x14ac:dyDescent="0.6">
      <c r="A71">
        <v>30</v>
      </c>
      <c r="B71" t="s">
        <v>92</v>
      </c>
      <c r="C71" t="s">
        <v>184</v>
      </c>
      <c r="D71">
        <v>7.1172234830000001</v>
      </c>
      <c r="E71">
        <v>0.27072464299999999</v>
      </c>
      <c r="F71">
        <v>5.5274770789999996</v>
      </c>
      <c r="G71">
        <v>0.40387515899999998</v>
      </c>
      <c r="H71">
        <v>4.5657958980000002</v>
      </c>
      <c r="I71">
        <v>0.33906506800000002</v>
      </c>
      <c r="J71">
        <f t="shared" si="16"/>
        <v>5.0386969700973232</v>
      </c>
      <c r="K71">
        <f t="shared" si="17"/>
        <v>1.8331917985928177</v>
      </c>
      <c r="L71">
        <f t="shared" si="18"/>
        <v>0.85834174858291346</v>
      </c>
      <c r="M71">
        <f t="shared" si="19"/>
        <v>0.8737132914097322</v>
      </c>
      <c r="N71">
        <f t="shared" si="20"/>
        <v>0.86317509178489238</v>
      </c>
      <c r="O71">
        <f t="shared" si="21"/>
        <v>0.86678454477657518</v>
      </c>
      <c r="P71">
        <f t="shared" si="22"/>
        <v>0.80710505369958818</v>
      </c>
      <c r="Q71">
        <f t="shared" si="23"/>
        <v>0.76957723984362258</v>
      </c>
    </row>
    <row r="72" spans="1:17" x14ac:dyDescent="0.6">
      <c r="A72">
        <v>90</v>
      </c>
      <c r="B72" t="s">
        <v>99</v>
      </c>
      <c r="C72" t="s">
        <v>8</v>
      </c>
      <c r="D72">
        <v>7.2208379999999996</v>
      </c>
      <c r="E72">
        <v>0.27789999999999998</v>
      </c>
      <c r="F72">
        <v>5.5475659999999998</v>
      </c>
      <c r="G72">
        <v>0.40374199999999999</v>
      </c>
      <c r="H72">
        <v>4.4656370000000001</v>
      </c>
      <c r="I72">
        <v>0.32366</v>
      </c>
      <c r="J72">
        <f t="shared" si="16"/>
        <v>5.0330901393995084</v>
      </c>
      <c r="K72">
        <f t="shared" si="17"/>
        <v>1.828473414746685</v>
      </c>
      <c r="L72">
        <f t="shared" si="18"/>
        <v>0.7977957904386539</v>
      </c>
      <c r="M72">
        <f t="shared" si="19"/>
        <v>0.82080474939484516</v>
      </c>
      <c r="N72">
        <f t="shared" si="20"/>
        <v>0.85087752843884235</v>
      </c>
      <c r="O72">
        <f t="shared" si="21"/>
        <v>0.86791972614950363</v>
      </c>
      <c r="P72">
        <f t="shared" si="22"/>
        <v>0.8455342463444393</v>
      </c>
      <c r="Q72">
        <f t="shared" si="23"/>
        <v>0.85015809863322445</v>
      </c>
    </row>
    <row r="73" spans="1:17" x14ac:dyDescent="0.6">
      <c r="A73">
        <v>10</v>
      </c>
      <c r="B73" t="s">
        <v>92</v>
      </c>
      <c r="C73" t="s">
        <v>7</v>
      </c>
      <c r="D73">
        <v>7.1164800000000001</v>
      </c>
      <c r="E73">
        <v>0.27200000000000002</v>
      </c>
      <c r="F73">
        <v>5.4687929999999998</v>
      </c>
      <c r="G73">
        <v>0.40054499999999998</v>
      </c>
      <c r="H73">
        <v>4.6674189999999998</v>
      </c>
      <c r="I73">
        <v>0.34352199999999999</v>
      </c>
      <c r="J73">
        <f t="shared" si="16"/>
        <v>5.0317365425370548</v>
      </c>
      <c r="K73">
        <f t="shared" si="17"/>
        <v>1.8298611304248351</v>
      </c>
      <c r="L73">
        <f t="shared" si="18"/>
        <v>0.85877619437200081</v>
      </c>
      <c r="M73">
        <f t="shared" si="19"/>
        <v>0.86430926044395839</v>
      </c>
      <c r="N73">
        <f t="shared" si="20"/>
        <v>0.89909893154249276</v>
      </c>
      <c r="O73">
        <f t="shared" si="21"/>
        <v>0.89517417270777089</v>
      </c>
      <c r="P73">
        <f t="shared" si="22"/>
        <v>0.7681140719505144</v>
      </c>
      <c r="Q73">
        <f t="shared" si="23"/>
        <v>0.74626391152031657</v>
      </c>
    </row>
    <row r="74" spans="1:17" x14ac:dyDescent="0.6">
      <c r="A74">
        <v>30</v>
      </c>
      <c r="B74" t="s">
        <v>92</v>
      </c>
      <c r="C74" t="s">
        <v>171</v>
      </c>
      <c r="D74">
        <v>7.1621247610000003</v>
      </c>
      <c r="E74">
        <v>0.275117677</v>
      </c>
      <c r="F74">
        <v>5.5567585470000003</v>
      </c>
      <c r="G74">
        <v>0.40637251200000002</v>
      </c>
      <c r="H74">
        <v>4.4996948239999996</v>
      </c>
      <c r="I74">
        <v>0.327213262</v>
      </c>
      <c r="J74">
        <f t="shared" si="16"/>
        <v>5.0282082114987201</v>
      </c>
      <c r="K74">
        <f t="shared" si="17"/>
        <v>1.8246738690488622</v>
      </c>
      <c r="L74">
        <f t="shared" si="18"/>
        <v>0.83210420024389276</v>
      </c>
      <c r="M74">
        <f t="shared" si="19"/>
        <v>0.84132061408903192</v>
      </c>
      <c r="N74">
        <f t="shared" si="20"/>
        <v>0.84525025114286179</v>
      </c>
      <c r="O74">
        <f t="shared" si="21"/>
        <v>0.84549459361122348</v>
      </c>
      <c r="P74">
        <f t="shared" si="22"/>
        <v>0.83246686335905118</v>
      </c>
      <c r="Q74">
        <f t="shared" si="23"/>
        <v>0.83157168905265921</v>
      </c>
    </row>
    <row r="75" spans="1:17" x14ac:dyDescent="0.6">
      <c r="A75">
        <v>20</v>
      </c>
      <c r="B75" t="s">
        <v>99</v>
      </c>
      <c r="C75" t="s">
        <v>7</v>
      </c>
      <c r="D75">
        <v>7.0688050000000002</v>
      </c>
      <c r="E75">
        <v>0.26840000000000003</v>
      </c>
      <c r="F75">
        <v>5.4607749999999999</v>
      </c>
      <c r="G75">
        <v>0.39980300000000002</v>
      </c>
      <c r="H75">
        <v>4.8067019999999996</v>
      </c>
      <c r="I75">
        <v>0.34881099999999998</v>
      </c>
      <c r="J75">
        <f t="shared" si="16"/>
        <v>5.016267706898649</v>
      </c>
      <c r="K75">
        <f t="shared" si="17"/>
        <v>1.8208784191830605</v>
      </c>
      <c r="L75">
        <f t="shared" si="18"/>
        <v>0.88663453544333526</v>
      </c>
      <c r="M75">
        <f t="shared" si="19"/>
        <v>0.8908543858298581</v>
      </c>
      <c r="N75">
        <f t="shared" si="20"/>
        <v>0.90400720227085229</v>
      </c>
      <c r="O75">
        <f t="shared" si="21"/>
        <v>0.90149972771128462</v>
      </c>
      <c r="P75">
        <f t="shared" si="22"/>
        <v>0.71467365531221649</v>
      </c>
      <c r="Q75">
        <f t="shared" si="23"/>
        <v>0.71859820033110255</v>
      </c>
    </row>
    <row r="76" spans="1:17" x14ac:dyDescent="0.6">
      <c r="A76">
        <v>10</v>
      </c>
      <c r="B76" t="s">
        <v>92</v>
      </c>
      <c r="C76" t="s">
        <v>8</v>
      </c>
      <c r="D76">
        <v>7.0868869999999999</v>
      </c>
      <c r="E76">
        <v>0.2702</v>
      </c>
      <c r="F76">
        <v>5.4353389999999999</v>
      </c>
      <c r="G76">
        <v>0.398316</v>
      </c>
      <c r="H76">
        <v>4.7739260000000003</v>
      </c>
      <c r="I76">
        <v>0.35355300000000001</v>
      </c>
      <c r="J76">
        <f t="shared" si="16"/>
        <v>5.0084477390553168</v>
      </c>
      <c r="K76">
        <f t="shared" si="17"/>
        <v>1.8159206905831689</v>
      </c>
      <c r="L76">
        <f t="shared" si="18"/>
        <v>0.87606852551670988</v>
      </c>
      <c r="M76">
        <f t="shared" si="19"/>
        <v>0.87758182313690847</v>
      </c>
      <c r="N76">
        <f t="shared" si="20"/>
        <v>0.91957801472365275</v>
      </c>
      <c r="O76">
        <f t="shared" si="21"/>
        <v>0.91417641273854255</v>
      </c>
      <c r="P76">
        <f t="shared" si="22"/>
        <v>0.72724922516450874</v>
      </c>
      <c r="Q76">
        <f t="shared" si="23"/>
        <v>0.69379373777499476</v>
      </c>
    </row>
    <row r="77" spans="1:17" x14ac:dyDescent="0.6">
      <c r="A77">
        <v>30</v>
      </c>
      <c r="B77" t="s">
        <v>6</v>
      </c>
      <c r="C77" t="s">
        <v>171</v>
      </c>
      <c r="D77">
        <v>7.3118162099999999</v>
      </c>
      <c r="E77">
        <v>0.288365702</v>
      </c>
      <c r="F77">
        <v>5.5585795280000001</v>
      </c>
      <c r="G77">
        <v>0.40722401200000002</v>
      </c>
      <c r="H77">
        <v>4.2322387700000004</v>
      </c>
      <c r="I77">
        <v>0.31374622899999999</v>
      </c>
      <c r="J77">
        <f t="shared" si="16"/>
        <v>5.0077392364106741</v>
      </c>
      <c r="K77">
        <f t="shared" si="17"/>
        <v>1.8134575912403561</v>
      </c>
      <c r="L77">
        <f t="shared" si="18"/>
        <v>0.7446337137896869</v>
      </c>
      <c r="M77">
        <f t="shared" si="19"/>
        <v>0.74363436832777219</v>
      </c>
      <c r="N77">
        <f t="shared" si="20"/>
        <v>0.84413552580746665</v>
      </c>
      <c r="O77">
        <f t="shared" si="21"/>
        <v>0.83823555036932029</v>
      </c>
      <c r="P77">
        <f t="shared" si="22"/>
        <v>0.93508500741248979</v>
      </c>
      <c r="Q77">
        <f t="shared" si="23"/>
        <v>0.90201507070393849</v>
      </c>
    </row>
    <row r="78" spans="1:17" x14ac:dyDescent="0.6">
      <c r="A78">
        <v>10</v>
      </c>
      <c r="B78" t="s">
        <v>6</v>
      </c>
      <c r="C78" t="s">
        <v>181</v>
      </c>
      <c r="D78">
        <v>7.1184178009999997</v>
      </c>
      <c r="E78">
        <v>0.27318807499999997</v>
      </c>
      <c r="F78">
        <v>5.4285737430000003</v>
      </c>
      <c r="G78">
        <v>0.39803273300000003</v>
      </c>
      <c r="H78">
        <v>4.7450561520000001</v>
      </c>
      <c r="I78">
        <v>0.34974935000000001</v>
      </c>
      <c r="J78">
        <f t="shared" si="16"/>
        <v>5.0055193062361134</v>
      </c>
      <c r="K78">
        <f t="shared" si="17"/>
        <v>1.8128021347511485</v>
      </c>
      <c r="L78">
        <f t="shared" si="18"/>
        <v>0.85764386251701685</v>
      </c>
      <c r="M78">
        <f t="shared" si="19"/>
        <v>0.85554881604316624</v>
      </c>
      <c r="N78">
        <f t="shared" si="20"/>
        <v>0.92371941069558183</v>
      </c>
      <c r="O78">
        <f t="shared" si="21"/>
        <v>0.91659126582369121</v>
      </c>
      <c r="P78">
        <f t="shared" si="22"/>
        <v>0.73832607377779502</v>
      </c>
      <c r="Q78">
        <f t="shared" si="23"/>
        <v>0.71368987737886203</v>
      </c>
    </row>
    <row r="79" spans="1:17" x14ac:dyDescent="0.6">
      <c r="A79">
        <v>60</v>
      </c>
      <c r="B79" t="s">
        <v>92</v>
      </c>
      <c r="C79" t="s">
        <v>174</v>
      </c>
      <c r="D79">
        <v>7.2218359379999999</v>
      </c>
      <c r="E79">
        <v>0.27811566300000001</v>
      </c>
      <c r="F79">
        <v>5.5552395910000003</v>
      </c>
      <c r="G79">
        <v>0.404683821</v>
      </c>
      <c r="H79">
        <v>4.543945313</v>
      </c>
      <c r="I79">
        <v>0.32296682399999999</v>
      </c>
      <c r="J79">
        <f t="shared" si="16"/>
        <v>4.9917706698222952</v>
      </c>
      <c r="K79">
        <f t="shared" si="17"/>
        <v>1.7978875149516276</v>
      </c>
      <c r="L79">
        <f t="shared" si="18"/>
        <v>0.79721265678008957</v>
      </c>
      <c r="M79">
        <f t="shared" si="19"/>
        <v>0.81921452679037288</v>
      </c>
      <c r="N79">
        <f t="shared" si="20"/>
        <v>0.84618008991468341</v>
      </c>
      <c r="O79">
        <f t="shared" si="21"/>
        <v>0.85989069577354049</v>
      </c>
      <c r="P79">
        <f t="shared" si="22"/>
        <v>0.81548873560039836</v>
      </c>
      <c r="Q79">
        <f t="shared" si="23"/>
        <v>0.8537839649632103</v>
      </c>
    </row>
    <row r="80" spans="1:17" x14ac:dyDescent="0.6">
      <c r="A80">
        <v>5</v>
      </c>
      <c r="B80" t="s">
        <v>92</v>
      </c>
      <c r="C80" t="s">
        <v>177</v>
      </c>
      <c r="D80">
        <v>7.1763460209999996</v>
      </c>
      <c r="E80">
        <v>0.27783581200000002</v>
      </c>
      <c r="F80">
        <v>5.4718112699999999</v>
      </c>
      <c r="G80">
        <v>0.40133201299999999</v>
      </c>
      <c r="H80">
        <v>4.6424560550000002</v>
      </c>
      <c r="I80">
        <v>0.33895199300000001</v>
      </c>
      <c r="J80">
        <f t="shared" si="16"/>
        <v>4.9786490020668888</v>
      </c>
      <c r="K80">
        <f t="shared" si="17"/>
        <v>1.7905073157428613</v>
      </c>
      <c r="L80">
        <f t="shared" si="18"/>
        <v>0.82379416958748775</v>
      </c>
      <c r="M80">
        <f t="shared" si="19"/>
        <v>0.82127804898047552</v>
      </c>
      <c r="N80">
        <f t="shared" si="20"/>
        <v>0.8972512779766052</v>
      </c>
      <c r="O80">
        <f t="shared" si="21"/>
        <v>0.88846488157572157</v>
      </c>
      <c r="P80">
        <f t="shared" si="22"/>
        <v>0.7776919111794145</v>
      </c>
      <c r="Q80">
        <f t="shared" si="23"/>
        <v>0.77016871276718479</v>
      </c>
    </row>
    <row r="81" spans="1:17" x14ac:dyDescent="0.6">
      <c r="A81">
        <v>5</v>
      </c>
      <c r="B81" t="s">
        <v>92</v>
      </c>
      <c r="C81" t="s">
        <v>167</v>
      </c>
      <c r="D81">
        <v>7.2003101789999997</v>
      </c>
      <c r="E81">
        <v>0.27951829299999997</v>
      </c>
      <c r="F81">
        <v>5.502846194</v>
      </c>
      <c r="G81">
        <v>0.40349583500000002</v>
      </c>
      <c r="H81">
        <v>4.5789794920000002</v>
      </c>
      <c r="I81">
        <v>0.33384713399999999</v>
      </c>
      <c r="J81">
        <f t="shared" si="16"/>
        <v>4.9658523113681934</v>
      </c>
      <c r="K81">
        <f t="shared" si="17"/>
        <v>1.7804314221432957</v>
      </c>
      <c r="L81">
        <f t="shared" si="18"/>
        <v>0.80979098789789461</v>
      </c>
      <c r="M81">
        <f t="shared" si="19"/>
        <v>0.80887202978481076</v>
      </c>
      <c r="N81">
        <f t="shared" si="20"/>
        <v>0.87825304786609582</v>
      </c>
      <c r="O81">
        <f t="shared" si="21"/>
        <v>0.87001828443446294</v>
      </c>
      <c r="P81">
        <f t="shared" si="22"/>
        <v>0.80204674251911268</v>
      </c>
      <c r="Q81">
        <f t="shared" si="23"/>
        <v>0.79687121886581602</v>
      </c>
    </row>
    <row r="82" spans="1:17" x14ac:dyDescent="0.6">
      <c r="A82">
        <v>90</v>
      </c>
      <c r="B82" t="s">
        <v>99</v>
      </c>
      <c r="C82" t="s">
        <v>174</v>
      </c>
      <c r="D82" s="13">
        <v>7.2594257999999998</v>
      </c>
      <c r="E82">
        <v>0.28020475099999997</v>
      </c>
      <c r="F82">
        <v>5.5426719350000004</v>
      </c>
      <c r="G82">
        <v>0.40314418099999999</v>
      </c>
      <c r="H82">
        <v>4.4960327150000001</v>
      </c>
      <c r="I82">
        <v>0.32887792500000002</v>
      </c>
      <c r="J82">
        <f t="shared" si="16"/>
        <v>4.9626834978695573</v>
      </c>
      <c r="K82">
        <f t="shared" si="17"/>
        <v>1.7783917816458163</v>
      </c>
      <c r="L82">
        <f t="shared" si="18"/>
        <v>0.77524745077232049</v>
      </c>
      <c r="M82">
        <f t="shared" si="19"/>
        <v>0.803810331539768</v>
      </c>
      <c r="N82">
        <f t="shared" si="20"/>
        <v>0.85387346208590964</v>
      </c>
      <c r="O82">
        <f t="shared" si="21"/>
        <v>0.87301613715576465</v>
      </c>
      <c r="P82">
        <f t="shared" si="22"/>
        <v>0.83387194962754652</v>
      </c>
      <c r="Q82">
        <f t="shared" si="23"/>
        <v>0.82286416668824802</v>
      </c>
    </row>
    <row r="83" spans="1:17" x14ac:dyDescent="0.6">
      <c r="A83">
        <v>90</v>
      </c>
      <c r="B83" t="s">
        <v>99</v>
      </c>
      <c r="C83" t="s">
        <v>177</v>
      </c>
      <c r="D83">
        <v>7.2754718360000004</v>
      </c>
      <c r="E83">
        <v>0.28256596299999998</v>
      </c>
      <c r="F83">
        <v>5.5001103650000003</v>
      </c>
      <c r="G83">
        <v>0.40045828500000002</v>
      </c>
      <c r="H83">
        <v>4.5510864260000004</v>
      </c>
      <c r="I83">
        <v>0.33052569700000001</v>
      </c>
      <c r="J83">
        <f t="shared" si="16"/>
        <v>4.9551057603997632</v>
      </c>
      <c r="K83">
        <f t="shared" si="17"/>
        <v>1.7736766239123809</v>
      </c>
      <c r="L83">
        <f t="shared" si="18"/>
        <v>0.76587113312720401</v>
      </c>
      <c r="M83">
        <f t="shared" si="19"/>
        <v>0.78639959026124273</v>
      </c>
      <c r="N83">
        <f t="shared" si="20"/>
        <v>0.879927803341089</v>
      </c>
      <c r="O83">
        <f t="shared" si="21"/>
        <v>0.89591341866751406</v>
      </c>
      <c r="P83">
        <f t="shared" si="22"/>
        <v>0.81274881720417502</v>
      </c>
      <c r="Q83">
        <f t="shared" si="23"/>
        <v>0.81424499779853854</v>
      </c>
    </row>
    <row r="84" spans="1:17" x14ac:dyDescent="0.6">
      <c r="A84">
        <v>30</v>
      </c>
      <c r="B84" t="s">
        <v>92</v>
      </c>
      <c r="C84" t="s">
        <v>174</v>
      </c>
      <c r="D84">
        <v>7.1899717330000001</v>
      </c>
      <c r="E84">
        <v>0.276100185</v>
      </c>
      <c r="F84">
        <v>5.5557754660000001</v>
      </c>
      <c r="G84">
        <v>0.40580977499999998</v>
      </c>
      <c r="H84">
        <v>4.5750732420000002</v>
      </c>
      <c r="I84">
        <v>0.33253939700000001</v>
      </c>
      <c r="J84">
        <f t="shared" si="16"/>
        <v>4.9533093028392763</v>
      </c>
      <c r="K84">
        <f t="shared" si="17"/>
        <v>1.7710016228212693</v>
      </c>
      <c r="L84">
        <f t="shared" si="18"/>
        <v>0.81583214059460274</v>
      </c>
      <c r="M84">
        <f t="shared" si="19"/>
        <v>0.83407594796329587</v>
      </c>
      <c r="N84">
        <f t="shared" si="20"/>
        <v>0.8458520505561703</v>
      </c>
      <c r="O84">
        <f t="shared" si="21"/>
        <v>0.8502919303309171</v>
      </c>
      <c r="P84">
        <f t="shared" si="22"/>
        <v>0.80354550135898073</v>
      </c>
      <c r="Q84">
        <f t="shared" si="23"/>
        <v>0.8037117320353091</v>
      </c>
    </row>
    <row r="85" spans="1:17" x14ac:dyDescent="0.6">
      <c r="A85">
        <v>90</v>
      </c>
      <c r="B85" t="s">
        <v>92</v>
      </c>
      <c r="C85" t="s">
        <v>171</v>
      </c>
      <c r="D85">
        <v>7.165108129</v>
      </c>
      <c r="E85">
        <v>0.27321265500000003</v>
      </c>
      <c r="F85">
        <v>5.4852905270000001</v>
      </c>
      <c r="G85">
        <v>0.39905069199999998</v>
      </c>
      <c r="H85">
        <v>4.7300415039999999</v>
      </c>
      <c r="I85">
        <v>0.34808540500000001</v>
      </c>
      <c r="J85">
        <f t="shared" si="16"/>
        <v>4.9491220688451971</v>
      </c>
      <c r="K85">
        <f t="shared" si="17"/>
        <v>1.7713499738075962</v>
      </c>
      <c r="L85">
        <f t="shared" si="18"/>
        <v>0.83036090326884715</v>
      </c>
      <c r="M85">
        <f t="shared" si="19"/>
        <v>0.85536757182594769</v>
      </c>
      <c r="N85">
        <f t="shared" si="20"/>
        <v>0.88899986333790015</v>
      </c>
      <c r="O85">
        <f t="shared" si="21"/>
        <v>0.90791315848430865</v>
      </c>
      <c r="P85">
        <f t="shared" si="22"/>
        <v>0.7440869279006771</v>
      </c>
      <c r="Q85">
        <f t="shared" si="23"/>
        <v>0.72239364402751716</v>
      </c>
    </row>
    <row r="86" spans="1:17" x14ac:dyDescent="0.6">
      <c r="A86">
        <v>20</v>
      </c>
      <c r="B86" t="s">
        <v>99</v>
      </c>
      <c r="C86" t="s">
        <v>8</v>
      </c>
      <c r="D86">
        <v>7.224634</v>
      </c>
      <c r="E86">
        <v>0.27929999999999999</v>
      </c>
      <c r="F86">
        <v>5.581995</v>
      </c>
      <c r="G86">
        <v>0.40810000000000002</v>
      </c>
      <c r="H86">
        <v>4.4867549999999996</v>
      </c>
      <c r="I86">
        <v>0.32525700000000002</v>
      </c>
      <c r="J86">
        <f t="shared" si="16"/>
        <v>4.9458647780997467</v>
      </c>
      <c r="K86">
        <f t="shared" si="17"/>
        <v>1.7654353131927181</v>
      </c>
      <c r="L86">
        <f t="shared" si="18"/>
        <v>0.79557764124711128</v>
      </c>
      <c r="M86">
        <f t="shared" si="19"/>
        <v>0.81048164507810627</v>
      </c>
      <c r="N86">
        <f t="shared" si="20"/>
        <v>0.82980159268096099</v>
      </c>
      <c r="O86">
        <f t="shared" si="21"/>
        <v>0.8307677467622876</v>
      </c>
      <c r="P86">
        <f t="shared" si="22"/>
        <v>0.83743164431427364</v>
      </c>
      <c r="Q86">
        <f t="shared" si="23"/>
        <v>0.84180450801700679</v>
      </c>
    </row>
    <row r="87" spans="1:17" x14ac:dyDescent="0.6">
      <c r="A87">
        <v>5</v>
      </c>
      <c r="B87" t="s">
        <v>6</v>
      </c>
      <c r="C87" t="s">
        <v>181</v>
      </c>
      <c r="D87">
        <v>7.1820808359999999</v>
      </c>
      <c r="E87">
        <v>0.27845229100000002</v>
      </c>
      <c r="F87">
        <v>5.4664576150000004</v>
      </c>
      <c r="G87">
        <v>0.40104206100000001</v>
      </c>
      <c r="H87">
        <v>4.6578369139999998</v>
      </c>
      <c r="I87">
        <v>0.344629713</v>
      </c>
      <c r="J87">
        <f t="shared" si="16"/>
        <v>4.9409009567408564</v>
      </c>
      <c r="K87">
        <f t="shared" si="17"/>
        <v>1.764312187970553</v>
      </c>
      <c r="L87">
        <f t="shared" si="18"/>
        <v>0.82044309602165633</v>
      </c>
      <c r="M87">
        <f t="shared" si="19"/>
        <v>0.81673235110470488</v>
      </c>
      <c r="N87">
        <f t="shared" si="20"/>
        <v>0.90052855262442677</v>
      </c>
      <c r="O87">
        <f t="shared" si="21"/>
        <v>0.89093672433094906</v>
      </c>
      <c r="P87">
        <f t="shared" si="22"/>
        <v>0.77179054839131489</v>
      </c>
      <c r="Q87">
        <f t="shared" si="23"/>
        <v>0.74046968426780413</v>
      </c>
    </row>
    <row r="88" spans="1:17" x14ac:dyDescent="0.6">
      <c r="A88">
        <v>5</v>
      </c>
      <c r="B88" t="s">
        <v>6</v>
      </c>
      <c r="C88" t="s">
        <v>7</v>
      </c>
      <c r="D88">
        <v>7.211831321</v>
      </c>
      <c r="E88">
        <v>0.279697639</v>
      </c>
      <c r="F88">
        <v>5.5325652940000003</v>
      </c>
      <c r="G88">
        <v>0.40542800000000001</v>
      </c>
      <c r="H88">
        <v>4.5231933590000004</v>
      </c>
      <c r="I88">
        <v>0.33638539499999998</v>
      </c>
      <c r="J88">
        <f t="shared" si="16"/>
        <v>4.9312601796398567</v>
      </c>
      <c r="K88">
        <f t="shared" si="17"/>
        <v>1.7556628315776996</v>
      </c>
      <c r="L88">
        <f t="shared" si="18"/>
        <v>0.80305874031808788</v>
      </c>
      <c r="M88">
        <f t="shared" si="19"/>
        <v>0.80754959587996078</v>
      </c>
      <c r="N88">
        <f t="shared" si="20"/>
        <v>0.8600603079554956</v>
      </c>
      <c r="O88">
        <f t="shared" si="21"/>
        <v>0.85354656478033275</v>
      </c>
      <c r="P88">
        <f t="shared" si="22"/>
        <v>0.82345089227291957</v>
      </c>
      <c r="Q88">
        <f t="shared" si="23"/>
        <v>0.78359407843306028</v>
      </c>
    </row>
    <row r="89" spans="1:17" x14ac:dyDescent="0.6">
      <c r="A89">
        <v>60</v>
      </c>
      <c r="B89" t="s">
        <v>6</v>
      </c>
      <c r="C89" t="s">
        <v>174</v>
      </c>
      <c r="D89">
        <v>7.2240690140000003</v>
      </c>
      <c r="E89">
        <v>0.27833894300000001</v>
      </c>
      <c r="F89" s="13">
        <v>5.5348531550000004</v>
      </c>
      <c r="G89" s="13">
        <v>0.40327618100000001</v>
      </c>
      <c r="H89">
        <v>4.5801391599999999</v>
      </c>
      <c r="I89" s="13">
        <v>0.33618222199999998</v>
      </c>
      <c r="J89">
        <f t="shared" si="16"/>
        <v>4.9302851733661086</v>
      </c>
      <c r="K89">
        <f t="shared" si="17"/>
        <v>1.7553405663508455</v>
      </c>
      <c r="L89">
        <f t="shared" si="18"/>
        <v>0.79590778435541787</v>
      </c>
      <c r="M89">
        <f t="shared" si="19"/>
        <v>0.81756813912477189</v>
      </c>
      <c r="N89">
        <f t="shared" si="20"/>
        <v>0.85865977899854173</v>
      </c>
      <c r="O89">
        <f t="shared" si="21"/>
        <v>0.87189083626565156</v>
      </c>
      <c r="P89">
        <f t="shared" si="22"/>
        <v>0.8016017984765369</v>
      </c>
      <c r="Q89">
        <f t="shared" si="23"/>
        <v>0.78465683614518855</v>
      </c>
    </row>
    <row r="90" spans="1:17" x14ac:dyDescent="0.6">
      <c r="A90">
        <v>5</v>
      </c>
      <c r="B90" t="s">
        <v>99</v>
      </c>
      <c r="C90" t="s">
        <v>177</v>
      </c>
      <c r="D90">
        <v>7.245783716</v>
      </c>
      <c r="E90">
        <v>0.28280973700000001</v>
      </c>
      <c r="F90">
        <v>5.5456035659999996</v>
      </c>
      <c r="G90">
        <v>0.40650269300000003</v>
      </c>
      <c r="H90">
        <v>4.5252685550000002</v>
      </c>
      <c r="I90">
        <v>0.32929940200000002</v>
      </c>
      <c r="J90">
        <f t="shared" si="16"/>
        <v>4.9075989588824385</v>
      </c>
      <c r="K90">
        <f t="shared" si="17"/>
        <v>1.7385690347784772</v>
      </c>
      <c r="L90">
        <f t="shared" si="18"/>
        <v>0.78321904655618602</v>
      </c>
      <c r="M90">
        <f t="shared" si="19"/>
        <v>0.78460208709573631</v>
      </c>
      <c r="N90">
        <f t="shared" si="20"/>
        <v>0.85207884514606835</v>
      </c>
      <c r="O90">
        <f t="shared" si="21"/>
        <v>0.84438479970837643</v>
      </c>
      <c r="P90">
        <f t="shared" si="22"/>
        <v>0.82265467637545819</v>
      </c>
      <c r="Q90">
        <f t="shared" si="23"/>
        <v>0.82065950400061394</v>
      </c>
    </row>
    <row r="91" spans="1:17" x14ac:dyDescent="0.6">
      <c r="A91">
        <v>5</v>
      </c>
      <c r="B91" t="s">
        <v>6</v>
      </c>
      <c r="C91" t="s">
        <v>171</v>
      </c>
      <c r="D91">
        <v>7.2455522400000003</v>
      </c>
      <c r="E91">
        <v>0.28318028000000001</v>
      </c>
      <c r="F91">
        <v>5.5436261330000001</v>
      </c>
      <c r="G91">
        <v>0.40654590499999999</v>
      </c>
      <c r="H91">
        <v>4.4367675780000004</v>
      </c>
      <c r="I91">
        <v>0.33768952800000002</v>
      </c>
      <c r="J91">
        <f t="shared" si="16"/>
        <v>4.8959132504058935</v>
      </c>
      <c r="K91">
        <f t="shared" si="17"/>
        <v>1.7306244488553291</v>
      </c>
      <c r="L91">
        <f t="shared" si="18"/>
        <v>0.7833543069097848</v>
      </c>
      <c r="M91">
        <f t="shared" si="19"/>
        <v>0.78186983420799527</v>
      </c>
      <c r="N91">
        <f t="shared" si="20"/>
        <v>0.85328934358847175</v>
      </c>
      <c r="O91">
        <f t="shared" si="21"/>
        <v>0.84401641711698616</v>
      </c>
      <c r="P91">
        <f t="shared" si="22"/>
        <v>0.85661093150908119</v>
      </c>
      <c r="Q91">
        <f t="shared" si="23"/>
        <v>0.7767724170735737</v>
      </c>
    </row>
    <row r="92" spans="1:17" x14ac:dyDescent="0.6">
      <c r="A92">
        <v>5</v>
      </c>
      <c r="B92" t="s">
        <v>6</v>
      </c>
      <c r="C92" t="s">
        <v>167</v>
      </c>
      <c r="D92">
        <v>7.2259619109999997</v>
      </c>
      <c r="E92">
        <v>0.28198591099999998</v>
      </c>
      <c r="F92">
        <v>5.4821074510000001</v>
      </c>
      <c r="G92">
        <v>0.40222822600000002</v>
      </c>
      <c r="H92">
        <v>4.636230469</v>
      </c>
      <c r="I92">
        <v>0.34209811200000001</v>
      </c>
      <c r="J92">
        <f t="shared" si="16"/>
        <v>4.8910439893135074</v>
      </c>
      <c r="K92">
        <f t="shared" si="17"/>
        <v>1.7284890401380708</v>
      </c>
      <c r="L92">
        <f t="shared" si="18"/>
        <v>0.79480169163934267</v>
      </c>
      <c r="M92">
        <f t="shared" si="19"/>
        <v>0.79067668833633764</v>
      </c>
      <c r="N92">
        <f t="shared" si="20"/>
        <v>0.89094840396610475</v>
      </c>
      <c r="O92">
        <f t="shared" si="21"/>
        <v>0.88082465970730572</v>
      </c>
      <c r="P92">
        <f t="shared" si="22"/>
        <v>0.78008055810443455</v>
      </c>
      <c r="Q92">
        <f t="shared" si="23"/>
        <v>0.75371198755998137</v>
      </c>
    </row>
    <row r="93" spans="1:17" x14ac:dyDescent="0.6">
      <c r="A93">
        <v>10</v>
      </c>
      <c r="B93" t="s">
        <v>99</v>
      </c>
      <c r="C93" t="s">
        <v>7</v>
      </c>
      <c r="D93">
        <v>7.2915239999999999</v>
      </c>
      <c r="E93">
        <v>0.28720000000000001</v>
      </c>
      <c r="F93">
        <v>5.5767559999999996</v>
      </c>
      <c r="G93">
        <v>0.40916400000000003</v>
      </c>
      <c r="H93">
        <v>4.4080810000000001</v>
      </c>
      <c r="I93">
        <v>0.32418999999999998</v>
      </c>
      <c r="J93">
        <f t="shared" si="16"/>
        <v>4.8784301332235334</v>
      </c>
      <c r="K93">
        <f t="shared" si="17"/>
        <v>1.7187640347806663</v>
      </c>
      <c r="L93">
        <f t="shared" si="18"/>
        <v>0.75649123465536372</v>
      </c>
      <c r="M93">
        <f t="shared" si="19"/>
        <v>0.7522298421479372</v>
      </c>
      <c r="N93">
        <f t="shared" si="20"/>
        <v>0.83300868052654309</v>
      </c>
      <c r="O93">
        <f t="shared" si="21"/>
        <v>0.82169713958743729</v>
      </c>
      <c r="P93">
        <f t="shared" si="22"/>
        <v>0.86761746267402629</v>
      </c>
      <c r="Q93">
        <f t="shared" si="23"/>
        <v>0.84738577363222556</v>
      </c>
    </row>
    <row r="94" spans="1:17" x14ac:dyDescent="0.6">
      <c r="A94">
        <v>90</v>
      </c>
      <c r="B94" t="s">
        <v>9</v>
      </c>
      <c r="C94" t="s">
        <v>8</v>
      </c>
      <c r="D94">
        <v>7.33282232</v>
      </c>
      <c r="E94">
        <v>0.286137586</v>
      </c>
      <c r="F94">
        <v>5.6326327389999999</v>
      </c>
      <c r="G94">
        <v>0.40964829400000002</v>
      </c>
      <c r="H94">
        <v>4.3694458010000004</v>
      </c>
      <c r="I94">
        <v>0.31713756399999998</v>
      </c>
      <c r="J94">
        <f t="shared" si="16"/>
        <v>4.8755114150260468</v>
      </c>
      <c r="K94">
        <f t="shared" si="17"/>
        <v>1.7174331733635588</v>
      </c>
      <c r="L94">
        <f t="shared" si="18"/>
        <v>0.73235903362268162</v>
      </c>
      <c r="M94">
        <f t="shared" si="19"/>
        <v>0.76006370682619706</v>
      </c>
      <c r="N94">
        <f t="shared" si="20"/>
        <v>0.79880337216661679</v>
      </c>
      <c r="O94">
        <f t="shared" si="21"/>
        <v>0.81756852997170715</v>
      </c>
      <c r="P94">
        <f t="shared" si="22"/>
        <v>0.88244110325804259</v>
      </c>
      <c r="Q94">
        <f t="shared" si="23"/>
        <v>0.88427566918080114</v>
      </c>
    </row>
    <row r="95" spans="1:17" x14ac:dyDescent="0.6">
      <c r="A95">
        <v>30</v>
      </c>
      <c r="B95" t="s">
        <v>99</v>
      </c>
      <c r="C95" t="s">
        <v>174</v>
      </c>
      <c r="D95">
        <v>7.2855276250000003</v>
      </c>
      <c r="E95">
        <v>0.28530570700000002</v>
      </c>
      <c r="F95">
        <v>5.5776900500000002</v>
      </c>
      <c r="G95">
        <v>0.40814862200000002</v>
      </c>
      <c r="H95">
        <v>4.5207519530000004</v>
      </c>
      <c r="I95">
        <v>0.323686099</v>
      </c>
      <c r="J95">
        <f t="shared" si="16"/>
        <v>4.8633921718828388</v>
      </c>
      <c r="K95">
        <f t="shared" si="17"/>
        <v>1.7072075260494253</v>
      </c>
      <c r="L95">
        <f t="shared" si="18"/>
        <v>0.75999514781617361</v>
      </c>
      <c r="M95">
        <f t="shared" si="19"/>
        <v>0.76619768803755717</v>
      </c>
      <c r="N95">
        <f t="shared" si="20"/>
        <v>0.83243689575804392</v>
      </c>
      <c r="O95">
        <f t="shared" si="21"/>
        <v>0.83035324388441589</v>
      </c>
      <c r="P95">
        <f t="shared" si="22"/>
        <v>0.8243876164519166</v>
      </c>
      <c r="Q95">
        <f t="shared" si="23"/>
        <v>0.85002157993473182</v>
      </c>
    </row>
    <row r="96" spans="1:17" x14ac:dyDescent="0.6">
      <c r="A96">
        <v>60</v>
      </c>
      <c r="B96" t="s">
        <v>92</v>
      </c>
      <c r="C96" t="s">
        <v>181</v>
      </c>
      <c r="D96">
        <v>7.2727806370000003</v>
      </c>
      <c r="E96">
        <v>0.28212038499999997</v>
      </c>
      <c r="F96">
        <v>5.5981438380000004</v>
      </c>
      <c r="G96">
        <v>0.407850718</v>
      </c>
      <c r="H96">
        <v>4.5718383789999999</v>
      </c>
      <c r="I96">
        <v>0.32702967199999999</v>
      </c>
      <c r="J96">
        <f t="shared" si="16"/>
        <v>4.8472563562506208</v>
      </c>
      <c r="K96">
        <f t="shared" si="17"/>
        <v>1.6955260528230227</v>
      </c>
      <c r="L96">
        <f t="shared" si="18"/>
        <v>0.76744370448814447</v>
      </c>
      <c r="M96">
        <f t="shared" si="19"/>
        <v>0.78968512467213114</v>
      </c>
      <c r="N96">
        <f t="shared" si="20"/>
        <v>0.819915976710342</v>
      </c>
      <c r="O96">
        <f t="shared" si="21"/>
        <v>0.83289287749326624</v>
      </c>
      <c r="P96">
        <f t="shared" si="22"/>
        <v>0.80478666091533602</v>
      </c>
      <c r="Q96">
        <f t="shared" si="23"/>
        <v>0.83253201197140159</v>
      </c>
    </row>
    <row r="97" spans="1:17" x14ac:dyDescent="0.6">
      <c r="A97">
        <v>60</v>
      </c>
      <c r="B97" t="s">
        <v>92</v>
      </c>
      <c r="C97" t="s">
        <v>7</v>
      </c>
      <c r="D97">
        <v>7.2754630000000002</v>
      </c>
      <c r="E97">
        <v>0.28189999999999998</v>
      </c>
      <c r="F97">
        <v>5.5962430000000003</v>
      </c>
      <c r="G97">
        <v>0.40754000000000001</v>
      </c>
      <c r="H97">
        <v>4.4950559999999999</v>
      </c>
      <c r="I97">
        <v>0.33418700000000001</v>
      </c>
      <c r="J97">
        <f t="shared" si="16"/>
        <v>4.8431479445406724</v>
      </c>
      <c r="K97">
        <f t="shared" si="17"/>
        <v>1.6935628424948652</v>
      </c>
      <c r="L97">
        <f t="shared" si="18"/>
        <v>0.76587629634276166</v>
      </c>
      <c r="M97">
        <f t="shared" si="19"/>
        <v>0.79131016563273426</v>
      </c>
      <c r="N97">
        <f t="shared" si="20"/>
        <v>0.82107958702647499</v>
      </c>
      <c r="O97">
        <f t="shared" si="21"/>
        <v>0.83554175053852464</v>
      </c>
      <c r="P97">
        <f t="shared" si="22"/>
        <v>0.8342466978490588</v>
      </c>
      <c r="Q97">
        <f t="shared" si="23"/>
        <v>0.79509344715111874</v>
      </c>
    </row>
    <row r="98" spans="1:17" x14ac:dyDescent="0.6">
      <c r="A98">
        <v>90</v>
      </c>
      <c r="B98" t="s">
        <v>6</v>
      </c>
      <c r="C98" t="s">
        <v>174</v>
      </c>
      <c r="D98">
        <v>7.2350759900000003</v>
      </c>
      <c r="E98">
        <v>0.27836454999999999</v>
      </c>
      <c r="F98">
        <v>5.5138156839999999</v>
      </c>
      <c r="G98">
        <v>0.40101829300000003</v>
      </c>
      <c r="H98">
        <v>4.7568969729999999</v>
      </c>
      <c r="I98">
        <v>0.34506292300000002</v>
      </c>
      <c r="J98">
        <f t="shared" ref="J98:J129" si="24">SUM(L98:Q98)</f>
        <v>4.8415192654069106</v>
      </c>
      <c r="K98">
        <f t="shared" ref="K98:K129" si="25">0.5*SIN(RADIANS(60))*((L98*M98)+(M98*N98)+(N98*O98)+(O98*P98)+(P98*Q98)+(Q98*L98))</f>
        <v>1.6942567976584912</v>
      </c>
      <c r="L98">
        <f t="shared" ref="L98:L129" si="26">(MAX(D:D)-D98)/(MAX(D:D)-MIN(D:D))</f>
        <v>0.78947598379806094</v>
      </c>
      <c r="M98">
        <f t="shared" ref="M98:M129" si="27">(MAX(E:E)-E98)/(MAX(E:E)-MIN(E:E))</f>
        <v>0.817379322173173</v>
      </c>
      <c r="N98">
        <f t="shared" ref="N98:N129" si="28">(MAX(F:F)-F98)/(MAX(F:F)-MIN(F:F))</f>
        <v>0.87153800338218046</v>
      </c>
      <c r="O98">
        <f t="shared" ref="O98:O129" si="29">(MAX(G:G)-G98)/(MAX(G:G)-MIN(G:G))</f>
        <v>0.89113934669122319</v>
      </c>
      <c r="P98">
        <f t="shared" ref="P98:P129" si="30">(MAX(H:H)-H98)/(MAX(H:H)-MIN(H:H))</f>
        <v>0.73378296078066318</v>
      </c>
      <c r="Q98">
        <f t="shared" ref="Q98:Q129" si="31">(MAX(I:I)-I98)/(MAX(I:I)-MIN(I:I))</f>
        <v>0.73820364858161014</v>
      </c>
    </row>
    <row r="99" spans="1:17" x14ac:dyDescent="0.6">
      <c r="A99">
        <v>10</v>
      </c>
      <c r="B99" t="s">
        <v>92</v>
      </c>
      <c r="C99" t="s">
        <v>174</v>
      </c>
      <c r="D99">
        <v>7.2145968800000002</v>
      </c>
      <c r="E99">
        <v>0.27885130200000002</v>
      </c>
      <c r="F99">
        <v>5.5742862669999997</v>
      </c>
      <c r="G99">
        <v>0.40792730399999999</v>
      </c>
      <c r="H99">
        <v>4.6428222659999996</v>
      </c>
      <c r="I99">
        <v>0.337111353</v>
      </c>
      <c r="J99">
        <f t="shared" si="24"/>
        <v>4.8393415662108428</v>
      </c>
      <c r="K99">
        <f t="shared" si="25"/>
        <v>1.6905924535671988</v>
      </c>
      <c r="L99">
        <f t="shared" si="26"/>
        <v>0.80144271754147745</v>
      </c>
      <c r="M99">
        <f t="shared" si="27"/>
        <v>0.813790185264329</v>
      </c>
      <c r="N99">
        <f t="shared" si="28"/>
        <v>0.83452054360845418</v>
      </c>
      <c r="O99">
        <f t="shared" si="29"/>
        <v>0.83223998132682542</v>
      </c>
      <c r="P99">
        <f t="shared" si="30"/>
        <v>0.77755140251419697</v>
      </c>
      <c r="Q99">
        <f t="shared" si="31"/>
        <v>0.77979673595555976</v>
      </c>
    </row>
    <row r="100" spans="1:17" x14ac:dyDescent="0.6">
      <c r="A100">
        <v>60</v>
      </c>
      <c r="B100" t="s">
        <v>6</v>
      </c>
      <c r="C100" t="s">
        <v>171</v>
      </c>
      <c r="D100">
        <v>7.2983879600000003</v>
      </c>
      <c r="E100">
        <v>0.28452423599999999</v>
      </c>
      <c r="F100">
        <v>5.574669578</v>
      </c>
      <c r="G100">
        <v>0.40629008100000003</v>
      </c>
      <c r="H100">
        <v>4.5595092770000001</v>
      </c>
      <c r="I100">
        <v>0.32931139799999998</v>
      </c>
      <c r="J100">
        <f t="shared" si="24"/>
        <v>4.8350374263325469</v>
      </c>
      <c r="K100">
        <f t="shared" si="25"/>
        <v>1.6877414014595682</v>
      </c>
      <c r="L100">
        <f t="shared" si="26"/>
        <v>0.75248035812091152</v>
      </c>
      <c r="M100">
        <f t="shared" si="27"/>
        <v>0.77195997850434761</v>
      </c>
      <c r="N100">
        <f t="shared" si="28"/>
        <v>0.83428589729252012</v>
      </c>
      <c r="O100">
        <f t="shared" si="29"/>
        <v>0.84619731844207879</v>
      </c>
      <c r="P100">
        <f t="shared" si="30"/>
        <v>0.80951711867153076</v>
      </c>
      <c r="Q100">
        <f t="shared" si="31"/>
        <v>0.82059675530115761</v>
      </c>
    </row>
    <row r="101" spans="1:17" x14ac:dyDescent="0.6">
      <c r="A101">
        <v>10</v>
      </c>
      <c r="B101" t="s">
        <v>99</v>
      </c>
      <c r="C101" t="s">
        <v>181</v>
      </c>
      <c r="D101">
        <v>7.2158739809999997</v>
      </c>
      <c r="E101">
        <v>0.27892223100000002</v>
      </c>
      <c r="F101">
        <v>5.5692090060000004</v>
      </c>
      <c r="G101">
        <v>0.407560847</v>
      </c>
      <c r="H101">
        <v>4.6282958980000002</v>
      </c>
      <c r="I101">
        <v>0.34074605400000002</v>
      </c>
      <c r="J101">
        <f t="shared" si="24"/>
        <v>4.8308655370678926</v>
      </c>
      <c r="K101">
        <f t="shared" si="25"/>
        <v>1.6849657465375885</v>
      </c>
      <c r="L101">
        <f t="shared" si="26"/>
        <v>0.80069645817618063</v>
      </c>
      <c r="M101">
        <f t="shared" si="27"/>
        <v>0.81326717993141329</v>
      </c>
      <c r="N101">
        <f t="shared" si="28"/>
        <v>0.83762862187567033</v>
      </c>
      <c r="O101">
        <f t="shared" si="29"/>
        <v>0.83536402972294754</v>
      </c>
      <c r="P101">
        <f t="shared" si="30"/>
        <v>0.78312491226169823</v>
      </c>
      <c r="Q101">
        <f t="shared" si="31"/>
        <v>0.76078433509998256</v>
      </c>
    </row>
    <row r="102" spans="1:17" x14ac:dyDescent="0.6">
      <c r="A102">
        <v>90</v>
      </c>
      <c r="B102" t="s">
        <v>92</v>
      </c>
      <c r="C102" t="s">
        <v>167</v>
      </c>
      <c r="D102">
        <v>7.2921080690000002</v>
      </c>
      <c r="E102">
        <v>0.283581215</v>
      </c>
      <c r="F102">
        <v>5.5503464789999999</v>
      </c>
      <c r="G102">
        <v>0.40400552699999998</v>
      </c>
      <c r="H102">
        <v>4.6378173829999998</v>
      </c>
      <c r="I102">
        <v>0.33613716300000002</v>
      </c>
      <c r="J102">
        <f t="shared" si="24"/>
        <v>4.8142762371583503</v>
      </c>
      <c r="K102">
        <f t="shared" si="25"/>
        <v>1.6738468108376443</v>
      </c>
      <c r="L102">
        <f t="shared" si="26"/>
        <v>0.7561499406142268</v>
      </c>
      <c r="M102">
        <f t="shared" si="27"/>
        <v>0.7789134814728299</v>
      </c>
      <c r="N102">
        <f t="shared" si="28"/>
        <v>0.8491754401766175</v>
      </c>
      <c r="O102">
        <f t="shared" si="29"/>
        <v>0.86567315669746725</v>
      </c>
      <c r="P102">
        <f t="shared" si="30"/>
        <v>0.77947168734971839</v>
      </c>
      <c r="Q102">
        <f t="shared" si="31"/>
        <v>0.78489253084749022</v>
      </c>
    </row>
    <row r="103" spans="1:17" x14ac:dyDescent="0.6">
      <c r="A103">
        <v>90</v>
      </c>
      <c r="B103" t="s">
        <v>6</v>
      </c>
      <c r="C103" t="s">
        <v>177</v>
      </c>
      <c r="D103">
        <v>7.370630877</v>
      </c>
      <c r="E103">
        <v>0.28937258900000001</v>
      </c>
      <c r="F103">
        <v>5.6304655730000004</v>
      </c>
      <c r="G103">
        <v>0.40968825199999997</v>
      </c>
      <c r="H103">
        <v>4.3602294920000002</v>
      </c>
      <c r="I103">
        <v>0.32195833000000001</v>
      </c>
      <c r="J103">
        <f t="shared" si="24"/>
        <v>4.8088703152634142</v>
      </c>
      <c r="K103">
        <f t="shared" si="25"/>
        <v>1.6719356205819675</v>
      </c>
      <c r="L103">
        <f t="shared" si="26"/>
        <v>0.71026603569250879</v>
      </c>
      <c r="M103">
        <f t="shared" si="27"/>
        <v>0.73620994008765206</v>
      </c>
      <c r="N103">
        <f t="shared" si="28"/>
        <v>0.80013001689613705</v>
      </c>
      <c r="O103">
        <f t="shared" si="29"/>
        <v>0.81722788775225952</v>
      </c>
      <c r="P103">
        <f t="shared" si="30"/>
        <v>0.88597723755172741</v>
      </c>
      <c r="Q103">
        <f t="shared" si="31"/>
        <v>0.85905919728312985</v>
      </c>
    </row>
    <row r="104" spans="1:17" x14ac:dyDescent="0.6">
      <c r="A104">
        <v>30</v>
      </c>
      <c r="B104" t="s">
        <v>99</v>
      </c>
      <c r="C104" t="s">
        <v>7</v>
      </c>
      <c r="D104">
        <v>7.2696249999999996</v>
      </c>
      <c r="E104">
        <v>0.28449999999999998</v>
      </c>
      <c r="F104">
        <v>5.5980309999999998</v>
      </c>
      <c r="G104">
        <v>0.40990300000000002</v>
      </c>
      <c r="H104">
        <v>4.5358890000000001</v>
      </c>
      <c r="I104">
        <v>0.332318</v>
      </c>
      <c r="J104">
        <f t="shared" si="24"/>
        <v>4.8002581777839293</v>
      </c>
      <c r="K104">
        <f t="shared" si="25"/>
        <v>1.6633085977538713</v>
      </c>
      <c r="L104">
        <f t="shared" si="26"/>
        <v>0.76928766488339029</v>
      </c>
      <c r="M104">
        <f t="shared" si="27"/>
        <v>0.77213868618736226</v>
      </c>
      <c r="N104">
        <f t="shared" si="28"/>
        <v>0.81998505122424192</v>
      </c>
      <c r="O104">
        <f t="shared" si="29"/>
        <v>0.81539715960415327</v>
      </c>
      <c r="P104">
        <f t="shared" si="30"/>
        <v>0.81857980000372499</v>
      </c>
      <c r="Q104">
        <f t="shared" si="31"/>
        <v>0.80486981588105666</v>
      </c>
    </row>
    <row r="105" spans="1:17" x14ac:dyDescent="0.6">
      <c r="A105">
        <v>20</v>
      </c>
      <c r="B105" t="s">
        <v>9</v>
      </c>
      <c r="C105" t="s">
        <v>181</v>
      </c>
      <c r="D105">
        <v>7.1281889889999999</v>
      </c>
      <c r="E105">
        <v>0.272805046</v>
      </c>
      <c r="F105">
        <v>5.509611907</v>
      </c>
      <c r="G105">
        <v>0.40321809600000003</v>
      </c>
      <c r="H105">
        <v>4.9033813479999999</v>
      </c>
      <c r="I105">
        <v>0.35899666800000002</v>
      </c>
      <c r="J105">
        <f t="shared" si="24"/>
        <v>4.799703194057968</v>
      </c>
      <c r="K105">
        <f t="shared" si="25"/>
        <v>1.66834556673646</v>
      </c>
      <c r="L105">
        <f t="shared" si="26"/>
        <v>0.85193418054583414</v>
      </c>
      <c r="M105">
        <f t="shared" si="27"/>
        <v>0.85837313627412049</v>
      </c>
      <c r="N105">
        <f t="shared" si="28"/>
        <v>0.87411137275080741</v>
      </c>
      <c r="O105">
        <f t="shared" si="29"/>
        <v>0.87238601128233484</v>
      </c>
      <c r="P105">
        <f t="shared" si="30"/>
        <v>0.67757950428560865</v>
      </c>
      <c r="Q105">
        <f t="shared" si="31"/>
        <v>0.66531898891926267</v>
      </c>
    </row>
    <row r="106" spans="1:17" x14ac:dyDescent="0.6">
      <c r="A106">
        <v>30</v>
      </c>
      <c r="B106" t="s">
        <v>99</v>
      </c>
      <c r="C106" t="s">
        <v>181</v>
      </c>
      <c r="D106">
        <v>7.2015741179999999</v>
      </c>
      <c r="E106">
        <v>0.277904135</v>
      </c>
      <c r="F106">
        <v>5.4982489430000001</v>
      </c>
      <c r="G106">
        <v>0.40196100699999998</v>
      </c>
      <c r="H106">
        <v>4.8254394530000004</v>
      </c>
      <c r="I106">
        <v>0.35399384299999997</v>
      </c>
      <c r="J106">
        <f t="shared" si="24"/>
        <v>4.7929688696671473</v>
      </c>
      <c r="K106">
        <f t="shared" si="25"/>
        <v>1.6622178750044192</v>
      </c>
      <c r="L106">
        <f t="shared" si="26"/>
        <v>0.80905241959678575</v>
      </c>
      <c r="M106">
        <f t="shared" si="27"/>
        <v>0.82077425936888093</v>
      </c>
      <c r="N106">
        <f t="shared" si="28"/>
        <v>0.88106728489705377</v>
      </c>
      <c r="O106">
        <f t="shared" si="29"/>
        <v>0.88310270348423869</v>
      </c>
      <c r="P106">
        <f t="shared" si="30"/>
        <v>0.70748442694220315</v>
      </c>
      <c r="Q106">
        <f t="shared" si="31"/>
        <v>0.69148777537798478</v>
      </c>
    </row>
    <row r="107" spans="1:17" x14ac:dyDescent="0.6">
      <c r="A107">
        <v>5</v>
      </c>
      <c r="B107" t="s">
        <v>99</v>
      </c>
      <c r="C107" t="s">
        <v>184</v>
      </c>
      <c r="D107">
        <v>7.2530679109999996</v>
      </c>
      <c r="E107">
        <v>0.283716248</v>
      </c>
      <c r="F107">
        <v>5.5204914309999999</v>
      </c>
      <c r="G107">
        <v>0.40481444799999999</v>
      </c>
      <c r="H107">
        <v>4.6929931639999998</v>
      </c>
      <c r="I107">
        <v>0.343381679</v>
      </c>
      <c r="J107">
        <f t="shared" si="24"/>
        <v>4.7884085294054479</v>
      </c>
      <c r="K107">
        <f t="shared" si="25"/>
        <v>1.6563894326084863</v>
      </c>
      <c r="L107">
        <f t="shared" si="26"/>
        <v>0.77896261050500415</v>
      </c>
      <c r="M107">
        <f t="shared" si="27"/>
        <v>0.77791779594054256</v>
      </c>
      <c r="N107">
        <f t="shared" si="28"/>
        <v>0.86745140153757649</v>
      </c>
      <c r="O107">
        <f t="shared" si="29"/>
        <v>0.85877709971768601</v>
      </c>
      <c r="P107">
        <f t="shared" si="30"/>
        <v>0.75830171883250175</v>
      </c>
      <c r="Q107">
        <f t="shared" si="31"/>
        <v>0.74699790287213763</v>
      </c>
    </row>
    <row r="108" spans="1:17" x14ac:dyDescent="0.6">
      <c r="A108">
        <v>20</v>
      </c>
      <c r="B108" t="s">
        <v>9</v>
      </c>
      <c r="C108" t="s">
        <v>7</v>
      </c>
      <c r="D108">
        <v>7.2321264129999996</v>
      </c>
      <c r="E108">
        <v>0.27998303400000002</v>
      </c>
      <c r="F108">
        <v>5.5785319009999998</v>
      </c>
      <c r="G108">
        <v>0.407922587</v>
      </c>
      <c r="H108">
        <v>4.6625366210000001</v>
      </c>
      <c r="I108">
        <v>0.34455413699999998</v>
      </c>
      <c r="J108">
        <f t="shared" si="24"/>
        <v>4.7716988361001658</v>
      </c>
      <c r="K108">
        <f t="shared" si="25"/>
        <v>1.6442362080875743</v>
      </c>
      <c r="L108">
        <f t="shared" si="26"/>
        <v>0.79119953538866783</v>
      </c>
      <c r="M108">
        <f t="shared" si="27"/>
        <v>0.80544519419676364</v>
      </c>
      <c r="N108">
        <f t="shared" si="28"/>
        <v>0.83192155120566935</v>
      </c>
      <c r="O108">
        <f t="shared" si="29"/>
        <v>0.83228019378363338</v>
      </c>
      <c r="P108">
        <f t="shared" si="30"/>
        <v>0.76998735417408848</v>
      </c>
      <c r="Q108">
        <f t="shared" si="31"/>
        <v>0.74086500735134286</v>
      </c>
    </row>
    <row r="109" spans="1:17" x14ac:dyDescent="0.6">
      <c r="A109">
        <v>60</v>
      </c>
      <c r="B109" t="s">
        <v>92</v>
      </c>
      <c r="C109" t="s">
        <v>8</v>
      </c>
      <c r="D109">
        <v>7.3410529999999996</v>
      </c>
      <c r="E109">
        <v>0.28810000000000002</v>
      </c>
      <c r="F109">
        <v>5.6173570000000002</v>
      </c>
      <c r="G109">
        <v>0.40954499999999999</v>
      </c>
      <c r="H109">
        <v>4.5057980000000004</v>
      </c>
      <c r="I109">
        <v>0.330175</v>
      </c>
      <c r="J109">
        <f t="shared" si="24"/>
        <v>4.7459513249320464</v>
      </c>
      <c r="K109">
        <f t="shared" si="25"/>
        <v>1.6268485937161985</v>
      </c>
      <c r="L109">
        <f t="shared" si="26"/>
        <v>0.72754952988510435</v>
      </c>
      <c r="M109">
        <f t="shared" si="27"/>
        <v>0.74559356080146222</v>
      </c>
      <c r="N109">
        <f t="shared" si="28"/>
        <v>0.80815451491889412</v>
      </c>
      <c r="O109">
        <f t="shared" si="29"/>
        <v>0.81844911201824777</v>
      </c>
      <c r="P109">
        <f t="shared" si="30"/>
        <v>0.83012518297984561</v>
      </c>
      <c r="Q109">
        <f t="shared" si="31"/>
        <v>0.81607942432849201</v>
      </c>
    </row>
    <row r="110" spans="1:17" x14ac:dyDescent="0.6">
      <c r="A110">
        <v>60</v>
      </c>
      <c r="B110" t="s">
        <v>9</v>
      </c>
      <c r="C110" t="s">
        <v>167</v>
      </c>
      <c r="D110">
        <v>7.4323322310000002</v>
      </c>
      <c r="E110">
        <v>0.29545744299999999</v>
      </c>
      <c r="F110">
        <v>5.6471321799999998</v>
      </c>
      <c r="G110">
        <v>0.41171675800000002</v>
      </c>
      <c r="H110">
        <v>4.3988647460000001</v>
      </c>
      <c r="I110">
        <v>0.31071314799999999</v>
      </c>
      <c r="J110">
        <f t="shared" si="24"/>
        <v>4.7444503342372109</v>
      </c>
      <c r="K110">
        <f t="shared" si="25"/>
        <v>1.627884623403687</v>
      </c>
      <c r="L110">
        <f t="shared" si="26"/>
        <v>0.67421155505705721</v>
      </c>
      <c r="M110">
        <f t="shared" si="27"/>
        <v>0.69134238109184842</v>
      </c>
      <c r="N110">
        <f t="shared" si="28"/>
        <v>0.78992744527239422</v>
      </c>
      <c r="O110">
        <f t="shared" si="29"/>
        <v>0.79993486042347461</v>
      </c>
      <c r="P110">
        <f t="shared" si="30"/>
        <v>0.8711535758651866</v>
      </c>
      <c r="Q110">
        <f t="shared" si="31"/>
        <v>0.91788051652724956</v>
      </c>
    </row>
    <row r="111" spans="1:17" x14ac:dyDescent="0.6">
      <c r="A111">
        <v>20</v>
      </c>
      <c r="B111" t="s">
        <v>9</v>
      </c>
      <c r="C111" t="s">
        <v>177</v>
      </c>
      <c r="D111">
        <v>7.177066902</v>
      </c>
      <c r="E111">
        <v>0.27684675399999997</v>
      </c>
      <c r="F111">
        <v>5.5409432870000002</v>
      </c>
      <c r="G111">
        <v>0.40575503699999999</v>
      </c>
      <c r="H111">
        <v>4.8645629880000003</v>
      </c>
      <c r="I111">
        <v>0.35346824999999998</v>
      </c>
      <c r="J111">
        <f t="shared" si="24"/>
        <v>4.7443446495636641</v>
      </c>
      <c r="K111">
        <f t="shared" si="25"/>
        <v>1.627876341725031</v>
      </c>
      <c r="L111">
        <f t="shared" si="26"/>
        <v>0.82337293101863918</v>
      </c>
      <c r="M111">
        <f t="shared" si="27"/>
        <v>0.82857101248712228</v>
      </c>
      <c r="N111">
        <f t="shared" si="28"/>
        <v>0.85493166517621133</v>
      </c>
      <c r="O111">
        <f t="shared" si="29"/>
        <v>0.85075857215003081</v>
      </c>
      <c r="P111">
        <f t="shared" si="30"/>
        <v>0.69247342049659943</v>
      </c>
      <c r="Q111">
        <f t="shared" si="31"/>
        <v>0.69423704823506027</v>
      </c>
    </row>
    <row r="112" spans="1:17" x14ac:dyDescent="0.6">
      <c r="A112">
        <v>20</v>
      </c>
      <c r="B112" t="s">
        <v>99</v>
      </c>
      <c r="C112" t="s">
        <v>174</v>
      </c>
      <c r="D112" s="13">
        <v>7.1590788879999998</v>
      </c>
      <c r="E112">
        <v>0.273630822</v>
      </c>
      <c r="F112" s="13">
        <v>5.5988294810000001</v>
      </c>
      <c r="G112" s="13">
        <v>0.40915770499999998</v>
      </c>
      <c r="H112">
        <v>4.8211669920000002</v>
      </c>
      <c r="I112" s="13">
        <v>0.35089346500000002</v>
      </c>
      <c r="J112">
        <f t="shared" si="24"/>
        <v>4.7442441710518253</v>
      </c>
      <c r="K112">
        <f t="shared" si="25"/>
        <v>1.6269539189346469</v>
      </c>
      <c r="L112">
        <f t="shared" si="26"/>
        <v>0.83388402130092432</v>
      </c>
      <c r="M112">
        <f t="shared" si="27"/>
        <v>0.85228415642393529</v>
      </c>
      <c r="N112">
        <f t="shared" si="28"/>
        <v>0.8194962558987926</v>
      </c>
      <c r="O112">
        <f t="shared" si="29"/>
        <v>0.82175080450488658</v>
      </c>
      <c r="P112">
        <f t="shared" si="30"/>
        <v>0.70912369444728918</v>
      </c>
      <c r="Q112">
        <f t="shared" si="31"/>
        <v>0.70770523847599809</v>
      </c>
    </row>
    <row r="113" spans="1:17" x14ac:dyDescent="0.6">
      <c r="A113">
        <v>90</v>
      </c>
      <c r="B113" t="s">
        <v>9</v>
      </c>
      <c r="C113" t="s">
        <v>181</v>
      </c>
      <c r="D113">
        <v>7.3002686810000004</v>
      </c>
      <c r="E113">
        <v>0.28381473899999998</v>
      </c>
      <c r="F113" s="13">
        <v>5.6132185430000003</v>
      </c>
      <c r="G113" s="13">
        <v>0.40838073400000002</v>
      </c>
      <c r="H113">
        <v>4.5768432619999997</v>
      </c>
      <c r="I113" s="13">
        <v>0.33887917499999998</v>
      </c>
      <c r="J113">
        <f t="shared" si="24"/>
        <v>4.7410513096132263</v>
      </c>
      <c r="K113">
        <f t="shared" si="25"/>
        <v>1.6230525268191487</v>
      </c>
      <c r="L113">
        <f t="shared" si="26"/>
        <v>0.7513813803111995</v>
      </c>
      <c r="M113">
        <f t="shared" si="27"/>
        <v>0.77719155817821417</v>
      </c>
      <c r="N113">
        <f t="shared" si="28"/>
        <v>0.81068789822566312</v>
      </c>
      <c r="O113">
        <f t="shared" si="29"/>
        <v>0.8283744875192196</v>
      </c>
      <c r="P113">
        <f t="shared" si="30"/>
        <v>0.8028663760798147</v>
      </c>
      <c r="Q113">
        <f t="shared" si="31"/>
        <v>0.77054960929911465</v>
      </c>
    </row>
    <row r="114" spans="1:17" x14ac:dyDescent="0.6">
      <c r="A114">
        <v>90</v>
      </c>
      <c r="B114" t="s">
        <v>92</v>
      </c>
      <c r="C114" t="s">
        <v>174</v>
      </c>
      <c r="D114">
        <v>7.3084167630000003</v>
      </c>
      <c r="E114">
        <v>0.28416694399999998</v>
      </c>
      <c r="F114">
        <v>5.5689722350000004</v>
      </c>
      <c r="G114">
        <v>0.40508889300000001</v>
      </c>
      <c r="H114">
        <v>4.6488647460000001</v>
      </c>
      <c r="I114">
        <v>0.342944939</v>
      </c>
      <c r="J114">
        <f t="shared" si="24"/>
        <v>4.7399410954044843</v>
      </c>
      <c r="K114">
        <f t="shared" si="25"/>
        <v>1.6233644965107734</v>
      </c>
      <c r="L114">
        <f t="shared" si="26"/>
        <v>0.74662014177038771</v>
      </c>
      <c r="M114">
        <f t="shared" si="27"/>
        <v>0.77459452320973066</v>
      </c>
      <c r="N114">
        <f t="shared" si="28"/>
        <v>0.83777356277971426</v>
      </c>
      <c r="O114">
        <f t="shared" si="29"/>
        <v>0.85643745424202633</v>
      </c>
      <c r="P114">
        <f t="shared" si="30"/>
        <v>0.77523301011362689</v>
      </c>
      <c r="Q114">
        <f t="shared" si="31"/>
        <v>0.74928240328899853</v>
      </c>
    </row>
    <row r="115" spans="1:17" x14ac:dyDescent="0.6">
      <c r="A115">
        <v>90</v>
      </c>
      <c r="B115" t="s">
        <v>6</v>
      </c>
      <c r="C115" t="s">
        <v>167</v>
      </c>
      <c r="D115">
        <v>7.3061403399999998</v>
      </c>
      <c r="E115">
        <v>0.28382217500000001</v>
      </c>
      <c r="F115">
        <v>5.5949656870000002</v>
      </c>
      <c r="G115">
        <v>0.40689484100000001</v>
      </c>
      <c r="H115">
        <v>4.6087646480000002</v>
      </c>
      <c r="I115">
        <v>0.34112878400000002</v>
      </c>
      <c r="J115">
        <f t="shared" si="24"/>
        <v>4.7373913658518427</v>
      </c>
      <c r="K115">
        <f t="shared" si="25"/>
        <v>1.6210093048941951</v>
      </c>
      <c r="L115">
        <f t="shared" si="26"/>
        <v>0.74795034351882284</v>
      </c>
      <c r="M115">
        <f t="shared" si="27"/>
        <v>0.77713672774700027</v>
      </c>
      <c r="N115">
        <f t="shared" si="28"/>
        <v>0.82186150246783862</v>
      </c>
      <c r="O115">
        <f t="shared" si="29"/>
        <v>0.84104173536401272</v>
      </c>
      <c r="P115">
        <f t="shared" si="30"/>
        <v>0.79061870646103882</v>
      </c>
      <c r="Q115">
        <f t="shared" si="31"/>
        <v>0.75878235029312913</v>
      </c>
    </row>
    <row r="116" spans="1:17" x14ac:dyDescent="0.6">
      <c r="A116">
        <v>5</v>
      </c>
      <c r="B116" t="s">
        <v>92</v>
      </c>
      <c r="C116" t="s">
        <v>171</v>
      </c>
      <c r="D116">
        <v>7.3180839579999999</v>
      </c>
      <c r="E116">
        <v>0.288439891</v>
      </c>
      <c r="F116">
        <v>5.6063993380000001</v>
      </c>
      <c r="G116">
        <v>0.410949332</v>
      </c>
      <c r="H116">
        <v>4.5218505860000002</v>
      </c>
      <c r="I116">
        <v>0.33376193199999998</v>
      </c>
      <c r="J116">
        <f t="shared" si="24"/>
        <v>4.7266810269975537</v>
      </c>
      <c r="K116">
        <f t="shared" si="25"/>
        <v>1.6132099733356935</v>
      </c>
      <c r="L116">
        <f t="shared" si="26"/>
        <v>0.74097122691956263</v>
      </c>
      <c r="M116">
        <f t="shared" si="27"/>
        <v>0.74308732490909035</v>
      </c>
      <c r="N116">
        <f t="shared" si="28"/>
        <v>0.81486231881585824</v>
      </c>
      <c r="O116">
        <f t="shared" si="29"/>
        <v>0.8064771722484434</v>
      </c>
      <c r="P116">
        <f t="shared" si="30"/>
        <v>0.82396609045626334</v>
      </c>
      <c r="Q116">
        <f t="shared" si="31"/>
        <v>0.79731689364833513</v>
      </c>
    </row>
    <row r="117" spans="1:17" x14ac:dyDescent="0.6">
      <c r="A117">
        <v>10</v>
      </c>
      <c r="B117" t="s">
        <v>6</v>
      </c>
      <c r="C117" t="s">
        <v>7</v>
      </c>
      <c r="D117">
        <v>7.2635887139999999</v>
      </c>
      <c r="E117">
        <v>0.28290686100000001</v>
      </c>
      <c r="F117">
        <v>5.606741306</v>
      </c>
      <c r="G117">
        <v>0.410417223</v>
      </c>
      <c r="H117">
        <v>4.6005249020000001</v>
      </c>
      <c r="I117">
        <v>0.34298178099999999</v>
      </c>
      <c r="J117">
        <f t="shared" si="24"/>
        <v>4.7252370555740457</v>
      </c>
      <c r="K117">
        <f t="shared" si="25"/>
        <v>1.6118355549728514</v>
      </c>
      <c r="L117">
        <f t="shared" si="26"/>
        <v>0.7728148995806553</v>
      </c>
      <c r="M117">
        <f t="shared" si="27"/>
        <v>0.7838859291074084</v>
      </c>
      <c r="N117">
        <f t="shared" si="28"/>
        <v>0.81465298088564686</v>
      </c>
      <c r="O117">
        <f t="shared" si="29"/>
        <v>0.81101340506160358</v>
      </c>
      <c r="P117">
        <f t="shared" si="30"/>
        <v>0.79378015085291542</v>
      </c>
      <c r="Q117">
        <f t="shared" si="31"/>
        <v>0.74908969008581594</v>
      </c>
    </row>
    <row r="118" spans="1:17" x14ac:dyDescent="0.6">
      <c r="A118">
        <v>10</v>
      </c>
      <c r="B118" t="s">
        <v>6</v>
      </c>
      <c r="C118" t="s">
        <v>174</v>
      </c>
      <c r="D118">
        <v>7.266034415</v>
      </c>
      <c r="E118">
        <v>0.28537178400000002</v>
      </c>
      <c r="F118">
        <v>5.5441462420000001</v>
      </c>
      <c r="G118">
        <v>0.40684344700000002</v>
      </c>
      <c r="H118">
        <v>4.6900024409999999</v>
      </c>
      <c r="I118">
        <v>0.34720037399999998</v>
      </c>
      <c r="J118">
        <f t="shared" si="24"/>
        <v>4.7180193389081744</v>
      </c>
      <c r="K118">
        <f t="shared" si="25"/>
        <v>1.6080179555957286</v>
      </c>
      <c r="L118">
        <f t="shared" si="26"/>
        <v>0.77138578216866771</v>
      </c>
      <c r="M118">
        <f t="shared" si="27"/>
        <v>0.76571045963474493</v>
      </c>
      <c r="N118">
        <f t="shared" si="28"/>
        <v>0.85297095548916313</v>
      </c>
      <c r="O118">
        <f t="shared" si="29"/>
        <v>0.84147986956057674</v>
      </c>
      <c r="P118">
        <f t="shared" si="30"/>
        <v>0.75944920620116652</v>
      </c>
      <c r="Q118">
        <f t="shared" si="31"/>
        <v>0.72702306585385523</v>
      </c>
    </row>
    <row r="119" spans="1:17" x14ac:dyDescent="0.6">
      <c r="A119">
        <v>30</v>
      </c>
      <c r="B119" t="s">
        <v>92</v>
      </c>
      <c r="C119" t="s">
        <v>177</v>
      </c>
      <c r="D119">
        <v>7.4298276870000004</v>
      </c>
      <c r="E119">
        <v>0.296828441</v>
      </c>
      <c r="F119">
        <v>5.6015613149999997</v>
      </c>
      <c r="G119">
        <v>0.41004964300000002</v>
      </c>
      <c r="H119">
        <v>4.3900146480000002</v>
      </c>
      <c r="I119">
        <v>0.32433594399999999</v>
      </c>
      <c r="J119">
        <f t="shared" si="24"/>
        <v>4.7100507279621917</v>
      </c>
      <c r="K119">
        <f t="shared" si="25"/>
        <v>1.6054881652380097</v>
      </c>
      <c r="L119">
        <f t="shared" si="26"/>
        <v>0.67567505670320627</v>
      </c>
      <c r="M119">
        <f t="shared" si="27"/>
        <v>0.68123312725467666</v>
      </c>
      <c r="N119">
        <f t="shared" si="28"/>
        <v>0.81782394598897279</v>
      </c>
      <c r="O119">
        <f t="shared" si="29"/>
        <v>0.81414702704029829</v>
      </c>
      <c r="P119">
        <f t="shared" si="30"/>
        <v>0.87454920149365356</v>
      </c>
      <c r="Q119">
        <f t="shared" si="31"/>
        <v>0.84662236948138447</v>
      </c>
    </row>
    <row r="120" spans="1:17" x14ac:dyDescent="0.6">
      <c r="A120">
        <v>90</v>
      </c>
      <c r="B120" t="s">
        <v>92</v>
      </c>
      <c r="C120" t="s">
        <v>181</v>
      </c>
      <c r="D120">
        <v>7.3029645209999998</v>
      </c>
      <c r="E120">
        <v>0.28436727000000001</v>
      </c>
      <c r="F120">
        <v>5.5629180490000003</v>
      </c>
      <c r="G120">
        <v>0.40486600099999998</v>
      </c>
      <c r="H120">
        <v>4.8130493159999999</v>
      </c>
      <c r="I120">
        <v>0.34186826100000001</v>
      </c>
      <c r="J120">
        <f t="shared" si="24"/>
        <v>4.6898933646681886</v>
      </c>
      <c r="K120">
        <f t="shared" si="25"/>
        <v>1.5881102354780154</v>
      </c>
      <c r="L120">
        <f t="shared" si="26"/>
        <v>0.74980609703498069</v>
      </c>
      <c r="M120">
        <f t="shared" si="27"/>
        <v>0.77311739021304826</v>
      </c>
      <c r="N120">
        <f t="shared" si="28"/>
        <v>0.84147967202489315</v>
      </c>
      <c r="O120">
        <f t="shared" si="29"/>
        <v>0.85833761004504983</v>
      </c>
      <c r="P120">
        <f t="shared" si="30"/>
        <v>0.71223830274532074</v>
      </c>
      <c r="Q120">
        <f t="shared" si="31"/>
        <v>0.75491429260489573</v>
      </c>
    </row>
    <row r="121" spans="1:17" x14ac:dyDescent="0.6">
      <c r="A121">
        <v>10</v>
      </c>
      <c r="B121" t="s">
        <v>92</v>
      </c>
      <c r="C121" t="s">
        <v>181</v>
      </c>
      <c r="D121">
        <v>7.3240493940000002</v>
      </c>
      <c r="E121">
        <v>0.28785570399999999</v>
      </c>
      <c r="F121">
        <v>5.6368057120000001</v>
      </c>
      <c r="G121">
        <v>0.41269565499999999</v>
      </c>
      <c r="H121">
        <v>4.5382690429999997</v>
      </c>
      <c r="I121">
        <v>0.33392464999999999</v>
      </c>
      <c r="J121">
        <f t="shared" si="24"/>
        <v>4.6868512899297743</v>
      </c>
      <c r="K121">
        <f t="shared" si="25"/>
        <v>1.5859044527580337</v>
      </c>
      <c r="L121">
        <f t="shared" si="26"/>
        <v>0.73748539260960511</v>
      </c>
      <c r="M121">
        <f t="shared" si="27"/>
        <v>0.7473949130101496</v>
      </c>
      <c r="N121">
        <f t="shared" si="28"/>
        <v>0.79624885966647507</v>
      </c>
      <c r="O121">
        <f t="shared" si="29"/>
        <v>0.79158975689749789</v>
      </c>
      <c r="P121">
        <f t="shared" si="30"/>
        <v>0.817666619719433</v>
      </c>
      <c r="Q121">
        <f t="shared" si="31"/>
        <v>0.79646574802661341</v>
      </c>
    </row>
    <row r="122" spans="1:17" x14ac:dyDescent="0.6">
      <c r="A122">
        <v>5</v>
      </c>
      <c r="B122" t="s">
        <v>9</v>
      </c>
      <c r="C122" t="s">
        <v>184</v>
      </c>
      <c r="D122">
        <v>7.3245217519999999</v>
      </c>
      <c r="E122">
        <v>0.28909242499999999</v>
      </c>
      <c r="F122">
        <v>5.5709968339999998</v>
      </c>
      <c r="G122">
        <v>0.40837718299999998</v>
      </c>
      <c r="H122">
        <v>4.6185302730000002</v>
      </c>
      <c r="I122">
        <v>0.34320772100000002</v>
      </c>
      <c r="J122">
        <f t="shared" si="24"/>
        <v>4.675203749093777</v>
      </c>
      <c r="K122">
        <f t="shared" si="25"/>
        <v>1.5790095146469239</v>
      </c>
      <c r="L122">
        <f t="shared" si="26"/>
        <v>0.73720937561386801</v>
      </c>
      <c r="M122">
        <f t="shared" si="27"/>
        <v>0.7382757702289342</v>
      </c>
      <c r="N122">
        <f t="shared" si="28"/>
        <v>0.83653419136435336</v>
      </c>
      <c r="O122">
        <f t="shared" si="29"/>
        <v>0.8284047598181653</v>
      </c>
      <c r="P122">
        <f t="shared" si="30"/>
        <v>0.78687180936136847</v>
      </c>
      <c r="Q122">
        <f t="shared" si="31"/>
        <v>0.74790784270708799</v>
      </c>
    </row>
    <row r="123" spans="1:17" x14ac:dyDescent="0.6">
      <c r="A123">
        <v>60</v>
      </c>
      <c r="B123" t="s">
        <v>6</v>
      </c>
      <c r="C123" t="s">
        <v>177</v>
      </c>
      <c r="D123">
        <v>7.2612476140000002</v>
      </c>
      <c r="E123">
        <v>0.28027560899999998</v>
      </c>
      <c r="F123">
        <v>5.649516019</v>
      </c>
      <c r="G123">
        <v>0.41121107299999998</v>
      </c>
      <c r="H123">
        <v>4.7030029300000002</v>
      </c>
      <c r="I123">
        <v>0.34549559699999999</v>
      </c>
      <c r="J123">
        <f t="shared" si="24"/>
        <v>4.6605863013152344</v>
      </c>
      <c r="K123">
        <f t="shared" si="25"/>
        <v>1.5680013494901395</v>
      </c>
      <c r="L123">
        <f t="shared" si="26"/>
        <v>0.77418289459443812</v>
      </c>
      <c r="M123">
        <f t="shared" si="27"/>
        <v>0.8032878497357141</v>
      </c>
      <c r="N123">
        <f t="shared" si="28"/>
        <v>0.78846816275994436</v>
      </c>
      <c r="O123">
        <f t="shared" si="29"/>
        <v>0.80424582845845061</v>
      </c>
      <c r="P123">
        <f t="shared" si="30"/>
        <v>0.75446114916145868</v>
      </c>
      <c r="Q123">
        <f t="shared" si="31"/>
        <v>0.7359404166052288</v>
      </c>
    </row>
    <row r="124" spans="1:17" x14ac:dyDescent="0.6">
      <c r="A124">
        <v>10</v>
      </c>
      <c r="B124" t="s">
        <v>9</v>
      </c>
      <c r="C124" t="s">
        <v>167</v>
      </c>
      <c r="D124">
        <v>7.2537872449999998</v>
      </c>
      <c r="E124">
        <v>0.28388472100000001</v>
      </c>
      <c r="F124">
        <v>5.5576533760000002</v>
      </c>
      <c r="G124">
        <v>0.40754601099999999</v>
      </c>
      <c r="H124">
        <v>4.7627563479999999</v>
      </c>
      <c r="I124">
        <v>0.35536452400000001</v>
      </c>
      <c r="J124">
        <f t="shared" si="24"/>
        <v>4.6512636312181979</v>
      </c>
      <c r="K124">
        <f t="shared" si="25"/>
        <v>1.5636256449214121</v>
      </c>
      <c r="L124">
        <f t="shared" si="26"/>
        <v>0.77854227590791514</v>
      </c>
      <c r="M124">
        <f t="shared" si="27"/>
        <v>0.77667553568800396</v>
      </c>
      <c r="N124">
        <f t="shared" si="28"/>
        <v>0.8447024757640158</v>
      </c>
      <c r="O124">
        <f t="shared" si="29"/>
        <v>0.83549050672299108</v>
      </c>
      <c r="P124">
        <f t="shared" si="30"/>
        <v>0.73153482252086111</v>
      </c>
      <c r="Q124">
        <f t="shared" si="31"/>
        <v>0.68431801461441055</v>
      </c>
    </row>
    <row r="125" spans="1:17" x14ac:dyDescent="0.6">
      <c r="A125">
        <v>30</v>
      </c>
      <c r="B125" t="s">
        <v>99</v>
      </c>
      <c r="C125" t="s">
        <v>8</v>
      </c>
      <c r="D125">
        <v>7.1938149999999998</v>
      </c>
      <c r="E125">
        <v>0.27739999999999998</v>
      </c>
      <c r="F125">
        <v>5.5053179999999999</v>
      </c>
      <c r="G125">
        <v>0.40247699999999997</v>
      </c>
      <c r="H125">
        <v>5.0181269999999998</v>
      </c>
      <c r="I125">
        <v>0.36741200000000002</v>
      </c>
      <c r="J125">
        <f t="shared" si="24"/>
        <v>4.648375406556708</v>
      </c>
      <c r="K125">
        <f t="shared" si="25"/>
        <v>1.5674491315831491</v>
      </c>
      <c r="L125">
        <f t="shared" si="26"/>
        <v>0.81358637147212354</v>
      </c>
      <c r="M125">
        <f t="shared" si="27"/>
        <v>0.82449157236510906</v>
      </c>
      <c r="N125">
        <f t="shared" si="28"/>
        <v>0.87673991578378307</v>
      </c>
      <c r="O125">
        <f t="shared" si="29"/>
        <v>0.8787038596797534</v>
      </c>
      <c r="P125">
        <f t="shared" si="30"/>
        <v>0.63355363285612232</v>
      </c>
      <c r="Q125">
        <f t="shared" si="31"/>
        <v>0.6213000543998165</v>
      </c>
    </row>
    <row r="126" spans="1:17" x14ac:dyDescent="0.6">
      <c r="A126">
        <v>30</v>
      </c>
      <c r="B126" t="s">
        <v>6</v>
      </c>
      <c r="C126" t="s">
        <v>174</v>
      </c>
      <c r="D126" s="13">
        <v>7.3132836040000004</v>
      </c>
      <c r="E126">
        <v>0.28748316899999998</v>
      </c>
      <c r="F126" s="13">
        <v>5.6368722269999996</v>
      </c>
      <c r="G126" s="13">
        <v>0.41241311899999999</v>
      </c>
      <c r="H126">
        <v>4.64453125</v>
      </c>
      <c r="I126" s="13">
        <v>0.33701328400000002</v>
      </c>
      <c r="J126">
        <f t="shared" si="24"/>
        <v>4.6413300444984502</v>
      </c>
      <c r="K126">
        <f t="shared" si="25"/>
        <v>1.5548809542882578</v>
      </c>
      <c r="L126">
        <f t="shared" si="26"/>
        <v>0.74377625888589993</v>
      </c>
      <c r="M126">
        <f t="shared" si="27"/>
        <v>0.75014185420060409</v>
      </c>
      <c r="N126">
        <f t="shared" si="28"/>
        <v>0.79620814207761326</v>
      </c>
      <c r="O126">
        <f t="shared" si="29"/>
        <v>0.79399837820271735</v>
      </c>
      <c r="P126">
        <f t="shared" si="30"/>
        <v>0.77689569566563543</v>
      </c>
      <c r="Q126">
        <f t="shared" si="31"/>
        <v>0.78030971546598038</v>
      </c>
    </row>
    <row r="127" spans="1:17" x14ac:dyDescent="0.6">
      <c r="A127">
        <v>60</v>
      </c>
      <c r="B127" t="s">
        <v>99</v>
      </c>
      <c r="C127" t="s">
        <v>174</v>
      </c>
      <c r="D127">
        <v>7.3278160569999997</v>
      </c>
      <c r="E127">
        <v>0.28613997499999999</v>
      </c>
      <c r="F127">
        <v>5.5937832920000004</v>
      </c>
      <c r="G127">
        <v>0.407418856</v>
      </c>
      <c r="H127">
        <v>4.7029418950000004</v>
      </c>
      <c r="I127">
        <v>0.34730410499999997</v>
      </c>
      <c r="J127">
        <f t="shared" si="24"/>
        <v>4.6354553312911193</v>
      </c>
      <c r="K127">
        <f t="shared" si="25"/>
        <v>1.5526438059556167</v>
      </c>
      <c r="L127">
        <f t="shared" si="26"/>
        <v>0.73528438615853509</v>
      </c>
      <c r="M127">
        <f t="shared" si="27"/>
        <v>0.76004609118604527</v>
      </c>
      <c r="N127">
        <f t="shared" si="28"/>
        <v>0.82258531323958439</v>
      </c>
      <c r="O127">
        <f t="shared" si="29"/>
        <v>0.83657450395543276</v>
      </c>
      <c r="P127">
        <f t="shared" si="30"/>
        <v>0.7544845672083812</v>
      </c>
      <c r="Q127">
        <f t="shared" si="31"/>
        <v>0.72648046954314094</v>
      </c>
    </row>
    <row r="128" spans="1:17" x14ac:dyDescent="0.6">
      <c r="A128">
        <v>60</v>
      </c>
      <c r="B128" t="s">
        <v>92</v>
      </c>
      <c r="C128" t="s">
        <v>171</v>
      </c>
      <c r="D128">
        <v>7.3124180179999998</v>
      </c>
      <c r="E128">
        <v>0.284874933</v>
      </c>
      <c r="F128">
        <v>5.6562527740000004</v>
      </c>
      <c r="G128">
        <v>0.41188939299999999</v>
      </c>
      <c r="H128">
        <v>4.6723022460000001</v>
      </c>
      <c r="I128">
        <v>0.341196043</v>
      </c>
      <c r="J128">
        <f t="shared" si="24"/>
        <v>4.6211344663806218</v>
      </c>
      <c r="K128">
        <f t="shared" si="25"/>
        <v>1.5414371047152997</v>
      </c>
      <c r="L128">
        <f t="shared" si="26"/>
        <v>0.74428205416675131</v>
      </c>
      <c r="M128">
        <f t="shared" si="27"/>
        <v>0.76937406299394229</v>
      </c>
      <c r="N128">
        <f t="shared" si="28"/>
        <v>0.78434421447226266</v>
      </c>
      <c r="O128">
        <f t="shared" si="29"/>
        <v>0.79846314588434852</v>
      </c>
      <c r="P128">
        <f t="shared" si="30"/>
        <v>0.76624045707441812</v>
      </c>
      <c r="Q128">
        <f t="shared" si="31"/>
        <v>0.75843053178889863</v>
      </c>
    </row>
    <row r="129" spans="1:17" x14ac:dyDescent="0.6">
      <c r="A129">
        <v>90</v>
      </c>
      <c r="B129" t="s">
        <v>99</v>
      </c>
      <c r="C129" t="s">
        <v>7</v>
      </c>
      <c r="D129">
        <v>7.3648809999999996</v>
      </c>
      <c r="E129">
        <v>0.28849999999999998</v>
      </c>
      <c r="F129" s="13">
        <v>5.6419259999999998</v>
      </c>
      <c r="G129" s="13">
        <v>0.41033900000000001</v>
      </c>
      <c r="H129">
        <v>4.6347659999999999</v>
      </c>
      <c r="I129">
        <v>0.33742</v>
      </c>
      <c r="J129">
        <f t="shared" si="24"/>
        <v>4.6198894253266269</v>
      </c>
      <c r="K129">
        <f t="shared" si="25"/>
        <v>1.5411668444356692</v>
      </c>
      <c r="L129">
        <f t="shared" si="26"/>
        <v>0.7136259105658016</v>
      </c>
      <c r="M129">
        <f t="shared" si="27"/>
        <v>0.74264410242525136</v>
      </c>
      <c r="N129">
        <f t="shared" si="28"/>
        <v>0.79311444214200899</v>
      </c>
      <c r="O129">
        <f t="shared" si="29"/>
        <v>0.81168025666408306</v>
      </c>
      <c r="P129">
        <f t="shared" si="30"/>
        <v>0.78064244888445711</v>
      </c>
      <c r="Q129">
        <f t="shared" si="31"/>
        <v>0.77818226464502527</v>
      </c>
    </row>
    <row r="130" spans="1:17" x14ac:dyDescent="0.6">
      <c r="A130">
        <v>5</v>
      </c>
      <c r="B130" t="s">
        <v>99</v>
      </c>
      <c r="C130" t="s">
        <v>181</v>
      </c>
      <c r="D130">
        <v>7.3164643829999996</v>
      </c>
      <c r="E130">
        <v>0.28857901899999999</v>
      </c>
      <c r="F130">
        <v>5.5876005099999997</v>
      </c>
      <c r="G130">
        <v>0.40965368699999999</v>
      </c>
      <c r="H130">
        <v>4.7071533199999998</v>
      </c>
      <c r="I130">
        <v>0.350443748</v>
      </c>
      <c r="J130">
        <f t="shared" ref="J130:J161" si="32">SUM(L130:Q130)</f>
        <v>4.5907980864609641</v>
      </c>
      <c r="K130">
        <f t="shared" ref="K130:K161" si="33">0.5*SIN(RADIANS(60))*((L130*M130)+(M130*N130)+(N130*O130)+(O130*P130)+(P130*Q130)+(Q130*L130))</f>
        <v>1.5225651862320588</v>
      </c>
      <c r="L130">
        <f t="shared" ref="L130:L161" si="34">(MAX(D:D)-D130)/(MAX(D:D)-MIN(D:D))</f>
        <v>0.74191760705046172</v>
      </c>
      <c r="M130">
        <f t="shared" ref="M130:M161" si="35">(MAX(E:E)-E130)/(MAX(E:E)-MIN(E:E))</f>
        <v>0.74206144429667675</v>
      </c>
      <c r="N130">
        <f t="shared" ref="N130:N161" si="36">(MAX(F:F)-F130)/(MAX(F:F)-MIN(F:F))</f>
        <v>0.82637014336061609</v>
      </c>
      <c r="O130">
        <f t="shared" ref="O130:O161" si="37">(MAX(G:G)-G130)/(MAX(G:G)-MIN(G:G))</f>
        <v>0.81752255461034096</v>
      </c>
      <c r="P130">
        <f t="shared" ref="P130:P161" si="38">(MAX(H:H)-H130)/(MAX(H:H)-MIN(H:H))</f>
        <v>0.75286871813390044</v>
      </c>
      <c r="Q130">
        <f t="shared" ref="Q130:Q161" si="39">(MAX(I:I)-I130)/(MAX(I:I)-MIN(I:I))</f>
        <v>0.71005761900896835</v>
      </c>
    </row>
    <row r="131" spans="1:17" x14ac:dyDescent="0.6">
      <c r="A131">
        <v>10</v>
      </c>
      <c r="B131" t="s">
        <v>99</v>
      </c>
      <c r="C131" t="s">
        <v>167</v>
      </c>
      <c r="D131">
        <v>7.2947859069999996</v>
      </c>
      <c r="E131">
        <v>0.285315131</v>
      </c>
      <c r="F131">
        <v>5.6279102429999996</v>
      </c>
      <c r="G131">
        <v>0.41199564799999999</v>
      </c>
      <c r="H131">
        <v>4.7182006840000001</v>
      </c>
      <c r="I131">
        <v>0.349665379</v>
      </c>
      <c r="J131">
        <f t="shared" si="32"/>
        <v>4.5827241289873211</v>
      </c>
      <c r="K131">
        <f t="shared" si="33"/>
        <v>1.5165281908374912</v>
      </c>
      <c r="L131">
        <f t="shared" si="34"/>
        <v>0.75458517660084956</v>
      </c>
      <c r="M131">
        <f t="shared" si="35"/>
        <v>0.76612819879821381</v>
      </c>
      <c r="N131">
        <f t="shared" si="36"/>
        <v>0.80169427873703292</v>
      </c>
      <c r="O131">
        <f t="shared" si="37"/>
        <v>0.79755732129284129</v>
      </c>
      <c r="P131">
        <f t="shared" si="38"/>
        <v>0.74863004051412663</v>
      </c>
      <c r="Q131">
        <f t="shared" si="39"/>
        <v>0.71412911304425619</v>
      </c>
    </row>
    <row r="132" spans="1:17" x14ac:dyDescent="0.6">
      <c r="A132">
        <v>60</v>
      </c>
      <c r="B132" t="s">
        <v>92</v>
      </c>
      <c r="C132" t="s">
        <v>167</v>
      </c>
      <c r="D132">
        <v>7.4105862169999996</v>
      </c>
      <c r="E132">
        <v>0.29231740499999997</v>
      </c>
      <c r="F132">
        <v>5.7145420419999997</v>
      </c>
      <c r="G132">
        <v>0.41594271900000002</v>
      </c>
      <c r="H132">
        <v>4.471191406</v>
      </c>
      <c r="I132">
        <v>0.33018144900000002</v>
      </c>
      <c r="J132">
        <f t="shared" si="32"/>
        <v>4.5734338846087486</v>
      </c>
      <c r="K132">
        <f t="shared" si="33"/>
        <v>1.5115265687519119</v>
      </c>
      <c r="L132">
        <f t="shared" si="34"/>
        <v>0.68691858966542696</v>
      </c>
      <c r="M132">
        <f t="shared" si="35"/>
        <v>0.71449590954365128</v>
      </c>
      <c r="N132">
        <f t="shared" si="36"/>
        <v>0.74866206083021936</v>
      </c>
      <c r="O132">
        <f t="shared" si="37"/>
        <v>0.76390851440163487</v>
      </c>
      <c r="P132">
        <f t="shared" si="38"/>
        <v>0.84340311928070388</v>
      </c>
      <c r="Q132">
        <f t="shared" si="39"/>
        <v>0.81604569088711187</v>
      </c>
    </row>
    <row r="133" spans="1:17" x14ac:dyDescent="0.6">
      <c r="A133">
        <v>30</v>
      </c>
      <c r="B133" t="s">
        <v>9</v>
      </c>
      <c r="C133" t="s">
        <v>174</v>
      </c>
      <c r="D133">
        <v>7.3205897259999997</v>
      </c>
      <c r="E133">
        <v>0.28517133300000003</v>
      </c>
      <c r="F133">
        <v>5.7015777879999998</v>
      </c>
      <c r="G133">
        <v>0.416100521</v>
      </c>
      <c r="H133">
        <v>4.6337280270000001</v>
      </c>
      <c r="I133">
        <v>0.339841328</v>
      </c>
      <c r="J133">
        <f t="shared" si="32"/>
        <v>4.5724144669919147</v>
      </c>
      <c r="K133">
        <f t="shared" si="33"/>
        <v>1.508766273435161</v>
      </c>
      <c r="L133">
        <f t="shared" si="34"/>
        <v>0.73950701004301034</v>
      </c>
      <c r="M133">
        <f t="shared" si="35"/>
        <v>0.76718851433716961</v>
      </c>
      <c r="N133">
        <f t="shared" si="36"/>
        <v>0.75659821304064812</v>
      </c>
      <c r="O133">
        <f t="shared" si="37"/>
        <v>0.76256325128753188</v>
      </c>
      <c r="P133">
        <f t="shared" si="38"/>
        <v>0.78104070071403642</v>
      </c>
      <c r="Q133">
        <f t="shared" si="39"/>
        <v>0.76551677756951808</v>
      </c>
    </row>
    <row r="134" spans="1:17" x14ac:dyDescent="0.6">
      <c r="A134">
        <v>90</v>
      </c>
      <c r="B134" t="s">
        <v>6</v>
      </c>
      <c r="C134" t="s">
        <v>171</v>
      </c>
      <c r="D134">
        <v>7.374923216</v>
      </c>
      <c r="E134">
        <v>0.289606629</v>
      </c>
      <c r="F134">
        <v>5.6479124299999999</v>
      </c>
      <c r="G134">
        <v>0.41086609000000002</v>
      </c>
      <c r="H134">
        <v>4.65625</v>
      </c>
      <c r="I134">
        <v>0.34347582799999998</v>
      </c>
      <c r="J134">
        <f t="shared" si="32"/>
        <v>4.5577835367566539</v>
      </c>
      <c r="K134">
        <f t="shared" si="33"/>
        <v>1.5005297119099481</v>
      </c>
      <c r="L134">
        <f t="shared" si="34"/>
        <v>0.70775785648210943</v>
      </c>
      <c r="M134">
        <f t="shared" si="35"/>
        <v>0.73448421199173097</v>
      </c>
      <c r="N134">
        <f t="shared" si="36"/>
        <v>0.78944981017189497</v>
      </c>
      <c r="O134">
        <f t="shared" si="37"/>
        <v>0.8071868108597674</v>
      </c>
      <c r="P134">
        <f t="shared" si="38"/>
        <v>0.77239941914603105</v>
      </c>
      <c r="Q134">
        <f t="shared" si="39"/>
        <v>0.74650542810512066</v>
      </c>
    </row>
    <row r="135" spans="1:17" x14ac:dyDescent="0.6">
      <c r="A135">
        <v>60</v>
      </c>
      <c r="B135" t="s">
        <v>99</v>
      </c>
      <c r="C135" t="s">
        <v>171</v>
      </c>
      <c r="D135" s="13">
        <v>7.3593117389999998</v>
      </c>
      <c r="E135">
        <v>0.28778825699999999</v>
      </c>
      <c r="F135">
        <v>5.7077074919999999</v>
      </c>
      <c r="G135" s="13">
        <v>0.415354261</v>
      </c>
      <c r="H135">
        <v>4.6244506840000001</v>
      </c>
      <c r="I135">
        <v>0.33636452100000003</v>
      </c>
      <c r="J135">
        <f t="shared" si="32"/>
        <v>4.5548470044969509</v>
      </c>
      <c r="K135">
        <f t="shared" si="33"/>
        <v>1.4973981443404272</v>
      </c>
      <c r="L135">
        <f t="shared" si="34"/>
        <v>0.71688024454489496</v>
      </c>
      <c r="M135">
        <f t="shared" si="35"/>
        <v>0.74789224330790027</v>
      </c>
      <c r="N135">
        <f t="shared" si="36"/>
        <v>0.75284587496173705</v>
      </c>
      <c r="O135">
        <f t="shared" si="37"/>
        <v>0.76892512281977221</v>
      </c>
      <c r="P135">
        <f t="shared" si="38"/>
        <v>0.78460025267096145</v>
      </c>
      <c r="Q135">
        <f t="shared" si="39"/>
        <v>0.78370326619168429</v>
      </c>
    </row>
    <row r="136" spans="1:17" x14ac:dyDescent="0.6">
      <c r="A136">
        <v>60</v>
      </c>
      <c r="B136" t="s">
        <v>92</v>
      </c>
      <c r="C136" t="s">
        <v>177</v>
      </c>
      <c r="D136">
        <v>7.3231435720000002</v>
      </c>
      <c r="E136">
        <v>0.28557284999999999</v>
      </c>
      <c r="F136">
        <v>5.6495555529999999</v>
      </c>
      <c r="G136">
        <v>0.41140818099999998</v>
      </c>
      <c r="H136">
        <v>4.7750244139999998</v>
      </c>
      <c r="I136">
        <v>0.347665051</v>
      </c>
      <c r="J136">
        <f t="shared" si="32"/>
        <v>4.5446722283915193</v>
      </c>
      <c r="K136">
        <f t="shared" si="33"/>
        <v>1.4913307442634063</v>
      </c>
      <c r="L136">
        <f t="shared" si="34"/>
        <v>0.73801469933694475</v>
      </c>
      <c r="M136">
        <f t="shared" si="35"/>
        <v>0.76422787014006699</v>
      </c>
      <c r="N136">
        <f t="shared" si="36"/>
        <v>0.78844396176531051</v>
      </c>
      <c r="O136">
        <f t="shared" si="37"/>
        <v>0.80256548142929607</v>
      </c>
      <c r="P136">
        <f t="shared" si="38"/>
        <v>0.72682778319527119</v>
      </c>
      <c r="Q136">
        <f t="shared" si="39"/>
        <v>0.72459243252463024</v>
      </c>
    </row>
    <row r="137" spans="1:17" x14ac:dyDescent="0.6">
      <c r="A137">
        <v>90</v>
      </c>
      <c r="B137" t="s">
        <v>99</v>
      </c>
      <c r="C137" t="s">
        <v>167</v>
      </c>
      <c r="D137">
        <v>7.3829863180000004</v>
      </c>
      <c r="E137">
        <v>0.28935656500000001</v>
      </c>
      <c r="F137">
        <v>5.6978801570000002</v>
      </c>
      <c r="G137">
        <v>0.41419384300000001</v>
      </c>
      <c r="H137">
        <v>4.5984497070000003</v>
      </c>
      <c r="I137">
        <v>0.34079479200000001</v>
      </c>
      <c r="J137">
        <f t="shared" si="32"/>
        <v>4.5321595690127721</v>
      </c>
      <c r="K137">
        <f t="shared" si="33"/>
        <v>1.4831876146828911</v>
      </c>
      <c r="L137">
        <f t="shared" si="34"/>
        <v>0.70304627503252426</v>
      </c>
      <c r="M137">
        <f t="shared" si="35"/>
        <v>0.73632809539020305</v>
      </c>
      <c r="N137">
        <f t="shared" si="36"/>
        <v>0.75886174185102151</v>
      </c>
      <c r="O137">
        <f t="shared" si="37"/>
        <v>0.77881769409479606</v>
      </c>
      <c r="P137">
        <f t="shared" si="38"/>
        <v>0.7945763663666946</v>
      </c>
      <c r="Q137">
        <f t="shared" si="39"/>
        <v>0.76052939627753224</v>
      </c>
    </row>
    <row r="138" spans="1:17" x14ac:dyDescent="0.6">
      <c r="A138">
        <v>90</v>
      </c>
      <c r="B138" t="s">
        <v>6</v>
      </c>
      <c r="C138" t="s">
        <v>7</v>
      </c>
      <c r="D138">
        <v>7.3646177140000004</v>
      </c>
      <c r="E138">
        <v>0.288588703</v>
      </c>
      <c r="F138">
        <v>5.6495085420000004</v>
      </c>
      <c r="G138">
        <v>0.41088423899999998</v>
      </c>
      <c r="H138">
        <v>4.745117188</v>
      </c>
      <c r="I138">
        <v>0.34456918399999997</v>
      </c>
      <c r="J138">
        <f t="shared" si="32"/>
        <v>4.5303635818274408</v>
      </c>
      <c r="K138">
        <f t="shared" si="33"/>
        <v>1.4819841905356406</v>
      </c>
      <c r="L138">
        <f t="shared" si="34"/>
        <v>0.71377975872914257</v>
      </c>
      <c r="M138">
        <f t="shared" si="35"/>
        <v>0.74199003790938856</v>
      </c>
      <c r="N138">
        <f t="shared" si="36"/>
        <v>0.78847273985401201</v>
      </c>
      <c r="O138">
        <f t="shared" si="37"/>
        <v>0.80703209051238389</v>
      </c>
      <c r="P138">
        <f t="shared" si="38"/>
        <v>0.73830265534719008</v>
      </c>
      <c r="Q138">
        <f t="shared" si="39"/>
        <v>0.74078629947532404</v>
      </c>
    </row>
    <row r="139" spans="1:17" x14ac:dyDescent="0.6">
      <c r="A139">
        <v>60</v>
      </c>
      <c r="B139" t="s">
        <v>9</v>
      </c>
      <c r="C139" t="s">
        <v>184</v>
      </c>
      <c r="D139" s="13">
        <v>7.5078361109999996</v>
      </c>
      <c r="E139">
        <v>0.30042021600000002</v>
      </c>
      <c r="F139" s="13">
        <v>5.7300026629999996</v>
      </c>
      <c r="G139" s="13">
        <v>0.417504563</v>
      </c>
      <c r="H139">
        <v>4.3872680659999999</v>
      </c>
      <c r="I139" s="13">
        <v>0.31816177899999998</v>
      </c>
      <c r="J139">
        <f t="shared" si="32"/>
        <v>4.529153121143354</v>
      </c>
      <c r="K139">
        <f t="shared" si="33"/>
        <v>1.4860919541916</v>
      </c>
      <c r="L139">
        <f t="shared" si="34"/>
        <v>0.63009172618974529</v>
      </c>
      <c r="M139">
        <f t="shared" si="35"/>
        <v>0.65474865010663763</v>
      </c>
      <c r="N139">
        <f t="shared" si="36"/>
        <v>0.73919774136195282</v>
      </c>
      <c r="O139">
        <f t="shared" si="37"/>
        <v>0.75059378376968311</v>
      </c>
      <c r="P139">
        <f t="shared" si="38"/>
        <v>0.87560301629094595</v>
      </c>
      <c r="Q139">
        <f t="shared" si="39"/>
        <v>0.87891820342438953</v>
      </c>
    </row>
    <row r="140" spans="1:17" x14ac:dyDescent="0.6">
      <c r="A140">
        <v>60</v>
      </c>
      <c r="B140" t="s">
        <v>92</v>
      </c>
      <c r="C140" t="s">
        <v>184</v>
      </c>
      <c r="D140" s="13">
        <v>7.3560864649999997</v>
      </c>
      <c r="E140">
        <v>0.28808767899999999</v>
      </c>
      <c r="F140">
        <v>5.6902049669999997</v>
      </c>
      <c r="G140">
        <v>0.41428189199999998</v>
      </c>
      <c r="H140">
        <v>4.7127075200000004</v>
      </c>
      <c r="I140">
        <v>0.34084819100000002</v>
      </c>
      <c r="J140">
        <f t="shared" si="32"/>
        <v>4.5170642898035176</v>
      </c>
      <c r="K140">
        <f t="shared" si="33"/>
        <v>1.4725728865135774</v>
      </c>
      <c r="L140">
        <f t="shared" si="34"/>
        <v>0.71876489652476927</v>
      </c>
      <c r="M140">
        <f t="shared" si="35"/>
        <v>0.74568441149309572</v>
      </c>
      <c r="N140">
        <f t="shared" si="36"/>
        <v>0.76356015921340614</v>
      </c>
      <c r="O140">
        <f t="shared" si="37"/>
        <v>0.77806707577605716</v>
      </c>
      <c r="P140">
        <f t="shared" si="38"/>
        <v>0.75073767010871095</v>
      </c>
      <c r="Q140">
        <f t="shared" si="39"/>
        <v>0.76025007668747868</v>
      </c>
    </row>
    <row r="141" spans="1:17" x14ac:dyDescent="0.6">
      <c r="A141">
        <v>30</v>
      </c>
      <c r="B141" t="s">
        <v>9</v>
      </c>
      <c r="C141" t="s">
        <v>7</v>
      </c>
      <c r="D141">
        <v>7.2593668100000004</v>
      </c>
      <c r="E141">
        <v>0.28106569300000001</v>
      </c>
      <c r="F141">
        <v>5.6277566559999999</v>
      </c>
      <c r="G141">
        <v>0.41086201500000002</v>
      </c>
      <c r="H141">
        <v>4.9595947269999998</v>
      </c>
      <c r="I141">
        <v>0.359681892</v>
      </c>
      <c r="J141">
        <f t="shared" si="32"/>
        <v>4.4994999649841922</v>
      </c>
      <c r="K141">
        <f t="shared" si="33"/>
        <v>1.4642573518052449</v>
      </c>
      <c r="L141">
        <f t="shared" si="34"/>
        <v>0.77528192090425085</v>
      </c>
      <c r="M141">
        <f t="shared" si="35"/>
        <v>0.797462050056438</v>
      </c>
      <c r="N141">
        <f t="shared" si="36"/>
        <v>0.80178829801570028</v>
      </c>
      <c r="O141">
        <f t="shared" si="37"/>
        <v>0.80722155026224618</v>
      </c>
      <c r="P141">
        <f t="shared" si="38"/>
        <v>0.65601142781966137</v>
      </c>
      <c r="Q141">
        <f t="shared" si="39"/>
        <v>0.66173471792589578</v>
      </c>
    </row>
    <row r="142" spans="1:17" x14ac:dyDescent="0.6">
      <c r="A142">
        <v>60</v>
      </c>
      <c r="B142" t="s">
        <v>6</v>
      </c>
      <c r="C142" t="s">
        <v>181</v>
      </c>
      <c r="D142">
        <v>7.3078442099999998</v>
      </c>
      <c r="E142">
        <v>0.28358682099999999</v>
      </c>
      <c r="F142">
        <v>5.6755794179999999</v>
      </c>
      <c r="G142">
        <v>0.412918644</v>
      </c>
      <c r="H142">
        <v>4.830566406</v>
      </c>
      <c r="I142">
        <v>0.35216855000000002</v>
      </c>
      <c r="J142">
        <f t="shared" si="32"/>
        <v>4.4945817369518686</v>
      </c>
      <c r="K142">
        <f t="shared" si="33"/>
        <v>1.4587721319347369</v>
      </c>
      <c r="L142">
        <f t="shared" si="34"/>
        <v>0.74695470656861385</v>
      </c>
      <c r="M142">
        <f t="shared" si="35"/>
        <v>0.77887214481368738</v>
      </c>
      <c r="N142">
        <f t="shared" si="36"/>
        <v>0.77251328393813645</v>
      </c>
      <c r="O142">
        <f t="shared" si="37"/>
        <v>0.78968877416882044</v>
      </c>
      <c r="P142">
        <f t="shared" si="38"/>
        <v>0.70551730601283669</v>
      </c>
      <c r="Q142">
        <f t="shared" si="39"/>
        <v>0.70103552144977399</v>
      </c>
    </row>
    <row r="143" spans="1:17" x14ac:dyDescent="0.6">
      <c r="A143">
        <v>60</v>
      </c>
      <c r="B143" t="s">
        <v>99</v>
      </c>
      <c r="C143" t="s">
        <v>181</v>
      </c>
      <c r="D143">
        <v>7.2622173610000003</v>
      </c>
      <c r="E143">
        <v>0.28053172900000001</v>
      </c>
      <c r="F143">
        <v>5.6549204050000004</v>
      </c>
      <c r="G143">
        <v>0.41162120499999999</v>
      </c>
      <c r="H143">
        <v>4.9458618159999999</v>
      </c>
      <c r="I143">
        <v>0.36269718000000001</v>
      </c>
      <c r="J143">
        <f t="shared" si="32"/>
        <v>4.468167674706268</v>
      </c>
      <c r="K143">
        <f t="shared" si="33"/>
        <v>1.4438062155598372</v>
      </c>
      <c r="L143">
        <f t="shared" si="34"/>
        <v>0.77361623402435087</v>
      </c>
      <c r="M143">
        <f t="shared" si="35"/>
        <v>0.80139931153742594</v>
      </c>
      <c r="N143">
        <f t="shared" si="36"/>
        <v>0.78515983280128165</v>
      </c>
      <c r="O143">
        <f t="shared" si="37"/>
        <v>0.80074945039281542</v>
      </c>
      <c r="P143">
        <f t="shared" si="38"/>
        <v>0.66128050218980461</v>
      </c>
      <c r="Q143">
        <f t="shared" si="39"/>
        <v>0.64596234376058992</v>
      </c>
    </row>
    <row r="144" spans="1:17" x14ac:dyDescent="0.6">
      <c r="A144">
        <v>5</v>
      </c>
      <c r="B144" t="s">
        <v>9</v>
      </c>
      <c r="C144" t="s">
        <v>8</v>
      </c>
      <c r="D144">
        <v>7.4566945310000001</v>
      </c>
      <c r="E144">
        <v>0.29974140100000002</v>
      </c>
      <c r="F144">
        <v>5.6596484159999996</v>
      </c>
      <c r="G144">
        <v>0.414828003</v>
      </c>
      <c r="H144">
        <v>4.5623779300000002</v>
      </c>
      <c r="I144">
        <v>0.33639218500000001</v>
      </c>
      <c r="J144">
        <f t="shared" si="32"/>
        <v>4.4673817699096547</v>
      </c>
      <c r="K144">
        <f t="shared" si="33"/>
        <v>1.4429487671747008</v>
      </c>
      <c r="L144">
        <f t="shared" si="34"/>
        <v>0.65997572364264356</v>
      </c>
      <c r="M144">
        <f t="shared" si="35"/>
        <v>0.65975399157575698</v>
      </c>
      <c r="N144">
        <f t="shared" si="36"/>
        <v>0.78226555018782962</v>
      </c>
      <c r="O144">
        <f t="shared" si="37"/>
        <v>0.77341147581847747</v>
      </c>
      <c r="P144">
        <f t="shared" si="38"/>
        <v>0.80841646739671102</v>
      </c>
      <c r="Q144">
        <f t="shared" si="39"/>
        <v>0.78355856128823598</v>
      </c>
    </row>
    <row r="145" spans="1:17" x14ac:dyDescent="0.6">
      <c r="A145">
        <v>60</v>
      </c>
      <c r="B145" t="s">
        <v>99</v>
      </c>
      <c r="C145" t="s">
        <v>177</v>
      </c>
      <c r="D145">
        <v>7.3469796230000002</v>
      </c>
      <c r="E145">
        <v>0.28775952199999999</v>
      </c>
      <c r="F145">
        <v>5.6367152819999999</v>
      </c>
      <c r="G145">
        <v>0.41066739000000002</v>
      </c>
      <c r="H145">
        <v>4.8701782229999999</v>
      </c>
      <c r="I145">
        <v>0.35273478600000002</v>
      </c>
      <c r="J145">
        <f t="shared" si="32"/>
        <v>4.4657680547453111</v>
      </c>
      <c r="K145">
        <f t="shared" si="33"/>
        <v>1.4407503480837336</v>
      </c>
      <c r="L145">
        <f t="shared" si="34"/>
        <v>0.7240863755078577</v>
      </c>
      <c r="M145">
        <f t="shared" si="35"/>
        <v>0.74810412502400137</v>
      </c>
      <c r="N145">
        <f t="shared" si="36"/>
        <v>0.79630421697777054</v>
      </c>
      <c r="O145">
        <f t="shared" si="37"/>
        <v>0.80888072969965708</v>
      </c>
      <c r="P145">
        <f t="shared" si="38"/>
        <v>0.69031895442448776</v>
      </c>
      <c r="Q145">
        <f t="shared" si="39"/>
        <v>0.69807365311153691</v>
      </c>
    </row>
    <row r="146" spans="1:17" x14ac:dyDescent="0.6">
      <c r="A146">
        <v>90</v>
      </c>
      <c r="B146" t="s">
        <v>92</v>
      </c>
      <c r="C146" t="s">
        <v>184</v>
      </c>
      <c r="D146">
        <v>7.4781059670000003</v>
      </c>
      <c r="E146">
        <v>0.29729077799999998</v>
      </c>
      <c r="F146">
        <v>5.7601468860000002</v>
      </c>
      <c r="G146">
        <v>0.41881793499999997</v>
      </c>
      <c r="H146">
        <v>4.5025024409999999</v>
      </c>
      <c r="I146">
        <v>0.32638429499999999</v>
      </c>
      <c r="J146">
        <f t="shared" si="32"/>
        <v>4.4527277337523374</v>
      </c>
      <c r="K146">
        <f t="shared" si="33"/>
        <v>1.4338065367978581</v>
      </c>
      <c r="L146">
        <f t="shared" si="34"/>
        <v>0.64746419586256898</v>
      </c>
      <c r="M146">
        <f t="shared" si="35"/>
        <v>0.67782401791147107</v>
      </c>
      <c r="N146">
        <f t="shared" si="36"/>
        <v>0.72074475964830276</v>
      </c>
      <c r="O146">
        <f t="shared" si="37"/>
        <v>0.73939727861324767</v>
      </c>
      <c r="P146">
        <f t="shared" si="38"/>
        <v>0.83138963051483639</v>
      </c>
      <c r="Q146">
        <f t="shared" si="39"/>
        <v>0.83590785120191047</v>
      </c>
    </row>
    <row r="147" spans="1:17" x14ac:dyDescent="0.6">
      <c r="A147">
        <v>30</v>
      </c>
      <c r="B147" t="s">
        <v>92</v>
      </c>
      <c r="C147" t="s">
        <v>167</v>
      </c>
      <c r="D147">
        <v>7.3448530400000003</v>
      </c>
      <c r="E147">
        <v>0.28724003199999998</v>
      </c>
      <c r="F147">
        <v>5.7409259090000004</v>
      </c>
      <c r="G147">
        <v>0.41901546499999998</v>
      </c>
      <c r="H147">
        <v>4.6744995119999997</v>
      </c>
      <c r="I147">
        <v>0.34660005100000002</v>
      </c>
      <c r="J147">
        <f t="shared" si="32"/>
        <v>4.4430486614125488</v>
      </c>
      <c r="K147">
        <f t="shared" si="33"/>
        <v>1.4244823544808027</v>
      </c>
      <c r="L147">
        <f t="shared" si="34"/>
        <v>0.72532901996576016</v>
      </c>
      <c r="M147">
        <f t="shared" si="35"/>
        <v>0.7519346603536462</v>
      </c>
      <c r="N147">
        <f t="shared" si="36"/>
        <v>0.73251100544271175</v>
      </c>
      <c r="O147">
        <f t="shared" si="37"/>
        <v>0.7377133340312475</v>
      </c>
      <c r="P147">
        <f t="shared" si="38"/>
        <v>0.7653974050831116</v>
      </c>
      <c r="Q147">
        <f t="shared" si="39"/>
        <v>0.7301632365360714</v>
      </c>
    </row>
    <row r="148" spans="1:17" x14ac:dyDescent="0.6">
      <c r="A148">
        <v>60</v>
      </c>
      <c r="B148" t="s">
        <v>9</v>
      </c>
      <c r="C148" t="s">
        <v>174</v>
      </c>
      <c r="D148">
        <v>7.4022491319999997</v>
      </c>
      <c r="E148">
        <v>0.29280848900000001</v>
      </c>
      <c r="F148">
        <v>5.6577973799999999</v>
      </c>
      <c r="G148">
        <v>0.41224095599999999</v>
      </c>
      <c r="H148">
        <v>4.7761230469999996</v>
      </c>
      <c r="I148">
        <v>0.345879985</v>
      </c>
      <c r="J148">
        <f t="shared" si="32"/>
        <v>4.4418658591021956</v>
      </c>
      <c r="K148">
        <f t="shared" si="33"/>
        <v>1.424841250722801</v>
      </c>
      <c r="L148">
        <f t="shared" si="34"/>
        <v>0.69179026994797976</v>
      </c>
      <c r="M148">
        <f t="shared" si="35"/>
        <v>0.71087483000059293</v>
      </c>
      <c r="N148">
        <f t="shared" si="36"/>
        <v>0.78339867388649986</v>
      </c>
      <c r="O148">
        <f t="shared" si="37"/>
        <v>0.79546606893866068</v>
      </c>
      <c r="P148">
        <f t="shared" si="38"/>
        <v>0.72640625719961793</v>
      </c>
      <c r="Q148">
        <f t="shared" si="39"/>
        <v>0.73392975912884384</v>
      </c>
    </row>
    <row r="149" spans="1:17" x14ac:dyDescent="0.6">
      <c r="A149">
        <v>60</v>
      </c>
      <c r="B149" t="s">
        <v>9</v>
      </c>
      <c r="C149" t="s">
        <v>177</v>
      </c>
      <c r="D149">
        <v>7.3762618</v>
      </c>
      <c r="E149">
        <v>0.29004984900000003</v>
      </c>
      <c r="F149">
        <v>5.6494709360000002</v>
      </c>
      <c r="G149">
        <v>0.411655777</v>
      </c>
      <c r="H149">
        <v>4.8190307619999997</v>
      </c>
      <c r="I149">
        <v>0.352155361</v>
      </c>
      <c r="J149">
        <f t="shared" si="32"/>
        <v>4.4381900578413065</v>
      </c>
      <c r="K149">
        <f t="shared" si="33"/>
        <v>1.4230328872203117</v>
      </c>
      <c r="L149">
        <f t="shared" si="34"/>
        <v>0.70697567022883978</v>
      </c>
      <c r="M149">
        <f t="shared" si="35"/>
        <v>0.73121606463797006</v>
      </c>
      <c r="N149">
        <f t="shared" si="36"/>
        <v>0.7884957606109354</v>
      </c>
      <c r="O149">
        <f t="shared" si="37"/>
        <v>0.80045472385968663</v>
      </c>
      <c r="P149">
        <f t="shared" si="38"/>
        <v>0.7099433280079912</v>
      </c>
      <c r="Q149">
        <f t="shared" si="39"/>
        <v>0.70110451049588385</v>
      </c>
    </row>
    <row r="150" spans="1:17" x14ac:dyDescent="0.6">
      <c r="A150">
        <v>90</v>
      </c>
      <c r="B150" t="s">
        <v>9</v>
      </c>
      <c r="C150" t="s">
        <v>184</v>
      </c>
      <c r="D150">
        <v>7.3784115960000003</v>
      </c>
      <c r="E150">
        <v>0.29007639699999999</v>
      </c>
      <c r="F150">
        <v>5.6676100639999998</v>
      </c>
      <c r="G150">
        <v>0.41246891800000002</v>
      </c>
      <c r="H150">
        <v>4.8538208010000004</v>
      </c>
      <c r="I150">
        <v>0.348343703</v>
      </c>
      <c r="J150">
        <f t="shared" si="32"/>
        <v>4.4252917831344307</v>
      </c>
      <c r="K150">
        <f t="shared" si="33"/>
        <v>1.4137668899793128</v>
      </c>
      <c r="L150">
        <f t="shared" si="34"/>
        <v>0.705719461519835</v>
      </c>
      <c r="M150">
        <f t="shared" si="35"/>
        <v>0.73102030908554128</v>
      </c>
      <c r="N150">
        <f t="shared" si="36"/>
        <v>0.77739177570193496</v>
      </c>
      <c r="O150">
        <f t="shared" si="37"/>
        <v>0.79352269135144882</v>
      </c>
      <c r="P150">
        <f t="shared" si="38"/>
        <v>0.69659500711439559</v>
      </c>
      <c r="Q150">
        <f t="shared" si="39"/>
        <v>0.72104253836127563</v>
      </c>
    </row>
    <row r="151" spans="1:17" x14ac:dyDescent="0.6">
      <c r="A151">
        <v>10</v>
      </c>
      <c r="B151" t="s">
        <v>9</v>
      </c>
      <c r="C151" t="s">
        <v>174</v>
      </c>
      <c r="D151">
        <v>7.3395361899999996</v>
      </c>
      <c r="E151">
        <v>0.28775461400000002</v>
      </c>
      <c r="F151">
        <v>5.7080726290000001</v>
      </c>
      <c r="G151">
        <v>0.41744653599999998</v>
      </c>
      <c r="H151">
        <v>4.7537841800000002</v>
      </c>
      <c r="I151">
        <v>0.352219699</v>
      </c>
      <c r="J151">
        <f t="shared" si="32"/>
        <v>4.4160322490626331</v>
      </c>
      <c r="K151">
        <f t="shared" si="33"/>
        <v>1.407668585517835</v>
      </c>
      <c r="L151">
        <f t="shared" si="34"/>
        <v>0.72843586046340347</v>
      </c>
      <c r="M151">
        <f t="shared" si="35"/>
        <v>0.74814031487827726</v>
      </c>
      <c r="N151">
        <f t="shared" si="36"/>
        <v>0.75262235397783306</v>
      </c>
      <c r="O151">
        <f t="shared" si="37"/>
        <v>0.75108846433597554</v>
      </c>
      <c r="P151">
        <f t="shared" si="38"/>
        <v>0.7349772842431731</v>
      </c>
      <c r="Q151">
        <f t="shared" si="39"/>
        <v>0.70076797116397016</v>
      </c>
    </row>
    <row r="152" spans="1:17" x14ac:dyDescent="0.6">
      <c r="A152">
        <v>10</v>
      </c>
      <c r="B152" t="s">
        <v>9</v>
      </c>
      <c r="C152" t="s">
        <v>171</v>
      </c>
      <c r="D152">
        <v>7.4226188950000003</v>
      </c>
      <c r="E152">
        <v>0.29761907999999998</v>
      </c>
      <c r="F152">
        <v>5.6574318129999996</v>
      </c>
      <c r="G152">
        <v>0.41508323699999999</v>
      </c>
      <c r="H152">
        <v>4.7276000979999999</v>
      </c>
      <c r="I152">
        <v>0.34143272800000002</v>
      </c>
      <c r="J152">
        <f t="shared" si="32"/>
        <v>4.4123648609441073</v>
      </c>
      <c r="K152">
        <f t="shared" si="33"/>
        <v>1.4057054057071123</v>
      </c>
      <c r="L152">
        <f t="shared" si="34"/>
        <v>0.67988743187359557</v>
      </c>
      <c r="M152">
        <f t="shared" si="35"/>
        <v>0.67540323520190393</v>
      </c>
      <c r="N152">
        <f t="shared" si="36"/>
        <v>0.78362245809769415</v>
      </c>
      <c r="O152">
        <f t="shared" si="37"/>
        <v>0.77123560424736315</v>
      </c>
      <c r="P152">
        <f t="shared" si="38"/>
        <v>0.74502365207967414</v>
      </c>
      <c r="Q152">
        <f t="shared" si="39"/>
        <v>0.75719247944387691</v>
      </c>
    </row>
    <row r="153" spans="1:17" x14ac:dyDescent="0.6">
      <c r="A153">
        <v>90</v>
      </c>
      <c r="B153" t="s">
        <v>99</v>
      </c>
      <c r="C153" t="s">
        <v>184</v>
      </c>
      <c r="D153">
        <v>7.4856228089999997</v>
      </c>
      <c r="E153">
        <v>0.29739613100000001</v>
      </c>
      <c r="F153">
        <v>5.7703765450000004</v>
      </c>
      <c r="G153">
        <v>0.41945157399999999</v>
      </c>
      <c r="H153">
        <v>4.584960938</v>
      </c>
      <c r="I153">
        <v>0.33184570600000002</v>
      </c>
      <c r="J153">
        <f t="shared" si="32"/>
        <v>4.3756891667752802</v>
      </c>
      <c r="K153">
        <f t="shared" si="33"/>
        <v>1.3836571144248835</v>
      </c>
      <c r="L153">
        <f t="shared" si="34"/>
        <v>0.64307181519732903</v>
      </c>
      <c r="M153">
        <f t="shared" si="35"/>
        <v>0.67704718219069848</v>
      </c>
      <c r="N153">
        <f t="shared" si="36"/>
        <v>0.71448260751175985</v>
      </c>
      <c r="O153">
        <f t="shared" si="37"/>
        <v>0.73399550186544216</v>
      </c>
      <c r="P153">
        <f t="shared" si="38"/>
        <v>0.79975176778178314</v>
      </c>
      <c r="Q153">
        <f t="shared" si="39"/>
        <v>0.80734029222826753</v>
      </c>
    </row>
    <row r="154" spans="1:17" x14ac:dyDescent="0.6">
      <c r="A154">
        <v>60</v>
      </c>
      <c r="B154" t="s">
        <v>9</v>
      </c>
      <c r="C154" t="s">
        <v>8</v>
      </c>
      <c r="D154">
        <v>7.5538931319999998</v>
      </c>
      <c r="E154">
        <v>0.30560981799999998</v>
      </c>
      <c r="F154">
        <v>5.7484637169999999</v>
      </c>
      <c r="G154">
        <v>0.419201869</v>
      </c>
      <c r="H154">
        <v>4.5098266599999999</v>
      </c>
      <c r="I154">
        <v>0.32744125800000001</v>
      </c>
      <c r="J154">
        <f t="shared" si="32"/>
        <v>4.34264066580812</v>
      </c>
      <c r="K154">
        <f t="shared" si="33"/>
        <v>1.3662618295825479</v>
      </c>
      <c r="L154">
        <f t="shared" si="34"/>
        <v>0.60317883264496031</v>
      </c>
      <c r="M154">
        <f t="shared" si="35"/>
        <v>0.61648236238638343</v>
      </c>
      <c r="N154">
        <f t="shared" si="36"/>
        <v>0.72789668736309188</v>
      </c>
      <c r="O154">
        <f t="shared" si="37"/>
        <v>0.7361242386742729</v>
      </c>
      <c r="P154">
        <f t="shared" si="38"/>
        <v>0.82857945759416307</v>
      </c>
      <c r="Q154">
        <f t="shared" si="39"/>
        <v>0.83037908714524833</v>
      </c>
    </row>
    <row r="155" spans="1:17" x14ac:dyDescent="0.6">
      <c r="A155">
        <v>30</v>
      </c>
      <c r="B155" t="s">
        <v>9</v>
      </c>
      <c r="C155" t="s">
        <v>171</v>
      </c>
      <c r="D155">
        <v>7.5494601919999997</v>
      </c>
      <c r="E155">
        <v>0.30704520400000002</v>
      </c>
      <c r="F155">
        <v>5.7602390919999999</v>
      </c>
      <c r="G155">
        <v>0.42193719400000002</v>
      </c>
      <c r="H155">
        <v>4.4500122070000003</v>
      </c>
      <c r="I155">
        <v>0.32860352100000001</v>
      </c>
      <c r="J155">
        <f t="shared" si="32"/>
        <v>4.3209901163589706</v>
      </c>
      <c r="K155">
        <f t="shared" si="33"/>
        <v>1.3534392842988678</v>
      </c>
      <c r="L155">
        <f t="shared" si="34"/>
        <v>0.60576917044189293</v>
      </c>
      <c r="M155">
        <f t="shared" si="35"/>
        <v>0.60589833423439277</v>
      </c>
      <c r="N155">
        <f t="shared" si="36"/>
        <v>0.72068831514708331</v>
      </c>
      <c r="O155">
        <f t="shared" si="37"/>
        <v>0.71280557460420946</v>
      </c>
      <c r="P155">
        <f t="shared" si="38"/>
        <v>0.85152920228168316</v>
      </c>
      <c r="Q155">
        <f t="shared" si="39"/>
        <v>0.8242995196497086</v>
      </c>
    </row>
    <row r="156" spans="1:17" x14ac:dyDescent="0.6">
      <c r="A156">
        <v>90</v>
      </c>
      <c r="B156" t="s">
        <v>6</v>
      </c>
      <c r="C156" t="s">
        <v>184</v>
      </c>
      <c r="D156">
        <v>7.5520015169999999</v>
      </c>
      <c r="E156">
        <v>0.30249248899999998</v>
      </c>
      <c r="F156">
        <v>5.7659092730000001</v>
      </c>
      <c r="G156">
        <v>0.41896272099999998</v>
      </c>
      <c r="H156">
        <v>4.5360717770000001</v>
      </c>
      <c r="I156">
        <v>0.33432555000000003</v>
      </c>
      <c r="J156">
        <f t="shared" si="32"/>
        <v>4.3120112642530568</v>
      </c>
      <c r="K156">
        <f t="shared" si="33"/>
        <v>1.3461924007854715</v>
      </c>
      <c r="L156">
        <f t="shared" si="34"/>
        <v>0.604284176238996</v>
      </c>
      <c r="M156">
        <f t="shared" si="35"/>
        <v>0.63946844271252279</v>
      </c>
      <c r="N156">
        <f t="shared" si="36"/>
        <v>0.71721727705444149</v>
      </c>
      <c r="O156">
        <f t="shared" si="37"/>
        <v>0.73816297698691502</v>
      </c>
      <c r="P156">
        <f t="shared" si="38"/>
        <v>0.81850967171073941</v>
      </c>
      <c r="Q156">
        <f t="shared" si="39"/>
        <v>0.79436871954944244</v>
      </c>
    </row>
    <row r="157" spans="1:17" x14ac:dyDescent="0.6">
      <c r="A157">
        <v>30</v>
      </c>
      <c r="B157" t="s">
        <v>92</v>
      </c>
      <c r="C157" t="s">
        <v>8</v>
      </c>
      <c r="D157">
        <v>7.3824569999999996</v>
      </c>
      <c r="E157">
        <v>0.2903</v>
      </c>
      <c r="F157">
        <v>5.7939259999999999</v>
      </c>
      <c r="G157">
        <v>0.42299999999999999</v>
      </c>
      <c r="H157">
        <v>4.7860719999999999</v>
      </c>
      <c r="I157">
        <v>0.34620400000000001</v>
      </c>
      <c r="J157">
        <f t="shared" si="32"/>
        <v>4.2913628390479337</v>
      </c>
      <c r="K157">
        <f t="shared" si="33"/>
        <v>1.3288855245118469</v>
      </c>
      <c r="L157">
        <f t="shared" si="34"/>
        <v>0.70335557595290643</v>
      </c>
      <c r="M157">
        <f t="shared" si="35"/>
        <v>0.7293715397323014</v>
      </c>
      <c r="N157">
        <f t="shared" si="36"/>
        <v>0.70006665582239613</v>
      </c>
      <c r="O157">
        <f t="shared" si="37"/>
        <v>0.70374514628741092</v>
      </c>
      <c r="P157">
        <f t="shared" si="38"/>
        <v>0.72258902039803508</v>
      </c>
      <c r="Q157">
        <f t="shared" si="39"/>
        <v>0.73223490085488396</v>
      </c>
    </row>
    <row r="158" spans="1:17" x14ac:dyDescent="0.6">
      <c r="A158">
        <v>60</v>
      </c>
      <c r="B158" t="s">
        <v>99</v>
      </c>
      <c r="C158" t="s">
        <v>8</v>
      </c>
      <c r="D158">
        <v>7.4376990000000003</v>
      </c>
      <c r="E158">
        <v>0.29449999999999998</v>
      </c>
      <c r="F158">
        <v>5.6944710000000001</v>
      </c>
      <c r="G158">
        <v>0.41458800000000001</v>
      </c>
      <c r="H158">
        <v>4.959778</v>
      </c>
      <c r="I158">
        <v>0.34940700000000002</v>
      </c>
      <c r="J158">
        <f t="shared" si="32"/>
        <v>4.2773057058127009</v>
      </c>
      <c r="K158">
        <f t="shared" si="33"/>
        <v>1.31996190855172</v>
      </c>
      <c r="L158">
        <f t="shared" si="34"/>
        <v>0.6710755449626038</v>
      </c>
      <c r="M158">
        <f t="shared" si="35"/>
        <v>0.69840222678208508</v>
      </c>
      <c r="N158">
        <f t="shared" si="36"/>
        <v>0.76094867943040323</v>
      </c>
      <c r="O158">
        <f t="shared" si="37"/>
        <v>0.77545750301188487</v>
      </c>
      <c r="P158">
        <f t="shared" si="38"/>
        <v>0.65594110922027327</v>
      </c>
      <c r="Q158">
        <f t="shared" si="39"/>
        <v>0.71548064240545062</v>
      </c>
    </row>
    <row r="159" spans="1:17" x14ac:dyDescent="0.6">
      <c r="A159">
        <v>60</v>
      </c>
      <c r="B159" t="s">
        <v>99</v>
      </c>
      <c r="C159" t="s">
        <v>167</v>
      </c>
      <c r="D159">
        <v>7.5261966029999998</v>
      </c>
      <c r="E159">
        <v>0.30075816700000002</v>
      </c>
      <c r="F159">
        <v>5.8170013430000003</v>
      </c>
      <c r="G159">
        <v>0.42313114499999999</v>
      </c>
      <c r="H159">
        <v>4.5469360349999999</v>
      </c>
      <c r="I159">
        <v>0.333240543</v>
      </c>
      <c r="J159">
        <f t="shared" si="32"/>
        <v>4.2745731957130229</v>
      </c>
      <c r="K159">
        <f t="shared" si="33"/>
        <v>1.3217967953680236</v>
      </c>
      <c r="L159">
        <f t="shared" si="34"/>
        <v>0.61936298264756351</v>
      </c>
      <c r="M159">
        <f t="shared" si="35"/>
        <v>0.65225671908739036</v>
      </c>
      <c r="N159">
        <f t="shared" si="36"/>
        <v>0.68594093487031838</v>
      </c>
      <c r="O159">
        <f t="shared" si="37"/>
        <v>0.70262713427806345</v>
      </c>
      <c r="P159">
        <f t="shared" si="38"/>
        <v>0.8143412486154159</v>
      </c>
      <c r="Q159">
        <f t="shared" si="39"/>
        <v>0.8000441762142706</v>
      </c>
    </row>
    <row r="160" spans="1:17" x14ac:dyDescent="0.6">
      <c r="A160">
        <v>30</v>
      </c>
      <c r="B160" t="s">
        <v>6</v>
      </c>
      <c r="C160" t="s">
        <v>8</v>
      </c>
      <c r="D160">
        <v>7.4534726520000003</v>
      </c>
      <c r="E160">
        <v>0.29792400000000002</v>
      </c>
      <c r="F160">
        <v>5.6844968329999999</v>
      </c>
      <c r="G160">
        <v>0.41555569799999997</v>
      </c>
      <c r="H160">
        <v>4.8734130860000002</v>
      </c>
      <c r="I160">
        <v>0.35191327</v>
      </c>
      <c r="J160">
        <f t="shared" si="32"/>
        <v>4.2607241918165553</v>
      </c>
      <c r="K160">
        <f t="shared" si="33"/>
        <v>1.3111165207406448</v>
      </c>
      <c r="L160">
        <f t="shared" si="34"/>
        <v>0.66185839179309058</v>
      </c>
      <c r="M160">
        <f t="shared" si="35"/>
        <v>0.6731548630817179</v>
      </c>
      <c r="N160">
        <f t="shared" si="36"/>
        <v>0.76705443048127264</v>
      </c>
      <c r="O160">
        <f t="shared" si="37"/>
        <v>0.76720787103642629</v>
      </c>
      <c r="P160">
        <f t="shared" si="38"/>
        <v>0.68907779486813248</v>
      </c>
      <c r="Q160">
        <f t="shared" si="39"/>
        <v>0.70237084055591559</v>
      </c>
    </row>
    <row r="161" spans="1:17" x14ac:dyDescent="0.6">
      <c r="A161">
        <v>30</v>
      </c>
      <c r="B161" t="s">
        <v>9</v>
      </c>
      <c r="C161" t="s">
        <v>184</v>
      </c>
      <c r="D161">
        <v>7.3475514080000002</v>
      </c>
      <c r="E161">
        <v>0.28750274999999997</v>
      </c>
      <c r="F161">
        <v>5.7964430130000002</v>
      </c>
      <c r="G161">
        <v>0.42306592500000001</v>
      </c>
      <c r="H161">
        <v>4.8620605469999996</v>
      </c>
      <c r="I161">
        <v>0.35609102399999998</v>
      </c>
      <c r="J161">
        <f t="shared" si="32"/>
        <v>4.2494101152854462</v>
      </c>
      <c r="K161">
        <f t="shared" si="33"/>
        <v>1.3033368822566322</v>
      </c>
      <c r="L161">
        <f t="shared" si="34"/>
        <v>0.72375225948164956</v>
      </c>
      <c r="M161">
        <f t="shared" si="35"/>
        <v>0.74999747083944268</v>
      </c>
      <c r="N161">
        <f t="shared" si="36"/>
        <v>0.69852584998168743</v>
      </c>
      <c r="O161">
        <f t="shared" si="37"/>
        <v>0.70318313521786002</v>
      </c>
      <c r="P161">
        <f t="shared" si="38"/>
        <v>0.69343356272251933</v>
      </c>
      <c r="Q161">
        <f t="shared" si="39"/>
        <v>0.68051783704228674</v>
      </c>
    </row>
    <row r="162" spans="1:17" x14ac:dyDescent="0.6">
      <c r="A162">
        <v>90</v>
      </c>
      <c r="B162" t="s">
        <v>92</v>
      </c>
      <c r="C162" t="s">
        <v>177</v>
      </c>
      <c r="D162">
        <v>7.567043913</v>
      </c>
      <c r="E162">
        <v>0.303448412</v>
      </c>
      <c r="F162">
        <v>5.8278214960000003</v>
      </c>
      <c r="G162">
        <v>0.42337012699999998</v>
      </c>
      <c r="H162">
        <v>4.5177001949999998</v>
      </c>
      <c r="I162">
        <v>0.33029998199999999</v>
      </c>
      <c r="J162">
        <f t="shared" ref="J162:J193" si="40">SUM(L162:Q162)</f>
        <v>4.2488054383459346</v>
      </c>
      <c r="K162">
        <f t="shared" ref="K162:K193" si="41">0.5*SIN(RADIANS(60))*((L162*M162)+(M162*N162)+(N162*O162)+(O162*P162)+(P162*Q162)+(Q162*L162))</f>
        <v>1.3073864882700019</v>
      </c>
      <c r="L162">
        <f t="shared" ref="L162:L193" si="42">(MAX(D:D)-D162)/(MAX(D:D)-MIN(D:D))</f>
        <v>0.59549432415093972</v>
      </c>
      <c r="M162">
        <f t="shared" ref="M162:M193" si="43">(MAX(E:E)-E162)/(MAX(E:E)-MIN(E:E))</f>
        <v>0.63241980496411543</v>
      </c>
      <c r="N162">
        <f t="shared" ref="N162:N193" si="44">(MAX(F:F)-F162)/(MAX(F:F)-MIN(F:F))</f>
        <v>0.67931730799999257</v>
      </c>
      <c r="O162">
        <f t="shared" ref="O162:O193" si="45">(MAX(G:G)-G162)/(MAX(G:G)-MIN(G:G))</f>
        <v>0.70058981111654084</v>
      </c>
      <c r="P162">
        <f t="shared" ref="P162:P193" si="46">(MAX(H:H)-H162)/(MAX(H:H)-MIN(H:H))</f>
        <v>0.82555852186750422</v>
      </c>
      <c r="Q162">
        <f t="shared" ref="Q162:Q193" si="47">(MAX(I:I)-I162)/(MAX(I:I)-MIN(I:I))</f>
        <v>0.81542566824684137</v>
      </c>
    </row>
    <row r="163" spans="1:17" x14ac:dyDescent="0.6">
      <c r="A163">
        <v>60</v>
      </c>
      <c r="B163" t="s">
        <v>6</v>
      </c>
      <c r="C163" t="s">
        <v>184</v>
      </c>
      <c r="D163">
        <v>7.4011120400000001</v>
      </c>
      <c r="E163">
        <v>0.291778708</v>
      </c>
      <c r="F163">
        <v>5.6897693980000001</v>
      </c>
      <c r="G163">
        <v>0.41433295599999997</v>
      </c>
      <c r="H163">
        <v>5.0358276369999997</v>
      </c>
      <c r="I163">
        <v>0.36658699099999997</v>
      </c>
      <c r="J163">
        <f t="shared" si="40"/>
        <v>4.2047590630114104</v>
      </c>
      <c r="K163">
        <f t="shared" si="41"/>
        <v>1.2786780712689187</v>
      </c>
      <c r="L163">
        <f t="shared" si="42"/>
        <v>0.69245471665517377</v>
      </c>
      <c r="M163">
        <f t="shared" si="43"/>
        <v>0.71846807049087558</v>
      </c>
      <c r="N163">
        <f t="shared" si="44"/>
        <v>0.76382679560313915</v>
      </c>
      <c r="O163">
        <f t="shared" si="45"/>
        <v>0.77763175483171842</v>
      </c>
      <c r="P163">
        <f t="shared" si="46"/>
        <v>0.62676221239531038</v>
      </c>
      <c r="Q163">
        <f t="shared" si="47"/>
        <v>0.62561551303519247</v>
      </c>
    </row>
    <row r="164" spans="1:17" x14ac:dyDescent="0.6">
      <c r="A164">
        <v>60</v>
      </c>
      <c r="B164" t="s">
        <v>6</v>
      </c>
      <c r="C164" t="s">
        <v>8</v>
      </c>
      <c r="D164">
        <v>7.5197311899999999</v>
      </c>
      <c r="E164">
        <v>0.30258052699999999</v>
      </c>
      <c r="F164">
        <v>5.7225223889999999</v>
      </c>
      <c r="G164">
        <v>0.41718175000000002</v>
      </c>
      <c r="H164">
        <v>4.8104858400000001</v>
      </c>
      <c r="I164">
        <v>0.34794145700000001</v>
      </c>
      <c r="J164">
        <f t="shared" si="40"/>
        <v>4.1954513313888775</v>
      </c>
      <c r="K164">
        <f t="shared" si="41"/>
        <v>1.2718550885508015</v>
      </c>
      <c r="L164">
        <f t="shared" si="42"/>
        <v>0.62314097280007608</v>
      </c>
      <c r="M164">
        <f t="shared" si="43"/>
        <v>0.63881928167121049</v>
      </c>
      <c r="N164">
        <f t="shared" si="44"/>
        <v>0.74377683963013796</v>
      </c>
      <c r="O164">
        <f t="shared" si="45"/>
        <v>0.75334576677150145</v>
      </c>
      <c r="P164">
        <f t="shared" si="46"/>
        <v>0.71322186301816282</v>
      </c>
      <c r="Q164">
        <f t="shared" si="47"/>
        <v>0.72314660749778847</v>
      </c>
    </row>
    <row r="165" spans="1:17" x14ac:dyDescent="0.6">
      <c r="A165">
        <v>90</v>
      </c>
      <c r="B165" t="s">
        <v>9</v>
      </c>
      <c r="C165" t="s">
        <v>167</v>
      </c>
      <c r="D165">
        <v>7.6604377880000003</v>
      </c>
      <c r="E165">
        <v>0.31437827899999998</v>
      </c>
      <c r="F165">
        <v>5.7231328259999996</v>
      </c>
      <c r="G165">
        <v>0.417059393</v>
      </c>
      <c r="H165">
        <v>4.6436157229999999</v>
      </c>
      <c r="I165">
        <v>0.33006569200000002</v>
      </c>
      <c r="J165">
        <f t="shared" si="40"/>
        <v>4.1844376944514359</v>
      </c>
      <c r="K165">
        <f t="shared" si="41"/>
        <v>1.2697530481478843</v>
      </c>
      <c r="L165">
        <f t="shared" si="42"/>
        <v>0.5409206812831141</v>
      </c>
      <c r="M165">
        <f t="shared" si="43"/>
        <v>0.55182683552905776</v>
      </c>
      <c r="N165">
        <f t="shared" si="44"/>
        <v>0.74340315665949608</v>
      </c>
      <c r="O165">
        <f t="shared" si="45"/>
        <v>0.7543888610215892</v>
      </c>
      <c r="P165">
        <f t="shared" si="46"/>
        <v>0.77724696713683872</v>
      </c>
      <c r="Q165">
        <f t="shared" si="47"/>
        <v>0.81665119282133947</v>
      </c>
    </row>
    <row r="166" spans="1:17" x14ac:dyDescent="0.6">
      <c r="A166">
        <v>60</v>
      </c>
      <c r="B166" t="s">
        <v>99</v>
      </c>
      <c r="C166" t="s">
        <v>7</v>
      </c>
      <c r="D166">
        <v>7.4350009999999997</v>
      </c>
      <c r="E166">
        <v>0.29480000000000001</v>
      </c>
      <c r="F166">
        <v>5.7304399999999998</v>
      </c>
      <c r="G166">
        <v>0.41740500000000003</v>
      </c>
      <c r="H166">
        <v>4.920471</v>
      </c>
      <c r="I166">
        <v>0.36538900000000002</v>
      </c>
      <c r="J166">
        <f t="shared" si="40"/>
        <v>4.1621192796585307</v>
      </c>
      <c r="K166">
        <f t="shared" si="41"/>
        <v>1.2519573380052658</v>
      </c>
      <c r="L166">
        <f t="shared" si="42"/>
        <v>0.67265209041012286</v>
      </c>
      <c r="M166">
        <f t="shared" si="43"/>
        <v>0.6961901329999266</v>
      </c>
      <c r="N166">
        <f t="shared" si="44"/>
        <v>0.7389300226795471</v>
      </c>
      <c r="O166">
        <f t="shared" si="45"/>
        <v>0.75144255901606405</v>
      </c>
      <c r="P166">
        <f t="shared" si="46"/>
        <v>0.67102250793225959</v>
      </c>
      <c r="Q166">
        <f t="shared" si="47"/>
        <v>0.63188196662061058</v>
      </c>
    </row>
    <row r="167" spans="1:17" x14ac:dyDescent="0.6">
      <c r="A167">
        <v>5</v>
      </c>
      <c r="B167" t="s">
        <v>9</v>
      </c>
      <c r="C167" t="s">
        <v>171</v>
      </c>
      <c r="D167">
        <v>7.555311992</v>
      </c>
      <c r="E167">
        <v>0.306399427</v>
      </c>
      <c r="F167">
        <v>5.8581225899999998</v>
      </c>
      <c r="G167">
        <v>0.42890978600000002</v>
      </c>
      <c r="H167">
        <v>4.682617188</v>
      </c>
      <c r="I167">
        <v>0.34415055300000003</v>
      </c>
      <c r="J167">
        <f t="shared" si="40"/>
        <v>4.0324011527756962</v>
      </c>
      <c r="K167">
        <f t="shared" si="41"/>
        <v>1.1756276142718967</v>
      </c>
      <c r="L167">
        <f t="shared" si="42"/>
        <v>0.60234973802907188</v>
      </c>
      <c r="M167">
        <f t="shared" si="43"/>
        <v>0.61066006518892912</v>
      </c>
      <c r="N167">
        <f t="shared" si="44"/>
        <v>0.66076829668576598</v>
      </c>
      <c r="O167">
        <f t="shared" si="45"/>
        <v>0.65336418078606695</v>
      </c>
      <c r="P167">
        <f t="shared" si="46"/>
        <v>0.76228279678508004</v>
      </c>
      <c r="Q167">
        <f t="shared" si="47"/>
        <v>0.74297607530078258</v>
      </c>
    </row>
    <row r="168" spans="1:17" x14ac:dyDescent="0.6">
      <c r="A168">
        <v>90</v>
      </c>
      <c r="B168" t="s">
        <v>99</v>
      </c>
      <c r="C168" t="s">
        <v>181</v>
      </c>
      <c r="D168">
        <v>7.6098460560000003</v>
      </c>
      <c r="E168">
        <v>0.30686392699999998</v>
      </c>
      <c r="F168">
        <v>5.8823024799999999</v>
      </c>
      <c r="G168">
        <v>0.427302609</v>
      </c>
      <c r="H168">
        <v>4.6994628909999996</v>
      </c>
      <c r="I168">
        <v>0.33613069499999998</v>
      </c>
      <c r="J168">
        <f t="shared" si="40"/>
        <v>4.0314959466736742</v>
      </c>
      <c r="K168">
        <f t="shared" si="41"/>
        <v>1.1755444879056836</v>
      </c>
      <c r="L168">
        <f t="shared" si="42"/>
        <v>0.57048338134489796</v>
      </c>
      <c r="M168">
        <f t="shared" si="43"/>
        <v>0.6072350066495541</v>
      </c>
      <c r="N168">
        <f t="shared" si="44"/>
        <v>0.64596642012029393</v>
      </c>
      <c r="O168">
        <f t="shared" si="45"/>
        <v>0.66706537554871215</v>
      </c>
      <c r="P168">
        <f t="shared" si="46"/>
        <v>0.75581939933610931</v>
      </c>
      <c r="Q168">
        <f t="shared" si="47"/>
        <v>0.7849263636741064</v>
      </c>
    </row>
    <row r="169" spans="1:17" x14ac:dyDescent="0.6">
      <c r="A169">
        <v>60</v>
      </c>
      <c r="B169" t="s">
        <v>9</v>
      </c>
      <c r="C169" t="s">
        <v>171</v>
      </c>
      <c r="D169">
        <v>7.5462677969999996</v>
      </c>
      <c r="E169">
        <v>0.30261386400000001</v>
      </c>
      <c r="F169">
        <v>5.8844521260000002</v>
      </c>
      <c r="G169">
        <v>0.42830052499999999</v>
      </c>
      <c r="H169">
        <v>4.7680053710000001</v>
      </c>
      <c r="I169">
        <v>0.34497756899999998</v>
      </c>
      <c r="J169">
        <f t="shared" si="40"/>
        <v>4.0175876956262</v>
      </c>
      <c r="K169">
        <f t="shared" si="41"/>
        <v>1.1658164764248646</v>
      </c>
      <c r="L169">
        <f t="shared" si="42"/>
        <v>0.60763460995409913</v>
      </c>
      <c r="M169">
        <f t="shared" si="43"/>
        <v>0.63857346643649093</v>
      </c>
      <c r="N169">
        <f t="shared" si="44"/>
        <v>0.64465050037245941</v>
      </c>
      <c r="O169">
        <f t="shared" si="45"/>
        <v>0.65855813491948489</v>
      </c>
      <c r="P169">
        <f t="shared" si="46"/>
        <v>0.72952086549764916</v>
      </c>
      <c r="Q169">
        <f t="shared" si="47"/>
        <v>0.73865011844601647</v>
      </c>
    </row>
    <row r="170" spans="1:17" x14ac:dyDescent="0.6">
      <c r="A170">
        <v>30</v>
      </c>
      <c r="B170" t="s">
        <v>99</v>
      </c>
      <c r="C170" t="s">
        <v>171</v>
      </c>
      <c r="D170">
        <v>7.3695552690000001</v>
      </c>
      <c r="E170">
        <v>0.28993969400000003</v>
      </c>
      <c r="F170">
        <v>5.795027353</v>
      </c>
      <c r="G170">
        <v>0.42326796999999999</v>
      </c>
      <c r="H170">
        <v>5.1556396480000002</v>
      </c>
      <c r="I170">
        <v>0.37674241200000003</v>
      </c>
      <c r="J170">
        <f t="shared" si="40"/>
        <v>3.9970630057687635</v>
      </c>
      <c r="K170">
        <f t="shared" si="41"/>
        <v>1.1560803339226666</v>
      </c>
      <c r="L170">
        <f t="shared" si="42"/>
        <v>0.71089455492739195</v>
      </c>
      <c r="M170">
        <f t="shared" si="43"/>
        <v>0.73202830860654899</v>
      </c>
      <c r="N170">
        <f t="shared" si="44"/>
        <v>0.69939245543682715</v>
      </c>
      <c r="O170">
        <f t="shared" si="45"/>
        <v>0.70146070023041407</v>
      </c>
      <c r="P170">
        <f t="shared" si="46"/>
        <v>0.58079246887950187</v>
      </c>
      <c r="Q170">
        <f t="shared" si="47"/>
        <v>0.57249451768807935</v>
      </c>
    </row>
    <row r="171" spans="1:17" x14ac:dyDescent="0.6">
      <c r="A171">
        <v>10</v>
      </c>
      <c r="B171" t="s">
        <v>9</v>
      </c>
      <c r="C171" t="s">
        <v>8</v>
      </c>
      <c r="D171">
        <v>7.5700877000000002</v>
      </c>
      <c r="E171">
        <v>0.30700049499999998</v>
      </c>
      <c r="F171">
        <v>5.8563513289999998</v>
      </c>
      <c r="G171">
        <v>0.42847433499999998</v>
      </c>
      <c r="H171">
        <v>4.713378906</v>
      </c>
      <c r="I171">
        <v>0.347972895</v>
      </c>
      <c r="J171">
        <f t="shared" si="40"/>
        <v>3.9923349464497608</v>
      </c>
      <c r="K171">
        <f t="shared" si="41"/>
        <v>1.1522471071898532</v>
      </c>
      <c r="L171">
        <f t="shared" si="42"/>
        <v>0.59371572202415424</v>
      </c>
      <c r="M171">
        <f t="shared" si="43"/>
        <v>0.60622800257074805</v>
      </c>
      <c r="N171">
        <f t="shared" si="44"/>
        <v>0.66185258560053084</v>
      </c>
      <c r="O171">
        <f t="shared" si="45"/>
        <v>0.65707640349743535</v>
      </c>
      <c r="P171">
        <f t="shared" si="46"/>
        <v>0.75048007120888038</v>
      </c>
      <c r="Q171">
        <f t="shared" si="47"/>
        <v>0.72298216154801231</v>
      </c>
    </row>
    <row r="172" spans="1:17" x14ac:dyDescent="0.6">
      <c r="A172">
        <v>90</v>
      </c>
      <c r="B172" t="s">
        <v>9</v>
      </c>
      <c r="C172" t="s">
        <v>7</v>
      </c>
      <c r="D172">
        <v>7.6237277749999999</v>
      </c>
      <c r="E172">
        <v>0.30664734100000002</v>
      </c>
      <c r="F172">
        <v>5.9513658500000002</v>
      </c>
      <c r="G172">
        <v>0.43191930499999998</v>
      </c>
      <c r="H172">
        <v>4.6381225590000001</v>
      </c>
      <c r="I172">
        <v>0.33464390100000002</v>
      </c>
      <c r="J172">
        <f t="shared" si="40"/>
        <v>3.97465871903055</v>
      </c>
      <c r="K172">
        <f t="shared" si="41"/>
        <v>1.1438782407785748</v>
      </c>
      <c r="L172">
        <f t="shared" si="42"/>
        <v>0.56237175758908442</v>
      </c>
      <c r="M172">
        <f t="shared" si="43"/>
        <v>0.60883203512922901</v>
      </c>
      <c r="N172">
        <f t="shared" si="44"/>
        <v>0.60368883002639662</v>
      </c>
      <c r="O172">
        <f t="shared" si="45"/>
        <v>0.62770801101703699</v>
      </c>
      <c r="P172">
        <f t="shared" si="46"/>
        <v>0.77935459673142304</v>
      </c>
      <c r="Q172">
        <f t="shared" si="47"/>
        <v>0.79270348853738015</v>
      </c>
    </row>
    <row r="173" spans="1:17" x14ac:dyDescent="0.6">
      <c r="A173">
        <v>60</v>
      </c>
      <c r="B173" t="s">
        <v>9</v>
      </c>
      <c r="C173" t="s">
        <v>7</v>
      </c>
      <c r="D173">
        <v>7.4964709120000004</v>
      </c>
      <c r="E173">
        <v>0.29857578600000001</v>
      </c>
      <c r="F173">
        <v>5.8058312159999996</v>
      </c>
      <c r="G173">
        <v>0.42238218300000002</v>
      </c>
      <c r="H173">
        <v>5.0402832030000004</v>
      </c>
      <c r="I173">
        <v>0.36676610399999998</v>
      </c>
      <c r="J173">
        <f t="shared" si="40"/>
        <v>3.956603814289676</v>
      </c>
      <c r="K173">
        <f t="shared" si="41"/>
        <v>1.130659548445929</v>
      </c>
      <c r="L173">
        <f t="shared" si="42"/>
        <v>0.63673285026075876</v>
      </c>
      <c r="M173">
        <f t="shared" si="43"/>
        <v>0.66834882388872519</v>
      </c>
      <c r="N173">
        <f t="shared" si="44"/>
        <v>0.69277880059570651</v>
      </c>
      <c r="O173">
        <f t="shared" si="45"/>
        <v>0.70901204037852383</v>
      </c>
      <c r="P173">
        <f t="shared" si="46"/>
        <v>0.62505269074945646</v>
      </c>
      <c r="Q173">
        <f t="shared" si="47"/>
        <v>0.62467860841650569</v>
      </c>
    </row>
    <row r="174" spans="1:17" x14ac:dyDescent="0.6">
      <c r="A174">
        <v>60</v>
      </c>
      <c r="B174" t="s">
        <v>6</v>
      </c>
      <c r="C174" t="s">
        <v>7</v>
      </c>
      <c r="D174">
        <v>7.6476130290000004</v>
      </c>
      <c r="E174">
        <v>0.31321900499999999</v>
      </c>
      <c r="F174">
        <v>5.8081255829999998</v>
      </c>
      <c r="G174">
        <v>0.42361236699999999</v>
      </c>
      <c r="H174">
        <v>4.7575073239999996</v>
      </c>
      <c r="I174">
        <v>0.349641074</v>
      </c>
      <c r="J174">
        <f t="shared" si="40"/>
        <v>3.9464936241463158</v>
      </c>
      <c r="K174">
        <f t="shared" si="41"/>
        <v>1.1283189621201839</v>
      </c>
      <c r="L174">
        <f t="shared" si="42"/>
        <v>0.54841468254959891</v>
      </c>
      <c r="M174">
        <f t="shared" si="43"/>
        <v>0.56037491155311703</v>
      </c>
      <c r="N174">
        <f t="shared" si="44"/>
        <v>0.69137428894863562</v>
      </c>
      <c r="O174">
        <f t="shared" si="45"/>
        <v>0.69852471348304856</v>
      </c>
      <c r="P174">
        <f t="shared" si="46"/>
        <v>0.73354877992775525</v>
      </c>
      <c r="Q174">
        <f t="shared" si="47"/>
        <v>0.71425624768416052</v>
      </c>
    </row>
    <row r="175" spans="1:17" x14ac:dyDescent="0.6">
      <c r="A175">
        <v>5</v>
      </c>
      <c r="B175" t="s">
        <v>9</v>
      </c>
      <c r="C175" t="s">
        <v>174</v>
      </c>
      <c r="D175">
        <v>7.5260731209999996</v>
      </c>
      <c r="E175">
        <v>0.30478380700000002</v>
      </c>
      <c r="F175">
        <v>5.8091787359999998</v>
      </c>
      <c r="G175">
        <v>0.42566166300000002</v>
      </c>
      <c r="H175">
        <v>4.993164063</v>
      </c>
      <c r="I175">
        <v>0.36733003600000003</v>
      </c>
      <c r="J175">
        <f t="shared" si="40"/>
        <v>3.8786525196168622</v>
      </c>
      <c r="K175">
        <f t="shared" si="41"/>
        <v>1.0864632122121978</v>
      </c>
      <c r="L175">
        <f t="shared" si="42"/>
        <v>0.61943513794220806</v>
      </c>
      <c r="M175">
        <f t="shared" si="43"/>
        <v>0.62257307504336434</v>
      </c>
      <c r="N175">
        <f t="shared" si="44"/>
        <v>0.69072959450583393</v>
      </c>
      <c r="O175">
        <f t="shared" si="45"/>
        <v>0.68105445126407083</v>
      </c>
      <c r="P175">
        <f t="shared" si="46"/>
        <v>0.64313146901556439</v>
      </c>
      <c r="Q175">
        <f t="shared" si="47"/>
        <v>0.62172879184581997</v>
      </c>
    </row>
    <row r="176" spans="1:17" x14ac:dyDescent="0.6">
      <c r="A176">
        <v>60</v>
      </c>
      <c r="B176" t="s">
        <v>6</v>
      </c>
      <c r="C176" t="s">
        <v>167</v>
      </c>
      <c r="D176">
        <v>7.7816613529999996</v>
      </c>
      <c r="E176">
        <v>0.32546652799999998</v>
      </c>
      <c r="F176">
        <v>5.9491840710000004</v>
      </c>
      <c r="G176">
        <v>0.43443104399999999</v>
      </c>
      <c r="H176">
        <v>4.474609375</v>
      </c>
      <c r="I176">
        <v>0.32742282499999997</v>
      </c>
      <c r="J176">
        <f t="shared" si="40"/>
        <v>3.8240381416274491</v>
      </c>
      <c r="K176">
        <f t="shared" si="41"/>
        <v>1.070616540396456</v>
      </c>
      <c r="L176">
        <f t="shared" si="42"/>
        <v>0.47008507730507382</v>
      </c>
      <c r="M176">
        <f t="shared" si="43"/>
        <v>0.47006601330264736</v>
      </c>
      <c r="N176">
        <f t="shared" si="44"/>
        <v>0.60502442019869007</v>
      </c>
      <c r="O176">
        <f t="shared" si="45"/>
        <v>0.60629541910467666</v>
      </c>
      <c r="P176">
        <f t="shared" si="46"/>
        <v>0.84209170519989873</v>
      </c>
      <c r="Q176">
        <f t="shared" si="47"/>
        <v>0.83047550651646251</v>
      </c>
    </row>
    <row r="177" spans="1:17" x14ac:dyDescent="0.6">
      <c r="A177">
        <v>30</v>
      </c>
      <c r="B177" t="s">
        <v>9</v>
      </c>
      <c r="C177" t="s">
        <v>167</v>
      </c>
      <c r="D177">
        <v>7.5860740230000001</v>
      </c>
      <c r="E177">
        <v>0.30612790299999998</v>
      </c>
      <c r="F177">
        <v>5.9595176920000004</v>
      </c>
      <c r="G177">
        <v>0.43484306700000003</v>
      </c>
      <c r="H177">
        <v>4.9299926760000004</v>
      </c>
      <c r="I177">
        <v>0.35561045299999999</v>
      </c>
      <c r="J177">
        <f t="shared" si="40"/>
        <v>3.7489188497912669</v>
      </c>
      <c r="K177">
        <f t="shared" si="41"/>
        <v>1.0145351180672413</v>
      </c>
      <c r="L177">
        <f t="shared" si="42"/>
        <v>0.58437429698775112</v>
      </c>
      <c r="M177">
        <f t="shared" si="43"/>
        <v>0.6126621870292851</v>
      </c>
      <c r="N177">
        <f t="shared" si="44"/>
        <v>0.59869862704924359</v>
      </c>
      <c r="O177">
        <f t="shared" si="45"/>
        <v>0.60278292025128977</v>
      </c>
      <c r="P177">
        <f t="shared" si="46"/>
        <v>0.66736920973696723</v>
      </c>
      <c r="Q177">
        <f t="shared" si="47"/>
        <v>0.68303160873673019</v>
      </c>
    </row>
    <row r="178" spans="1:17" x14ac:dyDescent="0.6">
      <c r="A178">
        <v>90</v>
      </c>
      <c r="B178" t="s">
        <v>9</v>
      </c>
      <c r="C178" t="s">
        <v>171</v>
      </c>
      <c r="D178">
        <v>7.6994646800000002</v>
      </c>
      <c r="E178">
        <v>0.31297444299999999</v>
      </c>
      <c r="F178">
        <v>6.0165756430000004</v>
      </c>
      <c r="G178">
        <v>0.43660273199999999</v>
      </c>
      <c r="H178">
        <v>4.694824219</v>
      </c>
      <c r="I178">
        <v>0.34256580199999997</v>
      </c>
      <c r="J178">
        <f t="shared" si="40"/>
        <v>3.740710754069513</v>
      </c>
      <c r="K178">
        <f t="shared" si="41"/>
        <v>1.0146744776784313</v>
      </c>
      <c r="L178">
        <f t="shared" si="42"/>
        <v>0.51811576322773634</v>
      </c>
      <c r="M178">
        <f t="shared" si="43"/>
        <v>0.56217822515162441</v>
      </c>
      <c r="N178">
        <f t="shared" si="44"/>
        <v>0.56377023209869792</v>
      </c>
      <c r="O178">
        <f t="shared" si="45"/>
        <v>0.58778176426037565</v>
      </c>
      <c r="P178">
        <f t="shared" si="46"/>
        <v>0.75759917550641276</v>
      </c>
      <c r="Q178">
        <f t="shared" si="47"/>
        <v>0.75126559382466607</v>
      </c>
    </row>
    <row r="179" spans="1:17" x14ac:dyDescent="0.6">
      <c r="A179">
        <v>90</v>
      </c>
      <c r="B179" t="s">
        <v>9</v>
      </c>
      <c r="C179" t="s">
        <v>177</v>
      </c>
      <c r="D179">
        <v>7.7585138059999998</v>
      </c>
      <c r="E179">
        <v>0.32037516700000002</v>
      </c>
      <c r="F179">
        <v>6.0094596129999998</v>
      </c>
      <c r="G179">
        <v>0.43744283499999997</v>
      </c>
      <c r="H179">
        <v>4.6333618159999999</v>
      </c>
      <c r="I179">
        <v>0.32960342399999998</v>
      </c>
      <c r="J179">
        <f t="shared" si="40"/>
        <v>3.7402156594541989</v>
      </c>
      <c r="K179">
        <f t="shared" si="41"/>
        <v>1.0189903789610568</v>
      </c>
      <c r="L179">
        <f t="shared" si="42"/>
        <v>0.48361108169502115</v>
      </c>
      <c r="M179">
        <f t="shared" si="43"/>
        <v>0.50760790667205824</v>
      </c>
      <c r="N179">
        <f t="shared" si="44"/>
        <v>0.5681263560387243</v>
      </c>
      <c r="O179">
        <f t="shared" si="45"/>
        <v>0.58061988052032576</v>
      </c>
      <c r="P179">
        <f t="shared" si="46"/>
        <v>0.78118120937925428</v>
      </c>
      <c r="Q179">
        <f t="shared" si="47"/>
        <v>0.81906922514881475</v>
      </c>
    </row>
    <row r="180" spans="1:17" x14ac:dyDescent="0.6">
      <c r="A180">
        <v>30</v>
      </c>
      <c r="B180" t="s">
        <v>9</v>
      </c>
      <c r="C180" t="s">
        <v>8</v>
      </c>
      <c r="D180">
        <v>7.6305046079999999</v>
      </c>
      <c r="E180">
        <v>0.30891904799999997</v>
      </c>
      <c r="F180">
        <v>5.8908187720000003</v>
      </c>
      <c r="G180">
        <v>0.42947208599999998</v>
      </c>
      <c r="H180">
        <v>4.8965454099999999</v>
      </c>
      <c r="I180">
        <v>0.36789645500000001</v>
      </c>
      <c r="J180">
        <f t="shared" si="40"/>
        <v>3.7387850496744908</v>
      </c>
      <c r="K180">
        <f t="shared" si="41"/>
        <v>1.010282796853452</v>
      </c>
      <c r="L180">
        <f t="shared" si="42"/>
        <v>0.55841179272075769</v>
      </c>
      <c r="M180">
        <f t="shared" si="43"/>
        <v>0.59208127203061089</v>
      </c>
      <c r="N180">
        <f t="shared" si="44"/>
        <v>0.64075311671074475</v>
      </c>
      <c r="O180">
        <f t="shared" si="45"/>
        <v>0.64857056949432079</v>
      </c>
      <c r="P180">
        <f t="shared" si="46"/>
        <v>0.68020233244721906</v>
      </c>
      <c r="Q180">
        <f t="shared" si="47"/>
        <v>0.61876596627083735</v>
      </c>
    </row>
    <row r="181" spans="1:17" x14ac:dyDescent="0.6">
      <c r="A181">
        <v>90</v>
      </c>
      <c r="B181" t="s">
        <v>92</v>
      </c>
      <c r="C181" t="s">
        <v>8</v>
      </c>
      <c r="D181">
        <v>7.8758290000000004</v>
      </c>
      <c r="E181">
        <v>0.33429999999999999</v>
      </c>
      <c r="F181">
        <v>5.987158</v>
      </c>
      <c r="G181">
        <v>0.43723400000000001</v>
      </c>
      <c r="H181">
        <v>4.4137570000000004</v>
      </c>
      <c r="I181">
        <v>0.31723600000000002</v>
      </c>
      <c r="J181">
        <f t="shared" si="40"/>
        <v>3.7333694935359154</v>
      </c>
      <c r="K181">
        <f t="shared" si="41"/>
        <v>1.0297758649587929</v>
      </c>
      <c r="L181">
        <f t="shared" si="42"/>
        <v>0.41505928961737476</v>
      </c>
      <c r="M181">
        <f t="shared" si="43"/>
        <v>0.40493111834908208</v>
      </c>
      <c r="N181">
        <f t="shared" si="44"/>
        <v>0.5817784331506104</v>
      </c>
      <c r="O181">
        <f t="shared" si="45"/>
        <v>0.58240020030355844</v>
      </c>
      <c r="P181">
        <f t="shared" si="46"/>
        <v>0.86543968214920286</v>
      </c>
      <c r="Q181">
        <f t="shared" si="47"/>
        <v>0.8837607699660871</v>
      </c>
    </row>
    <row r="182" spans="1:17" x14ac:dyDescent="0.6">
      <c r="A182">
        <v>10</v>
      </c>
      <c r="B182" t="s">
        <v>9</v>
      </c>
      <c r="C182" t="s">
        <v>181</v>
      </c>
      <c r="D182">
        <v>7.6736323930000001</v>
      </c>
      <c r="E182">
        <v>0.31451542700000001</v>
      </c>
      <c r="F182">
        <v>6.0577279150000001</v>
      </c>
      <c r="G182">
        <v>0.442869919</v>
      </c>
      <c r="H182">
        <v>4.7322387700000004</v>
      </c>
      <c r="I182">
        <v>0.35045555499999997</v>
      </c>
      <c r="J182">
        <f t="shared" si="40"/>
        <v>3.6101984088949326</v>
      </c>
      <c r="K182">
        <f t="shared" si="41"/>
        <v>0.94465289766714056</v>
      </c>
      <c r="L182">
        <f t="shared" si="42"/>
        <v>0.53321056473583495</v>
      </c>
      <c r="M182">
        <f t="shared" si="43"/>
        <v>0.55081555473560606</v>
      </c>
      <c r="N182">
        <f t="shared" si="44"/>
        <v>0.53857860175907579</v>
      </c>
      <c r="O182">
        <f t="shared" si="45"/>
        <v>0.5343539528239768</v>
      </c>
      <c r="P182">
        <f t="shared" si="46"/>
        <v>0.74324387590937024</v>
      </c>
      <c r="Q182">
        <f t="shared" si="47"/>
        <v>0.70999585893106887</v>
      </c>
    </row>
    <row r="183" spans="1:17" x14ac:dyDescent="0.6">
      <c r="A183">
        <v>90</v>
      </c>
      <c r="B183" t="s">
        <v>9</v>
      </c>
      <c r="C183" t="s">
        <v>174</v>
      </c>
      <c r="D183">
        <v>7.698632269</v>
      </c>
      <c r="E183">
        <v>0.31373632299999998</v>
      </c>
      <c r="F183">
        <v>5.9821116830000003</v>
      </c>
      <c r="G183">
        <v>0.43451663099999999</v>
      </c>
      <c r="H183">
        <v>4.9730224610000002</v>
      </c>
      <c r="I183">
        <v>0.35725420099999999</v>
      </c>
      <c r="J183">
        <f t="shared" si="40"/>
        <v>3.5908888561044474</v>
      </c>
      <c r="K183">
        <f t="shared" si="41"/>
        <v>0.93149070391165834</v>
      </c>
      <c r="L183">
        <f t="shared" si="42"/>
        <v>0.51860217307670409</v>
      </c>
      <c r="M183">
        <f t="shared" si="43"/>
        <v>0.5565603917824552</v>
      </c>
      <c r="N183">
        <f t="shared" si="44"/>
        <v>0.58486756884743274</v>
      </c>
      <c r="O183">
        <f t="shared" si="45"/>
        <v>0.60556578935253957</v>
      </c>
      <c r="P183">
        <f t="shared" si="46"/>
        <v>0.65085944445149535</v>
      </c>
      <c r="Q183">
        <f t="shared" si="47"/>
        <v>0.67443348859382068</v>
      </c>
    </row>
    <row r="184" spans="1:17" x14ac:dyDescent="0.6">
      <c r="A184">
        <v>30</v>
      </c>
      <c r="B184" t="s">
        <v>9</v>
      </c>
      <c r="C184" t="s">
        <v>181</v>
      </c>
      <c r="D184">
        <v>7.6559406939999999</v>
      </c>
      <c r="E184">
        <v>0.31150548900000002</v>
      </c>
      <c r="F184">
        <v>6.1104576330000002</v>
      </c>
      <c r="G184">
        <v>0.44575702</v>
      </c>
      <c r="H184">
        <v>4.8057861329999998</v>
      </c>
      <c r="I184">
        <v>0.35668302200000002</v>
      </c>
      <c r="J184">
        <f t="shared" si="40"/>
        <v>3.5250457086636446</v>
      </c>
      <c r="K184">
        <f t="shared" si="41"/>
        <v>0.89924508508656398</v>
      </c>
      <c r="L184">
        <f t="shared" si="42"/>
        <v>0.54354850673632571</v>
      </c>
      <c r="M184">
        <f t="shared" si="43"/>
        <v>0.57300977185054613</v>
      </c>
      <c r="N184">
        <f t="shared" si="44"/>
        <v>0.50629976272514521</v>
      </c>
      <c r="O184">
        <f t="shared" si="45"/>
        <v>0.50974139733044532</v>
      </c>
      <c r="P184">
        <f t="shared" si="46"/>
        <v>0.71502505723538923</v>
      </c>
      <c r="Q184">
        <f t="shared" si="47"/>
        <v>0.67742121278579337</v>
      </c>
    </row>
    <row r="185" spans="1:17" x14ac:dyDescent="0.6">
      <c r="A185">
        <v>60</v>
      </c>
      <c r="B185" t="s">
        <v>99</v>
      </c>
      <c r="C185" t="s">
        <v>184</v>
      </c>
      <c r="D185">
        <v>7.7454439849999996</v>
      </c>
      <c r="E185">
        <v>0.317733767</v>
      </c>
      <c r="F185">
        <v>6.0763272370000001</v>
      </c>
      <c r="G185">
        <v>0.44181479699999998</v>
      </c>
      <c r="H185">
        <v>4.8731079099999999</v>
      </c>
      <c r="I185">
        <v>0.35573152899999999</v>
      </c>
      <c r="J185">
        <f t="shared" si="40"/>
        <v>3.4604678879476598</v>
      </c>
      <c r="K185">
        <f t="shared" si="41"/>
        <v>0.86743704799576793</v>
      </c>
      <c r="L185">
        <f t="shared" si="42"/>
        <v>0.49124828213884486</v>
      </c>
      <c r="M185">
        <f t="shared" si="43"/>
        <v>0.52708465505936819</v>
      </c>
      <c r="N185">
        <f t="shared" si="44"/>
        <v>0.52719290610680158</v>
      </c>
      <c r="O185">
        <f t="shared" si="45"/>
        <v>0.54334887498896034</v>
      </c>
      <c r="P185">
        <f t="shared" si="46"/>
        <v>0.68919488548642782</v>
      </c>
      <c r="Q185">
        <f t="shared" si="47"/>
        <v>0.68239828416725667</v>
      </c>
    </row>
    <row r="186" spans="1:17" x14ac:dyDescent="0.6">
      <c r="A186">
        <v>5</v>
      </c>
      <c r="B186" t="s">
        <v>9</v>
      </c>
      <c r="C186" t="s">
        <v>181</v>
      </c>
      <c r="D186">
        <v>7.815356467</v>
      </c>
      <c r="E186">
        <v>0.326656057</v>
      </c>
      <c r="F186">
        <v>6.0984082239999999</v>
      </c>
      <c r="G186">
        <v>0.44620880000000002</v>
      </c>
      <c r="H186">
        <v>4.8770751949999998</v>
      </c>
      <c r="I186">
        <v>0.35800665100000001</v>
      </c>
      <c r="J186">
        <f t="shared" si="40"/>
        <v>3.2894267071028236</v>
      </c>
      <c r="K186">
        <f t="shared" si="41"/>
        <v>0.78615343546234084</v>
      </c>
      <c r="L186">
        <f t="shared" si="42"/>
        <v>0.45039572275343231</v>
      </c>
      <c r="M186">
        <f t="shared" si="43"/>
        <v>0.4612948476206572</v>
      </c>
      <c r="N186">
        <f t="shared" si="44"/>
        <v>0.51367588663244546</v>
      </c>
      <c r="O186">
        <f t="shared" si="45"/>
        <v>0.50588996978396605</v>
      </c>
      <c r="P186">
        <f t="shared" si="46"/>
        <v>0.68767270859963714</v>
      </c>
      <c r="Q186">
        <f t="shared" si="47"/>
        <v>0.67049757171268531</v>
      </c>
    </row>
    <row r="187" spans="1:17" x14ac:dyDescent="0.6">
      <c r="A187">
        <v>5</v>
      </c>
      <c r="B187" t="s">
        <v>9</v>
      </c>
      <c r="C187" t="s">
        <v>7</v>
      </c>
      <c r="D187">
        <v>7.9057553230000002</v>
      </c>
      <c r="E187">
        <v>0.33435530600000002</v>
      </c>
      <c r="F187">
        <v>6.2034996659999999</v>
      </c>
      <c r="G187">
        <v>0.45389565399999998</v>
      </c>
      <c r="H187">
        <v>4.7145996090000004</v>
      </c>
      <c r="I187">
        <v>0.349579321</v>
      </c>
      <c r="J187">
        <f t="shared" si="40"/>
        <v>3.1563894370674701</v>
      </c>
      <c r="K187">
        <f t="shared" si="41"/>
        <v>0.73213104369012161</v>
      </c>
      <c r="L187">
        <f t="shared" si="42"/>
        <v>0.39757218498926955</v>
      </c>
      <c r="M187">
        <f t="shared" si="43"/>
        <v>0.40452331148669501</v>
      </c>
      <c r="N187">
        <f t="shared" si="44"/>
        <v>0.44934347847957717</v>
      </c>
      <c r="O187">
        <f t="shared" si="45"/>
        <v>0.44035948759935489</v>
      </c>
      <c r="P187">
        <f t="shared" si="46"/>
        <v>0.75001170911938164</v>
      </c>
      <c r="Q187">
        <f t="shared" si="47"/>
        <v>0.71457926539319205</v>
      </c>
    </row>
    <row r="188" spans="1:17" x14ac:dyDescent="0.6">
      <c r="A188">
        <v>20</v>
      </c>
      <c r="B188" t="s">
        <v>99</v>
      </c>
      <c r="C188" t="s">
        <v>181</v>
      </c>
      <c r="D188">
        <v>7.7886830170000003</v>
      </c>
      <c r="E188">
        <v>0.321408215</v>
      </c>
      <c r="F188">
        <v>6.1441819930000001</v>
      </c>
      <c r="G188">
        <v>0.44815480099999999</v>
      </c>
      <c r="H188">
        <v>5.1013183590000004</v>
      </c>
      <c r="I188">
        <v>0.37490279900000001</v>
      </c>
      <c r="J188">
        <f t="shared" si="40"/>
        <v>3.1246798525896269</v>
      </c>
      <c r="K188">
        <f t="shared" si="41"/>
        <v>0.70550708437832443</v>
      </c>
      <c r="L188">
        <f t="shared" si="42"/>
        <v>0.46598204824161643</v>
      </c>
      <c r="M188">
        <f t="shared" si="43"/>
        <v>0.49999057648048806</v>
      </c>
      <c r="N188">
        <f t="shared" si="44"/>
        <v>0.48565517691563403</v>
      </c>
      <c r="O188">
        <f t="shared" si="45"/>
        <v>0.48930029813653597</v>
      </c>
      <c r="P188">
        <f t="shared" si="46"/>
        <v>0.60163458397243763</v>
      </c>
      <c r="Q188">
        <f t="shared" si="47"/>
        <v>0.58211716884291476</v>
      </c>
    </row>
    <row r="189" spans="1:17" x14ac:dyDescent="0.6">
      <c r="A189">
        <v>60</v>
      </c>
      <c r="B189" t="s">
        <v>9</v>
      </c>
      <c r="C189" t="s">
        <v>181</v>
      </c>
      <c r="D189">
        <v>7.9026667240000004</v>
      </c>
      <c r="E189">
        <v>0.33001757199999998</v>
      </c>
      <c r="F189">
        <v>6.269101923</v>
      </c>
      <c r="G189">
        <v>0.45541081700000002</v>
      </c>
      <c r="H189">
        <v>4.9424438479999999</v>
      </c>
      <c r="I189">
        <v>0.35711145100000002</v>
      </c>
      <c r="J189">
        <f t="shared" si="40"/>
        <v>3.0102846441078435</v>
      </c>
      <c r="K189">
        <f t="shared" si="41"/>
        <v>0.66168117468782561</v>
      </c>
      <c r="L189">
        <f t="shared" si="42"/>
        <v>0.3993769724958155</v>
      </c>
      <c r="M189">
        <f t="shared" si="43"/>
        <v>0.43650822618688434</v>
      </c>
      <c r="N189">
        <f t="shared" si="44"/>
        <v>0.40918463116760129</v>
      </c>
      <c r="O189">
        <f t="shared" si="45"/>
        <v>0.42744271280718571</v>
      </c>
      <c r="P189">
        <f t="shared" si="46"/>
        <v>0.66259191588692745</v>
      </c>
      <c r="Q189">
        <f t="shared" si="47"/>
        <v>0.67518018556342918</v>
      </c>
    </row>
    <row r="190" spans="1:17" x14ac:dyDescent="0.6">
      <c r="A190">
        <v>5</v>
      </c>
      <c r="B190" t="s">
        <v>92</v>
      </c>
      <c r="C190" t="s">
        <v>7</v>
      </c>
      <c r="D190">
        <v>7.942977</v>
      </c>
      <c r="E190">
        <v>0.3372</v>
      </c>
      <c r="F190">
        <v>6.1162039999999998</v>
      </c>
      <c r="G190">
        <v>0.44723200000000002</v>
      </c>
      <c r="H190">
        <v>5.09314</v>
      </c>
      <c r="I190">
        <v>0.36770399999999998</v>
      </c>
      <c r="J190">
        <f t="shared" si="40"/>
        <v>2.9838640740695275</v>
      </c>
      <c r="K190">
        <f t="shared" si="41"/>
        <v>0.64751506695767713</v>
      </c>
      <c r="L190">
        <f t="shared" si="42"/>
        <v>0.37582212367593887</v>
      </c>
      <c r="M190">
        <f t="shared" si="43"/>
        <v>0.38354754512155159</v>
      </c>
      <c r="N190">
        <f t="shared" si="44"/>
        <v>0.50278208687823711</v>
      </c>
      <c r="O190">
        <f t="shared" si="45"/>
        <v>0.49716718288424155</v>
      </c>
      <c r="P190">
        <f t="shared" si="46"/>
        <v>0.60477247526123523</v>
      </c>
      <c r="Q190">
        <f t="shared" si="47"/>
        <v>0.61977266024832289</v>
      </c>
    </row>
    <row r="191" spans="1:17" x14ac:dyDescent="0.6">
      <c r="A191">
        <v>10</v>
      </c>
      <c r="B191" t="s">
        <v>9</v>
      </c>
      <c r="C191" t="s">
        <v>177</v>
      </c>
      <c r="D191">
        <v>7.9042877310000002</v>
      </c>
      <c r="E191">
        <v>0.33355741999999999</v>
      </c>
      <c r="F191">
        <v>6.1869263779999999</v>
      </c>
      <c r="G191">
        <v>0.45222766399999997</v>
      </c>
      <c r="H191">
        <v>5.0326538090000001</v>
      </c>
      <c r="I191">
        <v>0.371239449</v>
      </c>
      <c r="J191">
        <f t="shared" si="40"/>
        <v>2.9521638146592419</v>
      </c>
      <c r="K191">
        <f t="shared" si="41"/>
        <v>0.63375531364690696</v>
      </c>
      <c r="L191">
        <f t="shared" si="42"/>
        <v>0.39842975559209204</v>
      </c>
      <c r="M191">
        <f t="shared" si="43"/>
        <v>0.41040664035159907</v>
      </c>
      <c r="N191">
        <f t="shared" si="44"/>
        <v>0.4594889242719285</v>
      </c>
      <c r="O191">
        <f t="shared" si="45"/>
        <v>0.45457911359707914</v>
      </c>
      <c r="P191">
        <f t="shared" si="46"/>
        <v>0.62797995390474282</v>
      </c>
      <c r="Q191">
        <f t="shared" si="47"/>
        <v>0.60127942694180059</v>
      </c>
    </row>
    <row r="192" spans="1:17" x14ac:dyDescent="0.6">
      <c r="A192">
        <v>5</v>
      </c>
      <c r="B192" t="s">
        <v>9</v>
      </c>
      <c r="C192" t="s">
        <v>167</v>
      </c>
      <c r="D192">
        <v>8.4645931989999994</v>
      </c>
      <c r="E192">
        <v>0.38259774000000002</v>
      </c>
      <c r="F192">
        <v>6.6893971099999998</v>
      </c>
      <c r="G192">
        <v>0.48920847099999998</v>
      </c>
      <c r="H192">
        <v>5.6036376949999998</v>
      </c>
      <c r="I192">
        <v>0.41343295099999999</v>
      </c>
      <c r="J192">
        <f t="shared" si="40"/>
        <v>1.2005151775953666</v>
      </c>
      <c r="K192">
        <f t="shared" si="41"/>
        <v>0.11763006301948678</v>
      </c>
      <c r="L192">
        <f t="shared" si="42"/>
        <v>7.1021662636084004E-2</v>
      </c>
      <c r="M192">
        <f t="shared" si="43"/>
        <v>4.8800683861418837E-2</v>
      </c>
      <c r="N192">
        <f t="shared" si="44"/>
        <v>0.15189820517327429</v>
      </c>
      <c r="O192">
        <f t="shared" si="45"/>
        <v>0.13931748455013049</v>
      </c>
      <c r="P192">
        <f t="shared" si="46"/>
        <v>0.40890356438416653</v>
      </c>
      <c r="Q192">
        <f t="shared" si="47"/>
        <v>0.38057357699029254</v>
      </c>
    </row>
    <row r="193" spans="1:17" x14ac:dyDescent="0.6">
      <c r="A193">
        <v>20</v>
      </c>
      <c r="B193" t="s">
        <v>9</v>
      </c>
      <c r="C193" t="s">
        <v>174</v>
      </c>
      <c r="D193">
        <v>8.5861351730000006</v>
      </c>
      <c r="E193">
        <v>0.38921599699999998</v>
      </c>
      <c r="F193">
        <v>6.9375333430000001</v>
      </c>
      <c r="G193">
        <v>0.505550685</v>
      </c>
      <c r="H193">
        <v>6.6693725590000001</v>
      </c>
      <c r="I193">
        <v>0.48618920999999998</v>
      </c>
      <c r="J193">
        <f t="shared" si="40"/>
        <v>0</v>
      </c>
      <c r="K193">
        <f t="shared" si="41"/>
        <v>0</v>
      </c>
      <c r="L193">
        <f t="shared" si="42"/>
        <v>0</v>
      </c>
      <c r="M193">
        <f t="shared" si="43"/>
        <v>0</v>
      </c>
      <c r="N193">
        <f t="shared" si="44"/>
        <v>0</v>
      </c>
      <c r="O193">
        <f t="shared" si="45"/>
        <v>0</v>
      </c>
      <c r="P193">
        <f t="shared" si="46"/>
        <v>0</v>
      </c>
      <c r="Q193">
        <f t="shared" si="47"/>
        <v>0</v>
      </c>
    </row>
  </sheetData>
  <autoFilter ref="A1:Q193" xr:uid="{3731A224-0241-42CC-90E8-D5F46600DC6C}">
    <sortState xmlns:xlrd2="http://schemas.microsoft.com/office/spreadsheetml/2017/richdata2" ref="A2:Q193">
      <sortCondition descending="1" ref="J1:J193"/>
    </sortState>
  </autoFilter>
  <phoneticPr fontId="1" type="noConversion"/>
  <conditionalFormatting sqref="D1:D1048576">
    <cfRule type="top10" dxfId="16" priority="37" percent="1" bottom="1" rank="5"/>
  </conditionalFormatting>
  <conditionalFormatting sqref="D1:I1">
    <cfRule type="top10" dxfId="15" priority="38" percent="1" bottom="1" rank="10"/>
  </conditionalFormatting>
  <conditionalFormatting sqref="E1:E1048576">
    <cfRule type="top10" dxfId="14" priority="36" percent="1" bottom="1" rank="5"/>
  </conditionalFormatting>
  <conditionalFormatting sqref="F1:F1048576">
    <cfRule type="top10" dxfId="13" priority="35" percent="1" bottom="1" rank="5"/>
  </conditionalFormatting>
  <conditionalFormatting sqref="G1:G1048576">
    <cfRule type="top10" dxfId="12" priority="34" percent="1" bottom="1" rank="5"/>
  </conditionalFormatting>
  <conditionalFormatting sqref="H1:H1048576">
    <cfRule type="top10" dxfId="11" priority="33" percent="1" bottom="1" rank="5"/>
  </conditionalFormatting>
  <conditionalFormatting sqref="I1:I1048576">
    <cfRule type="top10" dxfId="10" priority="32" percent="1" bottom="1" rank="5"/>
  </conditionalFormatting>
  <conditionalFormatting sqref="J1">
    <cfRule type="top10" dxfId="9" priority="28" percent="1" bottom="1" rank="5"/>
    <cfRule type="top10" dxfId="8" priority="29" percent="1" bottom="1" rank="10"/>
  </conditionalFormatting>
  <conditionalFormatting sqref="K1">
    <cfRule type="top10" dxfId="7" priority="26" percent="1" bottom="1" rank="10"/>
    <cfRule type="top10" dxfId="6" priority="27" percent="1" bottom="1" rank="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85768-42A2-404E-8BFB-7F0B204B4C00}">
  <dimension ref="A1:I7"/>
  <sheetViews>
    <sheetView workbookViewId="0">
      <selection activeCell="I41" sqref="I41"/>
    </sheetView>
  </sheetViews>
  <sheetFormatPr defaultRowHeight="16.899999999999999" x14ac:dyDescent="0.6"/>
  <cols>
    <col min="1" max="1" width="8.875" bestFit="1" customWidth="1"/>
    <col min="2" max="2" width="10.75" bestFit="1" customWidth="1"/>
    <col min="3" max="3" width="32.875" bestFit="1" customWidth="1"/>
    <col min="4" max="5" width="5.8125" bestFit="1" customWidth="1"/>
    <col min="6" max="6" width="5.5625" bestFit="1" customWidth="1"/>
    <col min="7" max="7" width="6" bestFit="1" customWidth="1"/>
    <col min="8" max="8" width="7" bestFit="1" customWidth="1"/>
    <col min="9" max="9" width="8.0625" bestFit="1" customWidth="1"/>
  </cols>
  <sheetData>
    <row r="1" spans="1:9" x14ac:dyDescent="0.6">
      <c r="A1" s="16" t="s">
        <v>16</v>
      </c>
      <c r="B1" s="16" t="s">
        <v>529</v>
      </c>
      <c r="C1" s="16" t="s">
        <v>530</v>
      </c>
      <c r="D1" s="16" t="s">
        <v>1</v>
      </c>
      <c r="E1" s="16" t="s">
        <v>15</v>
      </c>
      <c r="F1" s="16" t="s">
        <v>2</v>
      </c>
      <c r="G1" s="16" t="s">
        <v>3</v>
      </c>
      <c r="H1" s="16" t="s">
        <v>4</v>
      </c>
      <c r="I1" s="16" t="s">
        <v>5</v>
      </c>
    </row>
    <row r="2" spans="1:9" x14ac:dyDescent="0.6">
      <c r="A2" s="17">
        <v>5</v>
      </c>
      <c r="B2" s="16" t="s">
        <v>99</v>
      </c>
      <c r="C2" s="16" t="s">
        <v>174</v>
      </c>
      <c r="D2" s="16">
        <v>7.092219504</v>
      </c>
      <c r="E2" s="16">
        <v>0.271810475</v>
      </c>
      <c r="F2" s="16">
        <v>5.3916216429999997</v>
      </c>
      <c r="G2" s="16">
        <v>0.39572529000000001</v>
      </c>
      <c r="H2" s="16">
        <v>4.5201416019999998</v>
      </c>
      <c r="I2" s="16">
        <v>0.32848809400000001</v>
      </c>
    </row>
    <row r="3" spans="1:9" x14ac:dyDescent="0.6">
      <c r="A3" s="17">
        <v>10</v>
      </c>
      <c r="B3" s="16" t="s">
        <v>99</v>
      </c>
      <c r="C3" s="16" t="s">
        <v>177</v>
      </c>
      <c r="D3" s="16">
        <v>7.0347555570000004</v>
      </c>
      <c r="E3" s="16">
        <v>0.26633654899999998</v>
      </c>
      <c r="F3" s="16">
        <v>5.4116259549999999</v>
      </c>
      <c r="G3" s="16">
        <v>0.39669362699999999</v>
      </c>
      <c r="H3" s="16">
        <v>4.5540771480000002</v>
      </c>
      <c r="I3" s="16">
        <v>0.34145180400000003</v>
      </c>
    </row>
    <row r="4" spans="1:9" x14ac:dyDescent="0.6">
      <c r="A4" s="17">
        <v>20</v>
      </c>
      <c r="B4" s="16" t="s">
        <v>99</v>
      </c>
      <c r="C4" s="16" t="s">
        <v>177</v>
      </c>
      <c r="D4" s="18">
        <v>6.8747985260000002</v>
      </c>
      <c r="E4" s="18">
        <v>0.25359787700000003</v>
      </c>
      <c r="F4" s="18">
        <v>5.3039641199999998</v>
      </c>
      <c r="G4" s="18">
        <v>0.38824872500000002</v>
      </c>
      <c r="H4" s="16">
        <v>4.4156494139999998</v>
      </c>
      <c r="I4" s="16">
        <v>0.32047466499999999</v>
      </c>
    </row>
    <row r="5" spans="1:9" x14ac:dyDescent="0.6">
      <c r="A5" s="17">
        <v>30</v>
      </c>
      <c r="B5" s="16" t="s">
        <v>99</v>
      </c>
      <c r="C5" s="16" t="s">
        <v>167</v>
      </c>
      <c r="D5" s="16">
        <v>7.0456242040000001</v>
      </c>
      <c r="E5" s="16">
        <v>0.26660521500000001</v>
      </c>
      <c r="F5" s="16">
        <v>5.3802638380000003</v>
      </c>
      <c r="G5" s="16">
        <v>0.393671353</v>
      </c>
      <c r="H5" s="18">
        <v>4.0630493159999999</v>
      </c>
      <c r="I5" s="18">
        <v>0.29501393300000001</v>
      </c>
    </row>
    <row r="6" spans="1:9" x14ac:dyDescent="0.6">
      <c r="A6" s="17">
        <v>60</v>
      </c>
      <c r="B6" s="16" t="s">
        <v>92</v>
      </c>
      <c r="C6" s="16" t="s">
        <v>174</v>
      </c>
      <c r="D6" s="16">
        <v>7.2218359379999999</v>
      </c>
      <c r="E6" s="16">
        <v>0.27811566300000001</v>
      </c>
      <c r="F6" s="16">
        <v>5.5552395910000003</v>
      </c>
      <c r="G6" s="16">
        <v>0.404683821</v>
      </c>
      <c r="H6" s="16">
        <v>4.543945313</v>
      </c>
      <c r="I6" s="16">
        <v>0.32296682399999999</v>
      </c>
    </row>
    <row r="7" spans="1:9" x14ac:dyDescent="0.6">
      <c r="A7" s="17">
        <v>90</v>
      </c>
      <c r="B7" s="16" t="s">
        <v>92</v>
      </c>
      <c r="C7" s="16" t="s">
        <v>7</v>
      </c>
      <c r="D7" s="16">
        <v>7.1349489999999998</v>
      </c>
      <c r="E7" s="16">
        <v>0.27160000000000001</v>
      </c>
      <c r="F7" s="16">
        <v>5.4568960000000004</v>
      </c>
      <c r="G7" s="16">
        <v>0.397374</v>
      </c>
      <c r="H7" s="16">
        <v>4.4688720000000002</v>
      </c>
      <c r="I7" s="16">
        <v>0.32714700000000002</v>
      </c>
    </row>
  </sheetData>
  <phoneticPr fontId="1" type="noConversion"/>
  <conditionalFormatting sqref="D8:D1048576">
    <cfRule type="top10" dxfId="5" priority="54" percent="1" bottom="1" rank="5"/>
  </conditionalFormatting>
  <conditionalFormatting sqref="E8:E1048576">
    <cfRule type="top10" dxfId="4" priority="53" percent="1" bottom="1" rank="5"/>
  </conditionalFormatting>
  <conditionalFormatting sqref="F8:F1048576">
    <cfRule type="top10" dxfId="3" priority="52" percent="1" bottom="1" rank="5"/>
  </conditionalFormatting>
  <conditionalFormatting sqref="G8:G1048576">
    <cfRule type="top10" dxfId="2" priority="51" percent="1" bottom="1" rank="5"/>
  </conditionalFormatting>
  <conditionalFormatting sqref="H8:H1048576">
    <cfRule type="top10" dxfId="1" priority="80" percent="1" bottom="1" rank="5"/>
  </conditionalFormatting>
  <conditionalFormatting sqref="I8:I1048576">
    <cfRule type="top10" dxfId="0" priority="49" percent="1" bottom="1" rank="5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5F44-79B7-4EA1-BF0F-B9697D210AFE}">
  <dimension ref="A1:I9"/>
  <sheetViews>
    <sheetView workbookViewId="0">
      <selection activeCell="E6" sqref="A1:I9"/>
    </sheetView>
  </sheetViews>
  <sheetFormatPr defaultRowHeight="16.899999999999999" x14ac:dyDescent="0.6"/>
  <cols>
    <col min="1" max="1" width="34.3125" bestFit="1" customWidth="1"/>
    <col min="2" max="2" width="12.8125" bestFit="1" customWidth="1"/>
    <col min="3" max="3" width="15.5" bestFit="1" customWidth="1"/>
    <col min="4" max="5" width="7.875" bestFit="1" customWidth="1"/>
    <col min="6" max="6" width="7" bestFit="1" customWidth="1"/>
    <col min="7" max="7" width="8.0625" bestFit="1" customWidth="1"/>
    <col min="8" max="8" width="9.0625" bestFit="1" customWidth="1"/>
    <col min="9" max="9" width="10.125" bestFit="1" customWidth="1"/>
  </cols>
  <sheetData>
    <row r="1" spans="1:9" x14ac:dyDescent="0.6">
      <c r="A1" s="15" t="s">
        <v>23</v>
      </c>
      <c r="B1" s="15" t="s">
        <v>529</v>
      </c>
      <c r="C1" s="15" t="s">
        <v>534</v>
      </c>
      <c r="D1" s="15" t="s">
        <v>1</v>
      </c>
      <c r="E1" s="15" t="s">
        <v>15</v>
      </c>
      <c r="F1" s="15" t="s">
        <v>2</v>
      </c>
      <c r="G1" s="15" t="s">
        <v>3</v>
      </c>
      <c r="H1" s="15" t="s">
        <v>4</v>
      </c>
      <c r="I1" s="15" t="s">
        <v>5</v>
      </c>
    </row>
    <row r="2" spans="1:9" x14ac:dyDescent="0.6">
      <c r="A2" s="6" t="s">
        <v>7</v>
      </c>
      <c r="B2" s="6" t="s">
        <v>6</v>
      </c>
      <c r="C2" s="20">
        <v>20</v>
      </c>
      <c r="D2" s="15">
        <v>6.9281274880000003</v>
      </c>
      <c r="E2" s="15">
        <v>0.25781232100000001</v>
      </c>
      <c r="F2" s="15">
        <v>5.3343183730000003</v>
      </c>
      <c r="G2" s="15">
        <v>0.39058098600000002</v>
      </c>
      <c r="H2" s="15">
        <v>4.3838500979999999</v>
      </c>
      <c r="I2" s="15">
        <v>0.31687311299999998</v>
      </c>
    </row>
    <row r="3" spans="1:9" x14ac:dyDescent="0.6">
      <c r="A3" s="6" t="s">
        <v>8</v>
      </c>
      <c r="B3" s="6" t="s">
        <v>92</v>
      </c>
      <c r="C3" s="20">
        <v>20</v>
      </c>
      <c r="D3" s="15">
        <v>6.9888719999999998</v>
      </c>
      <c r="E3" s="15">
        <v>0.26179999999999998</v>
      </c>
      <c r="F3" s="15">
        <v>5.4186059999999996</v>
      </c>
      <c r="G3" s="15">
        <v>0.39645900000000001</v>
      </c>
      <c r="H3" s="15">
        <v>4.3173830000000004</v>
      </c>
      <c r="I3" s="15">
        <v>0.32121499999999997</v>
      </c>
    </row>
    <row r="4" spans="1:9" x14ac:dyDescent="0.6">
      <c r="A4" s="6" t="s">
        <v>181</v>
      </c>
      <c r="B4" s="6" t="s">
        <v>6</v>
      </c>
      <c r="C4" s="20">
        <v>20</v>
      </c>
      <c r="D4" s="15">
        <v>6.9435927069999996</v>
      </c>
      <c r="E4" s="15">
        <v>0.25917542999999998</v>
      </c>
      <c r="F4" s="15">
        <v>5.3097110320000001</v>
      </c>
      <c r="G4" s="15">
        <v>0.388974237</v>
      </c>
      <c r="H4" s="15">
        <v>4.2913208010000004</v>
      </c>
      <c r="I4" s="15">
        <v>0.31725101500000003</v>
      </c>
    </row>
    <row r="5" spans="1:9" x14ac:dyDescent="0.6">
      <c r="A5" s="6" t="s">
        <v>171</v>
      </c>
      <c r="B5" s="6" t="s">
        <v>99</v>
      </c>
      <c r="C5" s="20">
        <v>20</v>
      </c>
      <c r="D5" s="15">
        <v>6.9660552659999997</v>
      </c>
      <c r="E5" s="15">
        <v>0.26092077600000002</v>
      </c>
      <c r="F5" s="15">
        <v>5.3270828809999999</v>
      </c>
      <c r="G5" s="15">
        <v>0.39003821700000002</v>
      </c>
      <c r="H5" s="15">
        <v>4.4567871090000004</v>
      </c>
      <c r="I5" s="15">
        <v>0.33384280199999999</v>
      </c>
    </row>
    <row r="6" spans="1:9" x14ac:dyDescent="0.6">
      <c r="A6" s="6" t="s">
        <v>174</v>
      </c>
      <c r="B6" s="6" t="s">
        <v>92</v>
      </c>
      <c r="C6" s="20">
        <v>20</v>
      </c>
      <c r="D6" s="15">
        <v>6.9285879279999998</v>
      </c>
      <c r="E6" s="15">
        <v>0.25792474900000001</v>
      </c>
      <c r="F6" s="15">
        <v>5.3191567879999999</v>
      </c>
      <c r="G6" s="15">
        <v>0.38953560999999998</v>
      </c>
      <c r="H6" s="15">
        <v>4.2520141599999999</v>
      </c>
      <c r="I6" s="15">
        <v>0.30999250699999997</v>
      </c>
    </row>
    <row r="7" spans="1:9" x14ac:dyDescent="0.6">
      <c r="A7" s="6" t="s">
        <v>167</v>
      </c>
      <c r="B7" s="6" t="s">
        <v>99</v>
      </c>
      <c r="C7" s="6">
        <v>30</v>
      </c>
      <c r="D7" s="15">
        <v>7.0456242040000001</v>
      </c>
      <c r="E7" s="15">
        <v>0.26660521500000001</v>
      </c>
      <c r="F7" s="15">
        <v>5.3802638380000003</v>
      </c>
      <c r="G7" s="15">
        <v>0.393671353</v>
      </c>
      <c r="H7" s="21">
        <v>4.0630493159999999</v>
      </c>
      <c r="I7" s="21">
        <v>0.29501393300000001</v>
      </c>
    </row>
    <row r="8" spans="1:9" x14ac:dyDescent="0.6">
      <c r="A8" s="6" t="s">
        <v>184</v>
      </c>
      <c r="B8" s="6" t="s">
        <v>6</v>
      </c>
      <c r="C8" s="6">
        <v>30</v>
      </c>
      <c r="D8" s="15">
        <v>6.9449210900000002</v>
      </c>
      <c r="E8" s="15">
        <v>0.258124095</v>
      </c>
      <c r="F8" s="15">
        <v>5.3968339939999996</v>
      </c>
      <c r="G8" s="15">
        <v>0.39450969600000002</v>
      </c>
      <c r="H8" s="15">
        <v>4.5006103519999998</v>
      </c>
      <c r="I8" s="15">
        <v>0.329599423</v>
      </c>
    </row>
    <row r="9" spans="1:9" x14ac:dyDescent="0.6">
      <c r="A9" s="6" t="s">
        <v>177</v>
      </c>
      <c r="B9" s="6" t="s">
        <v>99</v>
      </c>
      <c r="C9" s="20">
        <v>20</v>
      </c>
      <c r="D9" s="21">
        <v>6.8747985260000002</v>
      </c>
      <c r="E9" s="21">
        <v>0.25359787700000003</v>
      </c>
      <c r="F9" s="21">
        <v>5.3039641199999998</v>
      </c>
      <c r="G9" s="21">
        <v>0.38824872500000002</v>
      </c>
      <c r="H9" s="15">
        <v>4.4156494139999998</v>
      </c>
      <c r="I9" s="15">
        <v>0.32047466499999999</v>
      </c>
    </row>
  </sheetData>
  <autoFilter ref="A1:I1" xr:uid="{AAEF5F44-79B7-4EA1-BF0F-B9697D210AFE}"/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H18" sqref="H18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5" width="9.6875" bestFit="1" customWidth="1"/>
  </cols>
  <sheetData>
    <row r="1" spans="1:5" ht="33.75" x14ac:dyDescent="0.6">
      <c r="A1" s="2" t="s">
        <v>12</v>
      </c>
      <c r="B1" s="2" t="s">
        <v>20</v>
      </c>
      <c r="C1" s="2" t="s">
        <v>25</v>
      </c>
      <c r="D1" s="2" t="s">
        <v>26</v>
      </c>
      <c r="E1" s="8" t="s">
        <v>22</v>
      </c>
    </row>
    <row r="2" spans="1:5" x14ac:dyDescent="0.6">
      <c r="A2" s="23" t="s">
        <v>21</v>
      </c>
      <c r="B2" s="7" t="s">
        <v>1</v>
      </c>
      <c r="C2" s="6" t="s">
        <v>167</v>
      </c>
      <c r="D2" s="15">
        <v>6.9094331880000004</v>
      </c>
      <c r="E2" s="3">
        <v>20</v>
      </c>
    </row>
    <row r="3" spans="1:5" x14ac:dyDescent="0.6">
      <c r="A3" s="23"/>
      <c r="B3" s="7" t="s">
        <v>2</v>
      </c>
      <c r="C3" s="6" t="s">
        <v>181</v>
      </c>
      <c r="D3" s="15">
        <v>5.3097110320000001</v>
      </c>
      <c r="E3" s="3">
        <v>20</v>
      </c>
    </row>
    <row r="4" spans="1:5" x14ac:dyDescent="0.6">
      <c r="A4" s="23"/>
      <c r="B4" s="7" t="s">
        <v>4</v>
      </c>
      <c r="C4" s="6" t="s">
        <v>171</v>
      </c>
      <c r="D4" s="15">
        <v>4.2322387700000004</v>
      </c>
      <c r="E4" s="14">
        <v>30</v>
      </c>
    </row>
    <row r="5" spans="1:5" x14ac:dyDescent="0.6">
      <c r="A5" s="23" t="s">
        <v>9</v>
      </c>
      <c r="B5" s="7" t="s">
        <v>1</v>
      </c>
      <c r="C5" s="6" t="s">
        <v>8</v>
      </c>
      <c r="D5" s="15">
        <v>6.9988769279999996</v>
      </c>
      <c r="E5" s="3">
        <v>20</v>
      </c>
    </row>
    <row r="6" spans="1:5" x14ac:dyDescent="0.6">
      <c r="A6" s="23"/>
      <c r="B6" s="7" t="s">
        <v>2</v>
      </c>
      <c r="C6" s="6" t="s">
        <v>8</v>
      </c>
      <c r="D6" s="15">
        <v>5.3779223409999997</v>
      </c>
      <c r="E6" s="3">
        <v>20</v>
      </c>
    </row>
    <row r="7" spans="1:5" x14ac:dyDescent="0.6">
      <c r="A7" s="23"/>
      <c r="B7" s="7" t="s">
        <v>4</v>
      </c>
      <c r="C7" s="6" t="s">
        <v>177</v>
      </c>
      <c r="D7" s="15">
        <v>4.271484375</v>
      </c>
      <c r="E7" s="14">
        <v>5</v>
      </c>
    </row>
    <row r="8" spans="1:5" x14ac:dyDescent="0.6">
      <c r="A8" s="23" t="s">
        <v>10</v>
      </c>
      <c r="B8" s="7" t="s">
        <v>1</v>
      </c>
      <c r="C8" s="6" t="s">
        <v>174</v>
      </c>
      <c r="D8" s="15">
        <v>6.9285879279999998</v>
      </c>
      <c r="E8" s="3">
        <v>20</v>
      </c>
    </row>
    <row r="9" spans="1:5" x14ac:dyDescent="0.6">
      <c r="A9" s="23"/>
      <c r="B9" s="7" t="s">
        <v>2</v>
      </c>
      <c r="C9" s="6" t="s">
        <v>174</v>
      </c>
      <c r="D9" s="15">
        <v>5.3191567879999999</v>
      </c>
      <c r="E9" s="3">
        <v>20</v>
      </c>
    </row>
    <row r="10" spans="1:5" x14ac:dyDescent="0.6">
      <c r="A10" s="23"/>
      <c r="B10" s="7" t="s">
        <v>4</v>
      </c>
      <c r="C10" s="6" t="s">
        <v>174</v>
      </c>
      <c r="D10" s="15">
        <v>4.2520141599999999</v>
      </c>
      <c r="E10" s="3">
        <v>20</v>
      </c>
    </row>
    <row r="11" spans="1:5" x14ac:dyDescent="0.6">
      <c r="A11" s="23" t="s">
        <v>11</v>
      </c>
      <c r="B11" s="7" t="s">
        <v>1</v>
      </c>
      <c r="C11" s="6" t="s">
        <v>177</v>
      </c>
      <c r="D11" s="19">
        <v>6.8747985260000002</v>
      </c>
      <c r="E11" s="3">
        <v>20</v>
      </c>
    </row>
    <row r="12" spans="1:5" x14ac:dyDescent="0.6">
      <c r="A12" s="23"/>
      <c r="B12" s="7" t="s">
        <v>2</v>
      </c>
      <c r="C12" s="6" t="s">
        <v>177</v>
      </c>
      <c r="D12" s="19">
        <v>5.3039641199999998</v>
      </c>
      <c r="E12" s="3">
        <v>20</v>
      </c>
    </row>
    <row r="13" spans="1:5" x14ac:dyDescent="0.6">
      <c r="A13" s="23"/>
      <c r="B13" s="7" t="s">
        <v>4</v>
      </c>
      <c r="C13" s="6" t="s">
        <v>167</v>
      </c>
      <c r="D13" s="19">
        <v>4.0630493159999999</v>
      </c>
      <c r="E13" s="14">
        <v>30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E37" sqref="E37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24</v>
      </c>
      <c r="B1" s="2" t="s">
        <v>13</v>
      </c>
      <c r="C1" s="2" t="s">
        <v>14</v>
      </c>
      <c r="D1" s="8" t="s">
        <v>27</v>
      </c>
      <c r="E1" s="2" t="s">
        <v>23</v>
      </c>
      <c r="F1" s="8" t="s">
        <v>22</v>
      </c>
    </row>
    <row r="2" spans="1:6" x14ac:dyDescent="0.6">
      <c r="A2" s="24" t="s">
        <v>19</v>
      </c>
      <c r="B2" s="4">
        <v>6.8747985260000002</v>
      </c>
      <c r="C2" s="4">
        <v>0.25359787700000003</v>
      </c>
      <c r="D2" s="3" t="s">
        <v>99</v>
      </c>
      <c r="E2" s="3" t="s">
        <v>177</v>
      </c>
      <c r="F2" s="3">
        <v>20</v>
      </c>
    </row>
    <row r="3" spans="1:6" x14ac:dyDescent="0.6">
      <c r="A3" s="25"/>
      <c r="B3" s="5">
        <v>6.9094331880000004</v>
      </c>
      <c r="C3" s="5">
        <v>0.25553018900000002</v>
      </c>
      <c r="D3" s="1" t="s">
        <v>6</v>
      </c>
      <c r="E3" s="1" t="s">
        <v>167</v>
      </c>
      <c r="F3" s="3">
        <v>20</v>
      </c>
    </row>
    <row r="4" spans="1:6" x14ac:dyDescent="0.6">
      <c r="A4" s="25"/>
      <c r="B4" s="5">
        <v>6.9281274880000003</v>
      </c>
      <c r="C4" s="5">
        <v>0.25781232100000001</v>
      </c>
      <c r="D4" s="1" t="s">
        <v>6</v>
      </c>
      <c r="E4" s="1" t="s">
        <v>7</v>
      </c>
      <c r="F4" s="3">
        <v>20</v>
      </c>
    </row>
    <row r="5" spans="1:6" x14ac:dyDescent="0.6">
      <c r="A5" s="25"/>
      <c r="B5" s="5">
        <v>6.9285879279999998</v>
      </c>
      <c r="C5" s="5">
        <v>0.25792474900000001</v>
      </c>
      <c r="D5" s="1" t="s">
        <v>92</v>
      </c>
      <c r="E5" s="1" t="s">
        <v>174</v>
      </c>
      <c r="F5" s="3">
        <v>20</v>
      </c>
    </row>
    <row r="6" spans="1:6" x14ac:dyDescent="0.6">
      <c r="A6" s="26"/>
      <c r="B6" s="5">
        <v>6.9405278480000003</v>
      </c>
      <c r="C6" s="5">
        <v>0.25834558299999999</v>
      </c>
      <c r="D6" s="1" t="s">
        <v>6</v>
      </c>
      <c r="E6" s="1" t="s">
        <v>171</v>
      </c>
      <c r="F6" s="3">
        <v>20</v>
      </c>
    </row>
    <row r="7" spans="1:6" x14ac:dyDescent="0.6">
      <c r="A7" s="24" t="s">
        <v>17</v>
      </c>
      <c r="B7" s="4">
        <v>5.3039641199999998</v>
      </c>
      <c r="C7" s="4">
        <v>0.38824872500000002</v>
      </c>
      <c r="D7" s="3" t="s">
        <v>99</v>
      </c>
      <c r="E7" s="3" t="s">
        <v>177</v>
      </c>
      <c r="F7" s="3">
        <v>20</v>
      </c>
    </row>
    <row r="8" spans="1:6" x14ac:dyDescent="0.6">
      <c r="A8" s="25"/>
      <c r="B8" s="5">
        <v>5.3097110320000001</v>
      </c>
      <c r="C8" s="9">
        <v>0.388974237</v>
      </c>
      <c r="D8" s="14" t="s">
        <v>6</v>
      </c>
      <c r="E8" s="14" t="s">
        <v>181</v>
      </c>
      <c r="F8" s="3">
        <v>20</v>
      </c>
    </row>
    <row r="9" spans="1:6" x14ac:dyDescent="0.6">
      <c r="A9" s="25"/>
      <c r="B9" s="5">
        <v>5.3191567879999999</v>
      </c>
      <c r="C9" s="5">
        <v>0.38953560999999998</v>
      </c>
      <c r="D9" s="1" t="s">
        <v>92</v>
      </c>
      <c r="E9" s="1" t="s">
        <v>174</v>
      </c>
      <c r="F9" s="3">
        <v>20</v>
      </c>
    </row>
    <row r="10" spans="1:6" x14ac:dyDescent="0.6">
      <c r="A10" s="25"/>
      <c r="B10" s="5">
        <v>5.3270828809999999</v>
      </c>
      <c r="C10" s="5">
        <v>0.39003821700000002</v>
      </c>
      <c r="D10" s="1" t="s">
        <v>99</v>
      </c>
      <c r="E10" s="1" t="s">
        <v>171</v>
      </c>
      <c r="F10" s="3">
        <v>20</v>
      </c>
    </row>
    <row r="11" spans="1:6" x14ac:dyDescent="0.6">
      <c r="A11" s="26"/>
      <c r="B11" s="5">
        <v>5.3343183730000003</v>
      </c>
      <c r="C11" s="5">
        <v>0.39058098600000002</v>
      </c>
      <c r="D11" s="1" t="s">
        <v>6</v>
      </c>
      <c r="E11" s="1" t="s">
        <v>7</v>
      </c>
      <c r="F11" s="3">
        <v>20</v>
      </c>
    </row>
    <row r="12" spans="1:6" x14ac:dyDescent="0.6">
      <c r="A12" s="24" t="s">
        <v>18</v>
      </c>
      <c r="B12" s="4">
        <v>4.0630493159999999</v>
      </c>
      <c r="C12" s="4">
        <v>0.29501393300000001</v>
      </c>
      <c r="D12" s="3" t="s">
        <v>99</v>
      </c>
      <c r="E12" s="3" t="s">
        <v>167</v>
      </c>
      <c r="F12" s="3">
        <v>30</v>
      </c>
    </row>
    <row r="13" spans="1:6" x14ac:dyDescent="0.6">
      <c r="A13" s="25"/>
      <c r="B13" s="5">
        <v>4.2322387700000004</v>
      </c>
      <c r="C13" s="9">
        <v>0.31374622899999999</v>
      </c>
      <c r="D13" s="14" t="s">
        <v>6</v>
      </c>
      <c r="E13" s="14" t="s">
        <v>171</v>
      </c>
      <c r="F13" s="14">
        <v>30</v>
      </c>
    </row>
    <row r="14" spans="1:6" x14ac:dyDescent="0.6">
      <c r="A14" s="25"/>
      <c r="B14" s="5">
        <v>4.2520141599999999</v>
      </c>
      <c r="C14" s="5">
        <v>0.30999250699999997</v>
      </c>
      <c r="D14" s="1" t="s">
        <v>92</v>
      </c>
      <c r="E14" s="1" t="s">
        <v>174</v>
      </c>
      <c r="F14" s="3">
        <v>20</v>
      </c>
    </row>
    <row r="15" spans="1:6" x14ac:dyDescent="0.6">
      <c r="A15" s="25"/>
      <c r="B15" s="5">
        <v>4.271484375</v>
      </c>
      <c r="C15" s="5">
        <v>0.313879674</v>
      </c>
      <c r="D15" s="1" t="s">
        <v>9</v>
      </c>
      <c r="E15" s="1" t="s">
        <v>177</v>
      </c>
      <c r="F15" s="1">
        <v>5</v>
      </c>
    </row>
    <row r="16" spans="1:6" x14ac:dyDescent="0.6">
      <c r="A16" s="26"/>
      <c r="B16" s="5">
        <v>4.2892456049999996</v>
      </c>
      <c r="C16" s="5">
        <v>0.316562648</v>
      </c>
      <c r="D16" s="1" t="s">
        <v>6</v>
      </c>
      <c r="E16" s="1" t="s">
        <v>8</v>
      </c>
      <c r="F16" s="1">
        <v>90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Sheet1</vt:lpstr>
      <vt:lpstr>Sheet3</vt:lpstr>
      <vt:lpstr>Sheet2</vt:lpstr>
      <vt:lpstr>Raw (2026Y)</vt:lpstr>
      <vt:lpstr>Raw (2026Y) Copy</vt:lpstr>
      <vt:lpstr>5</vt:lpstr>
      <vt:lpstr>10</vt:lpstr>
      <vt:lpstr>20</vt:lpstr>
      <vt:lpstr>30</vt:lpstr>
      <vt:lpstr>60</vt:lpstr>
      <vt:lpstr>90</vt:lpstr>
      <vt:lpstr>Total</vt:lpstr>
      <vt:lpstr>시간창구별 최적예측</vt:lpstr>
      <vt:lpstr>변수조합별 최적예측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2026-02-03T01:41:37Z</dcterms:modified>
</cp:coreProperties>
</file>