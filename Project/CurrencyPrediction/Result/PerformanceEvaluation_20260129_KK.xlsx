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Science\[DIVE]\Project\CurrencyPrediction\Result\"/>
    </mc:Choice>
  </mc:AlternateContent>
  <xr:revisionPtr revIDLastSave="0" documentId="13_ncr:1_{6D2F7F6F-AA56-48EB-B68A-1639077F5DBF}" xr6:coauthVersionLast="47" xr6:coauthVersionMax="47" xr10:uidLastSave="{00000000-0000-0000-0000-000000000000}"/>
  <bookViews>
    <workbookView xWindow="-98" yWindow="-98" windowWidth="24196" windowHeight="14476" activeTab="11" xr2:uid="{CF4B9327-B7D0-40FD-9856-075314F6585B}"/>
  </bookViews>
  <sheets>
    <sheet name="Sheet1" sheetId="12" r:id="rId1"/>
    <sheet name="Sheet3" sheetId="20" r:id="rId2"/>
    <sheet name="Sheet2" sheetId="13" r:id="rId3"/>
    <sheet name="Raw (2026Y)" sheetId="14" r:id="rId4"/>
    <sheet name="Raw (2026Y) Copy" sheetId="16" r:id="rId5"/>
    <sheet name="5" sheetId="2" r:id="rId6"/>
    <sheet name="10" sheetId="21" r:id="rId7"/>
    <sheet name="20" sheetId="22" r:id="rId8"/>
    <sheet name="30" sheetId="23" r:id="rId9"/>
    <sheet name="60" sheetId="25" r:id="rId10"/>
    <sheet name="90" sheetId="26" r:id="rId11"/>
    <sheet name="Total" sheetId="18" r:id="rId12"/>
    <sheet name="시간창구별 최적예측" sheetId="17" r:id="rId13"/>
    <sheet name="변수조합별 최적예측" sheetId="19" r:id="rId14"/>
    <sheet name="모델별 최적예측" sheetId="11" r:id="rId15"/>
    <sheet name="최적예측결과" sheetId="9" r:id="rId16"/>
  </sheets>
  <definedNames>
    <definedName name="_xlnm._FilterDatabase" localSheetId="6" hidden="1">'10'!$A$1:$P$33</definedName>
    <definedName name="_xlnm._FilterDatabase" localSheetId="7" hidden="1">'20'!$A$1:$P$33</definedName>
    <definedName name="_xlnm._FilterDatabase" localSheetId="8" hidden="1">'30'!$A$1:$P$33</definedName>
    <definedName name="_xlnm._FilterDatabase" localSheetId="5" hidden="1">'5'!$A$1:$P$33</definedName>
    <definedName name="_xlnm._FilterDatabase" localSheetId="9" hidden="1">'60'!$A$1:$P$33</definedName>
    <definedName name="_xlnm._FilterDatabase" localSheetId="10" hidden="1">'90'!$A$1:$P$33</definedName>
    <definedName name="_xlnm._FilterDatabase" localSheetId="3" hidden="1">'Raw (2026Y)'!$A$1:$P$217</definedName>
    <definedName name="_xlnm._FilterDatabase" localSheetId="4" hidden="1">'Raw (2026Y) Copy'!$A$1:$Q$193</definedName>
    <definedName name="_xlnm._FilterDatabase" localSheetId="11" hidden="1">Total!$A$1:$Q$295</definedName>
    <definedName name="_xlnm._FilterDatabase" localSheetId="13" hidden="1">'변수조합별 최적예측'!$A$1:$I$1</definedName>
    <definedName name="_xlnm._FilterDatabase" localSheetId="12" hidden="1">'시간창구별 최적예측'!$A$1:$I$1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4" i="18" l="1"/>
  <c r="M284" i="18"/>
  <c r="N284" i="18"/>
  <c r="O284" i="18"/>
  <c r="P284" i="18"/>
  <c r="Q284" i="18"/>
  <c r="L286" i="18"/>
  <c r="M286" i="18"/>
  <c r="N286" i="18"/>
  <c r="O286" i="18"/>
  <c r="P286" i="18"/>
  <c r="Q286" i="18"/>
  <c r="L289" i="18"/>
  <c r="M289" i="18"/>
  <c r="N289" i="18"/>
  <c r="O289" i="18"/>
  <c r="P289" i="18"/>
  <c r="Q289" i="18"/>
  <c r="L291" i="18"/>
  <c r="M291" i="18"/>
  <c r="N291" i="18"/>
  <c r="O291" i="18"/>
  <c r="P291" i="18"/>
  <c r="Q291" i="18"/>
  <c r="L80" i="18"/>
  <c r="M80" i="18"/>
  <c r="N80" i="18"/>
  <c r="O80" i="18"/>
  <c r="P80" i="18"/>
  <c r="Q80" i="18"/>
  <c r="L81" i="18"/>
  <c r="M81" i="18"/>
  <c r="N81" i="18"/>
  <c r="O81" i="18"/>
  <c r="P81" i="18"/>
  <c r="Q81" i="18"/>
  <c r="L103" i="18"/>
  <c r="M103" i="18"/>
  <c r="N103" i="18"/>
  <c r="O103" i="18"/>
  <c r="P103" i="18"/>
  <c r="Q103" i="18"/>
  <c r="L105" i="18"/>
  <c r="M105" i="18"/>
  <c r="N105" i="18"/>
  <c r="O105" i="18"/>
  <c r="P105" i="18"/>
  <c r="Q105" i="18"/>
  <c r="L120" i="18"/>
  <c r="M120" i="18"/>
  <c r="N120" i="18"/>
  <c r="O120" i="18"/>
  <c r="P120" i="18"/>
  <c r="Q120" i="18"/>
  <c r="L166" i="18"/>
  <c r="M166" i="18"/>
  <c r="N166" i="18"/>
  <c r="O166" i="18"/>
  <c r="P166" i="18"/>
  <c r="Q166" i="18"/>
  <c r="L139" i="18"/>
  <c r="M139" i="18"/>
  <c r="N139" i="18"/>
  <c r="O139" i="18"/>
  <c r="P139" i="18"/>
  <c r="Q139" i="18"/>
  <c r="L96" i="18"/>
  <c r="M96" i="18"/>
  <c r="N96" i="18"/>
  <c r="O96" i="18"/>
  <c r="P96" i="18"/>
  <c r="Q96" i="18"/>
  <c r="L128" i="18"/>
  <c r="M128" i="18"/>
  <c r="N128" i="18"/>
  <c r="O128" i="18"/>
  <c r="P128" i="18"/>
  <c r="Q128" i="18"/>
  <c r="L121" i="18"/>
  <c r="M121" i="18"/>
  <c r="N121" i="18"/>
  <c r="O121" i="18"/>
  <c r="P121" i="18"/>
  <c r="Q121" i="18"/>
  <c r="L157" i="18"/>
  <c r="M157" i="18"/>
  <c r="N157" i="18"/>
  <c r="O157" i="18"/>
  <c r="P157" i="18"/>
  <c r="Q157" i="18"/>
  <c r="L177" i="18"/>
  <c r="M177" i="18"/>
  <c r="N177" i="18"/>
  <c r="O177" i="18"/>
  <c r="P177" i="18"/>
  <c r="Q177" i="18"/>
  <c r="L136" i="18"/>
  <c r="M136" i="18"/>
  <c r="N136" i="18"/>
  <c r="O136" i="18"/>
  <c r="P136" i="18"/>
  <c r="Q136" i="18"/>
  <c r="L126" i="18"/>
  <c r="M126" i="18"/>
  <c r="N126" i="18"/>
  <c r="O126" i="18"/>
  <c r="P126" i="18"/>
  <c r="Q126" i="18"/>
  <c r="L138" i="18"/>
  <c r="M138" i="18"/>
  <c r="N138" i="18"/>
  <c r="O138" i="18"/>
  <c r="P138" i="18"/>
  <c r="Q138" i="18"/>
  <c r="L111" i="18"/>
  <c r="M111" i="18"/>
  <c r="N111" i="18"/>
  <c r="O111" i="18"/>
  <c r="P111" i="18"/>
  <c r="Q111" i="18"/>
  <c r="L135" i="18"/>
  <c r="M135" i="18"/>
  <c r="N135" i="18"/>
  <c r="O135" i="18"/>
  <c r="P135" i="18"/>
  <c r="Q135" i="18"/>
  <c r="L98" i="18"/>
  <c r="M98" i="18"/>
  <c r="N98" i="18"/>
  <c r="O98" i="18"/>
  <c r="P98" i="18"/>
  <c r="Q98" i="18"/>
  <c r="L159" i="18"/>
  <c r="M159" i="18"/>
  <c r="N159" i="18"/>
  <c r="O159" i="18"/>
  <c r="P159" i="18"/>
  <c r="Q159" i="18"/>
  <c r="L151" i="18"/>
  <c r="M151" i="18"/>
  <c r="N151" i="18"/>
  <c r="O151" i="18"/>
  <c r="P151" i="18"/>
  <c r="Q151" i="18"/>
  <c r="L184" i="18"/>
  <c r="M184" i="18"/>
  <c r="N184" i="18"/>
  <c r="O184" i="18"/>
  <c r="P184" i="18"/>
  <c r="Q184" i="18"/>
  <c r="L178" i="18"/>
  <c r="M178" i="18"/>
  <c r="N178" i="18"/>
  <c r="O178" i="18"/>
  <c r="P178" i="18"/>
  <c r="Q178" i="18"/>
  <c r="L162" i="18"/>
  <c r="M162" i="18"/>
  <c r="N162" i="18"/>
  <c r="O162" i="18"/>
  <c r="P162" i="18"/>
  <c r="Q162" i="18"/>
  <c r="L180" i="18"/>
  <c r="M180" i="18"/>
  <c r="N180" i="18"/>
  <c r="O180" i="18"/>
  <c r="P180" i="18"/>
  <c r="Q180" i="18"/>
  <c r="L154" i="18"/>
  <c r="M154" i="18"/>
  <c r="N154" i="18"/>
  <c r="O154" i="18"/>
  <c r="P154" i="18"/>
  <c r="Q154" i="18"/>
  <c r="J154" i="18" s="1"/>
  <c r="L163" i="18"/>
  <c r="M163" i="18"/>
  <c r="N163" i="18"/>
  <c r="O163" i="18"/>
  <c r="P163" i="18"/>
  <c r="Q163" i="18"/>
  <c r="L181" i="18"/>
  <c r="M181" i="18"/>
  <c r="N181" i="18"/>
  <c r="O181" i="18"/>
  <c r="P181" i="18"/>
  <c r="Q181" i="18"/>
  <c r="L194" i="18"/>
  <c r="M194" i="18"/>
  <c r="N194" i="18"/>
  <c r="O194" i="18"/>
  <c r="P194" i="18"/>
  <c r="Q194" i="18"/>
  <c r="L174" i="18"/>
  <c r="M174" i="18"/>
  <c r="N174" i="18"/>
  <c r="O174" i="18"/>
  <c r="P174" i="18"/>
  <c r="Q174" i="18"/>
  <c r="L201" i="18"/>
  <c r="M201" i="18"/>
  <c r="N201" i="18"/>
  <c r="O201" i="18"/>
  <c r="P201" i="18"/>
  <c r="Q201" i="18"/>
  <c r="L198" i="18"/>
  <c r="M198" i="18"/>
  <c r="N198" i="18"/>
  <c r="O198" i="18"/>
  <c r="P198" i="18"/>
  <c r="Q198" i="18"/>
  <c r="L203" i="18"/>
  <c r="M203" i="18"/>
  <c r="N203" i="18"/>
  <c r="O203" i="18"/>
  <c r="P203" i="18"/>
  <c r="Q203" i="18"/>
  <c r="L210" i="18"/>
  <c r="M210" i="18"/>
  <c r="N210" i="18"/>
  <c r="O210" i="18"/>
  <c r="P210" i="18"/>
  <c r="Q210" i="18"/>
  <c r="L216" i="18"/>
  <c r="M216" i="18"/>
  <c r="N216" i="18"/>
  <c r="O216" i="18"/>
  <c r="P216" i="18"/>
  <c r="Q216" i="18"/>
  <c r="L226" i="18"/>
  <c r="M226" i="18"/>
  <c r="N226" i="18"/>
  <c r="O226" i="18"/>
  <c r="P226" i="18"/>
  <c r="Q226" i="18"/>
  <c r="J226" i="18" s="1"/>
  <c r="L212" i="18"/>
  <c r="M212" i="18"/>
  <c r="N212" i="18"/>
  <c r="O212" i="18"/>
  <c r="P212" i="18"/>
  <c r="Q212" i="18"/>
  <c r="L214" i="18"/>
  <c r="M214" i="18"/>
  <c r="N214" i="18"/>
  <c r="O214" i="18"/>
  <c r="P214" i="18"/>
  <c r="Q214" i="18"/>
  <c r="L215" i="18"/>
  <c r="M215" i="18"/>
  <c r="N215" i="18"/>
  <c r="O215" i="18"/>
  <c r="P215" i="18"/>
  <c r="Q215" i="18"/>
  <c r="L211" i="18"/>
  <c r="M211" i="18"/>
  <c r="N211" i="18"/>
  <c r="O211" i="18"/>
  <c r="P211" i="18"/>
  <c r="Q211" i="18"/>
  <c r="L218" i="18"/>
  <c r="M218" i="18"/>
  <c r="N218" i="18"/>
  <c r="O218" i="18"/>
  <c r="P218" i="18"/>
  <c r="Q218" i="18"/>
  <c r="L213" i="18"/>
  <c r="M213" i="18"/>
  <c r="N213" i="18"/>
  <c r="O213" i="18"/>
  <c r="P213" i="18"/>
  <c r="Q213" i="18"/>
  <c r="L219" i="18"/>
  <c r="M219" i="18"/>
  <c r="N219" i="18"/>
  <c r="O219" i="18"/>
  <c r="P219" i="18"/>
  <c r="Q219" i="18"/>
  <c r="L217" i="18"/>
  <c r="M217" i="18"/>
  <c r="N217" i="18"/>
  <c r="O217" i="18"/>
  <c r="P217" i="18"/>
  <c r="Q217" i="18"/>
  <c r="L229" i="18"/>
  <c r="M229" i="18"/>
  <c r="N229" i="18"/>
  <c r="O229" i="18"/>
  <c r="P229" i="18"/>
  <c r="Q229" i="18"/>
  <c r="L231" i="18"/>
  <c r="M231" i="18"/>
  <c r="N231" i="18"/>
  <c r="O231" i="18"/>
  <c r="P231" i="18"/>
  <c r="Q231" i="18"/>
  <c r="J231" i="18" s="1"/>
  <c r="L221" i="18"/>
  <c r="M221" i="18"/>
  <c r="N221" i="18"/>
  <c r="O221" i="18"/>
  <c r="P221" i="18"/>
  <c r="Q221" i="18"/>
  <c r="L230" i="18"/>
  <c r="M230" i="18"/>
  <c r="N230" i="18"/>
  <c r="O230" i="18"/>
  <c r="P230" i="18"/>
  <c r="Q230" i="18"/>
  <c r="L220" i="18"/>
  <c r="M220" i="18"/>
  <c r="N220" i="18"/>
  <c r="O220" i="18"/>
  <c r="P220" i="18"/>
  <c r="Q220" i="18"/>
  <c r="L228" i="18"/>
  <c r="M228" i="18"/>
  <c r="N228" i="18"/>
  <c r="O228" i="18"/>
  <c r="P228" i="18"/>
  <c r="Q228" i="18"/>
  <c r="L41" i="18"/>
  <c r="M41" i="18"/>
  <c r="N41" i="18"/>
  <c r="O41" i="18"/>
  <c r="P41" i="18"/>
  <c r="Q41" i="18"/>
  <c r="L97" i="18"/>
  <c r="M97" i="18"/>
  <c r="N97" i="18"/>
  <c r="O97" i="18"/>
  <c r="P97" i="18"/>
  <c r="Q97" i="18"/>
  <c r="L100" i="18"/>
  <c r="M100" i="18"/>
  <c r="N100" i="18"/>
  <c r="O100" i="18"/>
  <c r="P100" i="18"/>
  <c r="Q100" i="18"/>
  <c r="L86" i="18"/>
  <c r="M86" i="18"/>
  <c r="N86" i="18"/>
  <c r="O86" i="18"/>
  <c r="P86" i="18"/>
  <c r="Q86" i="18"/>
  <c r="L77" i="18"/>
  <c r="M77" i="18"/>
  <c r="N77" i="18"/>
  <c r="O77" i="18"/>
  <c r="P77" i="18"/>
  <c r="Q77" i="18"/>
  <c r="L65" i="18"/>
  <c r="M65" i="18"/>
  <c r="N65" i="18"/>
  <c r="O65" i="18"/>
  <c r="P65" i="18"/>
  <c r="Q65" i="18"/>
  <c r="J65" i="18" s="1"/>
  <c r="L95" i="18"/>
  <c r="M95" i="18"/>
  <c r="N95" i="18"/>
  <c r="O95" i="18"/>
  <c r="P95" i="18"/>
  <c r="Q95" i="18"/>
  <c r="L127" i="18"/>
  <c r="M127" i="18"/>
  <c r="N127" i="18"/>
  <c r="O127" i="18"/>
  <c r="P127" i="18"/>
  <c r="Q127" i="18"/>
  <c r="L106" i="18"/>
  <c r="M106" i="18"/>
  <c r="N106" i="18"/>
  <c r="O106" i="18"/>
  <c r="P106" i="18"/>
  <c r="Q106" i="18"/>
  <c r="L102" i="18"/>
  <c r="M102" i="18"/>
  <c r="N102" i="18"/>
  <c r="O102" i="18"/>
  <c r="P102" i="18"/>
  <c r="Q102" i="18"/>
  <c r="L148" i="18"/>
  <c r="M148" i="18"/>
  <c r="N148" i="18"/>
  <c r="O148" i="18"/>
  <c r="P148" i="18"/>
  <c r="Q148" i="18"/>
  <c r="L50" i="18"/>
  <c r="M50" i="18"/>
  <c r="N50" i="18"/>
  <c r="O50" i="18"/>
  <c r="P50" i="18"/>
  <c r="Q50" i="18"/>
  <c r="L110" i="18"/>
  <c r="M110" i="18"/>
  <c r="N110" i="18"/>
  <c r="O110" i="18"/>
  <c r="P110" i="18"/>
  <c r="Q110" i="18"/>
  <c r="L83" i="18"/>
  <c r="M83" i="18"/>
  <c r="N83" i="18"/>
  <c r="O83" i="18"/>
  <c r="P83" i="18"/>
  <c r="Q83" i="18"/>
  <c r="L113" i="18"/>
  <c r="M113" i="18"/>
  <c r="N113" i="18"/>
  <c r="O113" i="18"/>
  <c r="P113" i="18"/>
  <c r="Q113" i="18"/>
  <c r="L114" i="18"/>
  <c r="M114" i="18"/>
  <c r="N114" i="18"/>
  <c r="O114" i="18"/>
  <c r="P114" i="18"/>
  <c r="Q114" i="18"/>
  <c r="J114" i="18" s="1"/>
  <c r="L56" i="18"/>
  <c r="M56" i="18"/>
  <c r="N56" i="18"/>
  <c r="O56" i="18"/>
  <c r="P56" i="18"/>
  <c r="Q56" i="18"/>
  <c r="L117" i="18"/>
  <c r="M117" i="18"/>
  <c r="N117" i="18"/>
  <c r="O117" i="18"/>
  <c r="P117" i="18"/>
  <c r="Q117" i="18"/>
  <c r="L161" i="18"/>
  <c r="M161" i="18"/>
  <c r="N161" i="18"/>
  <c r="O161" i="18"/>
  <c r="P161" i="18"/>
  <c r="Q161" i="18"/>
  <c r="L142" i="18"/>
  <c r="M142" i="18"/>
  <c r="N142" i="18"/>
  <c r="O142" i="18"/>
  <c r="P142" i="18"/>
  <c r="Q142" i="18"/>
  <c r="L118" i="18"/>
  <c r="M118" i="18"/>
  <c r="N118" i="18"/>
  <c r="O118" i="18"/>
  <c r="P118" i="18"/>
  <c r="Q118" i="18"/>
  <c r="L146" i="18"/>
  <c r="M146" i="18"/>
  <c r="N146" i="18"/>
  <c r="O146" i="18"/>
  <c r="P146" i="18"/>
  <c r="Q146" i="18"/>
  <c r="L116" i="18"/>
  <c r="M116" i="18"/>
  <c r="N116" i="18"/>
  <c r="O116" i="18"/>
  <c r="P116" i="18"/>
  <c r="Q116" i="18"/>
  <c r="L170" i="18"/>
  <c r="M170" i="18"/>
  <c r="N170" i="18"/>
  <c r="O170" i="18"/>
  <c r="P170" i="18"/>
  <c r="Q170" i="18"/>
  <c r="L147" i="18"/>
  <c r="M147" i="18"/>
  <c r="N147" i="18"/>
  <c r="O147" i="18"/>
  <c r="P147" i="18"/>
  <c r="Q147" i="18"/>
  <c r="L149" i="18"/>
  <c r="M149" i="18"/>
  <c r="N149" i="18"/>
  <c r="O149" i="18"/>
  <c r="P149" i="18"/>
  <c r="Q149" i="18"/>
  <c r="J149" i="18" s="1"/>
  <c r="L160" i="18"/>
  <c r="M160" i="18"/>
  <c r="N160" i="18"/>
  <c r="O160" i="18"/>
  <c r="P160" i="18"/>
  <c r="Q160" i="18"/>
  <c r="L144" i="18"/>
  <c r="M144" i="18"/>
  <c r="N144" i="18"/>
  <c r="O144" i="18"/>
  <c r="P144" i="18"/>
  <c r="Q144" i="18"/>
  <c r="L155" i="18"/>
  <c r="M155" i="18"/>
  <c r="N155" i="18"/>
  <c r="O155" i="18"/>
  <c r="P155" i="18"/>
  <c r="Q155" i="18"/>
  <c r="L165" i="18"/>
  <c r="M165" i="18"/>
  <c r="N165" i="18"/>
  <c r="O165" i="18"/>
  <c r="P165" i="18"/>
  <c r="Q165" i="18"/>
  <c r="L164" i="18"/>
  <c r="M164" i="18"/>
  <c r="N164" i="18"/>
  <c r="O164" i="18"/>
  <c r="P164" i="18"/>
  <c r="Q164" i="18"/>
  <c r="L171" i="18"/>
  <c r="M171" i="18"/>
  <c r="N171" i="18"/>
  <c r="O171" i="18"/>
  <c r="P171" i="18"/>
  <c r="Q171" i="18"/>
  <c r="L179" i="18"/>
  <c r="M179" i="18"/>
  <c r="N179" i="18"/>
  <c r="O179" i="18"/>
  <c r="P179" i="18"/>
  <c r="Q179" i="18"/>
  <c r="L169" i="18"/>
  <c r="M169" i="18"/>
  <c r="N169" i="18"/>
  <c r="O169" i="18"/>
  <c r="P169" i="18"/>
  <c r="Q169" i="18"/>
  <c r="L182" i="18"/>
  <c r="M182" i="18"/>
  <c r="N182" i="18"/>
  <c r="O182" i="18"/>
  <c r="P182" i="18"/>
  <c r="Q182" i="18"/>
  <c r="L152" i="18"/>
  <c r="M152" i="18"/>
  <c r="N152" i="18"/>
  <c r="O152" i="18"/>
  <c r="P152" i="18"/>
  <c r="Q152" i="18"/>
  <c r="J152" i="18" s="1"/>
  <c r="L129" i="18"/>
  <c r="M129" i="18"/>
  <c r="N129" i="18"/>
  <c r="O129" i="18"/>
  <c r="P129" i="18"/>
  <c r="Q129" i="18"/>
  <c r="L196" i="18"/>
  <c r="M196" i="18"/>
  <c r="N196" i="18"/>
  <c r="O196" i="18"/>
  <c r="P196" i="18"/>
  <c r="Q196" i="18"/>
  <c r="L158" i="18"/>
  <c r="M158" i="18"/>
  <c r="N158" i="18"/>
  <c r="O158" i="18"/>
  <c r="P158" i="18"/>
  <c r="Q158" i="18"/>
  <c r="L188" i="18"/>
  <c r="M188" i="18"/>
  <c r="N188" i="18"/>
  <c r="O188" i="18"/>
  <c r="P188" i="18"/>
  <c r="Q188" i="18"/>
  <c r="L187" i="18"/>
  <c r="M187" i="18"/>
  <c r="N187" i="18"/>
  <c r="O187" i="18"/>
  <c r="P187" i="18"/>
  <c r="Q187" i="18"/>
  <c r="L167" i="18"/>
  <c r="M167" i="18"/>
  <c r="N167" i="18"/>
  <c r="O167" i="18"/>
  <c r="P167" i="18"/>
  <c r="Q167" i="18"/>
  <c r="L205" i="18"/>
  <c r="M205" i="18"/>
  <c r="N205" i="18"/>
  <c r="O205" i="18"/>
  <c r="P205" i="18"/>
  <c r="Q205" i="18"/>
  <c r="L156" i="18"/>
  <c r="M156" i="18"/>
  <c r="N156" i="18"/>
  <c r="O156" i="18"/>
  <c r="P156" i="18"/>
  <c r="Q156" i="18"/>
  <c r="L199" i="18"/>
  <c r="M199" i="18"/>
  <c r="N199" i="18"/>
  <c r="O199" i="18"/>
  <c r="P199" i="18"/>
  <c r="Q199" i="18"/>
  <c r="L175" i="18"/>
  <c r="M175" i="18"/>
  <c r="N175" i="18"/>
  <c r="O175" i="18"/>
  <c r="P175" i="18"/>
  <c r="Q175" i="18"/>
  <c r="L193" i="18"/>
  <c r="M193" i="18"/>
  <c r="N193" i="18"/>
  <c r="O193" i="18"/>
  <c r="P193" i="18"/>
  <c r="Q193" i="18"/>
  <c r="L195" i="18"/>
  <c r="M195" i="18"/>
  <c r="N195" i="18"/>
  <c r="O195" i="18"/>
  <c r="P195" i="18"/>
  <c r="Q195" i="18"/>
  <c r="L227" i="18"/>
  <c r="M227" i="18"/>
  <c r="N227" i="18"/>
  <c r="O227" i="18"/>
  <c r="P227" i="18"/>
  <c r="Q227" i="18"/>
  <c r="Q50" i="26"/>
  <c r="P47" i="26"/>
  <c r="O47" i="26"/>
  <c r="N47" i="26"/>
  <c r="M47" i="26"/>
  <c r="L47" i="26"/>
  <c r="Q49" i="26"/>
  <c r="P30" i="26"/>
  <c r="O30" i="26"/>
  <c r="N30" i="26"/>
  <c r="M30" i="26"/>
  <c r="L30" i="26"/>
  <c r="J30" i="26" s="1"/>
  <c r="K30" i="26"/>
  <c r="Q48" i="26"/>
  <c r="P43" i="26"/>
  <c r="O43" i="26"/>
  <c r="N43" i="26"/>
  <c r="M43" i="26"/>
  <c r="L43" i="26"/>
  <c r="Q47" i="26"/>
  <c r="P35" i="26"/>
  <c r="O35" i="26"/>
  <c r="N35" i="26"/>
  <c r="M35" i="26"/>
  <c r="L35" i="26"/>
  <c r="Q46" i="26"/>
  <c r="P18" i="26"/>
  <c r="O18" i="26"/>
  <c r="N18" i="26"/>
  <c r="M18" i="26"/>
  <c r="L18" i="26"/>
  <c r="K18" i="26" s="1"/>
  <c r="Q45" i="26"/>
  <c r="P23" i="26"/>
  <c r="O23" i="26"/>
  <c r="N23" i="26"/>
  <c r="M23" i="26"/>
  <c r="L23" i="26"/>
  <c r="J23" i="26"/>
  <c r="Q44" i="26"/>
  <c r="P40" i="26"/>
  <c r="J40" i="26" s="1"/>
  <c r="O40" i="26"/>
  <c r="N40" i="26"/>
  <c r="M40" i="26"/>
  <c r="L40" i="26"/>
  <c r="Q43" i="26"/>
  <c r="P45" i="26"/>
  <c r="O45" i="26"/>
  <c r="N45" i="26"/>
  <c r="M45" i="26"/>
  <c r="L45" i="26"/>
  <c r="Q42" i="26"/>
  <c r="P24" i="26"/>
  <c r="O24" i="26"/>
  <c r="N24" i="26"/>
  <c r="M24" i="26"/>
  <c r="L24" i="26"/>
  <c r="K24" i="26" s="1"/>
  <c r="Q41" i="26"/>
  <c r="P38" i="26"/>
  <c r="O38" i="26"/>
  <c r="N38" i="26"/>
  <c r="M38" i="26"/>
  <c r="L38" i="26"/>
  <c r="Q40" i="26"/>
  <c r="P32" i="26"/>
  <c r="O32" i="26"/>
  <c r="N32" i="26"/>
  <c r="M32" i="26"/>
  <c r="L32" i="26"/>
  <c r="Q39" i="26"/>
  <c r="P28" i="26"/>
  <c r="O28" i="26"/>
  <c r="N28" i="26"/>
  <c r="M28" i="26"/>
  <c r="L28" i="26"/>
  <c r="Q38" i="26"/>
  <c r="P7" i="26"/>
  <c r="O7" i="26"/>
  <c r="N7" i="26"/>
  <c r="M7" i="26"/>
  <c r="L7" i="26"/>
  <c r="Q37" i="26"/>
  <c r="P31" i="26"/>
  <c r="O31" i="26"/>
  <c r="N31" i="26"/>
  <c r="M31" i="26"/>
  <c r="L31" i="26"/>
  <c r="Q36" i="26"/>
  <c r="P11" i="26"/>
  <c r="O11" i="26"/>
  <c r="N11" i="26"/>
  <c r="M11" i="26"/>
  <c r="L11" i="26"/>
  <c r="Q35" i="26"/>
  <c r="P20" i="26"/>
  <c r="O20" i="26"/>
  <c r="N20" i="26"/>
  <c r="M20" i="26"/>
  <c r="L20" i="26"/>
  <c r="Q34" i="26"/>
  <c r="P50" i="26"/>
  <c r="O50" i="26"/>
  <c r="N50" i="26"/>
  <c r="M50" i="26"/>
  <c r="L50" i="26"/>
  <c r="K50" i="26" s="1"/>
  <c r="Q33" i="26"/>
  <c r="P49" i="26"/>
  <c r="O49" i="26"/>
  <c r="N49" i="26"/>
  <c r="M49" i="26"/>
  <c r="L49" i="26"/>
  <c r="Q32" i="26"/>
  <c r="J32" i="26" s="1"/>
  <c r="P48" i="26"/>
  <c r="O48" i="26"/>
  <c r="N48" i="26"/>
  <c r="M48" i="26"/>
  <c r="L48" i="26"/>
  <c r="Q31" i="26"/>
  <c r="K31" i="26" s="1"/>
  <c r="P46" i="26"/>
  <c r="O46" i="26"/>
  <c r="N46" i="26"/>
  <c r="M46" i="26"/>
  <c r="L46" i="26"/>
  <c r="Q30" i="26"/>
  <c r="P44" i="26"/>
  <c r="O44" i="26"/>
  <c r="N44" i="26"/>
  <c r="M44" i="26"/>
  <c r="L44" i="26"/>
  <c r="Q29" i="26"/>
  <c r="P42" i="26"/>
  <c r="O42" i="26"/>
  <c r="N42" i="26"/>
  <c r="M42" i="26"/>
  <c r="L42" i="26"/>
  <c r="Q28" i="26"/>
  <c r="P41" i="26"/>
  <c r="O41" i="26"/>
  <c r="N41" i="26"/>
  <c r="M41" i="26"/>
  <c r="L41" i="26"/>
  <c r="Q27" i="26"/>
  <c r="P39" i="26"/>
  <c r="O39" i="26"/>
  <c r="N39" i="26"/>
  <c r="M39" i="26"/>
  <c r="L39" i="26"/>
  <c r="Q26" i="26"/>
  <c r="K26" i="26" s="1"/>
  <c r="P36" i="26"/>
  <c r="O36" i="26"/>
  <c r="N36" i="26"/>
  <c r="M36" i="26"/>
  <c r="L36" i="26"/>
  <c r="Q25" i="26"/>
  <c r="P37" i="26"/>
  <c r="O37" i="26"/>
  <c r="N37" i="26"/>
  <c r="M37" i="26"/>
  <c r="J37" i="26" s="1"/>
  <c r="L37" i="26"/>
  <c r="Q24" i="26"/>
  <c r="P34" i="26"/>
  <c r="O34" i="26"/>
  <c r="N34" i="26"/>
  <c r="M34" i="26"/>
  <c r="L34" i="26"/>
  <c r="Q23" i="26"/>
  <c r="P33" i="26"/>
  <c r="O33" i="26"/>
  <c r="N33" i="26"/>
  <c r="M33" i="26"/>
  <c r="L33" i="26"/>
  <c r="Q22" i="26"/>
  <c r="P29" i="26"/>
  <c r="O29" i="26"/>
  <c r="N29" i="26"/>
  <c r="M29" i="26"/>
  <c r="L29" i="26"/>
  <c r="K29" i="26" s="1"/>
  <c r="Q21" i="26"/>
  <c r="P26" i="26"/>
  <c r="O26" i="26"/>
  <c r="N26" i="26"/>
  <c r="M26" i="26"/>
  <c r="L26" i="26"/>
  <c r="J26" i="26"/>
  <c r="Q20" i="26"/>
  <c r="P25" i="26"/>
  <c r="O25" i="26"/>
  <c r="N25" i="26"/>
  <c r="M25" i="26"/>
  <c r="L25" i="26"/>
  <c r="Q19" i="26"/>
  <c r="P27" i="26"/>
  <c r="O27" i="26"/>
  <c r="N27" i="26"/>
  <c r="M27" i="26"/>
  <c r="L27" i="26"/>
  <c r="Q18" i="26"/>
  <c r="P21" i="26"/>
  <c r="O21" i="26"/>
  <c r="N21" i="26"/>
  <c r="M21" i="26"/>
  <c r="L21" i="26"/>
  <c r="Q17" i="26"/>
  <c r="P22" i="26"/>
  <c r="O22" i="26"/>
  <c r="N22" i="26"/>
  <c r="M22" i="26"/>
  <c r="L22" i="26"/>
  <c r="Q16" i="26"/>
  <c r="K16" i="26" s="1"/>
  <c r="P19" i="26"/>
  <c r="O19" i="26"/>
  <c r="N19" i="26"/>
  <c r="M19" i="26"/>
  <c r="L19" i="26"/>
  <c r="Q15" i="26"/>
  <c r="P17" i="26"/>
  <c r="O17" i="26"/>
  <c r="N17" i="26"/>
  <c r="M17" i="26"/>
  <c r="L17" i="26"/>
  <c r="Q14" i="26"/>
  <c r="P16" i="26"/>
  <c r="O16" i="26"/>
  <c r="N16" i="26"/>
  <c r="M16" i="26"/>
  <c r="L16" i="26"/>
  <c r="Q13" i="26"/>
  <c r="P15" i="26"/>
  <c r="O15" i="26"/>
  <c r="N15" i="26"/>
  <c r="M15" i="26"/>
  <c r="L15" i="26"/>
  <c r="Q12" i="26"/>
  <c r="P14" i="26"/>
  <c r="O14" i="26"/>
  <c r="N14" i="26"/>
  <c r="M14" i="26"/>
  <c r="L14" i="26"/>
  <c r="Q11" i="26"/>
  <c r="P13" i="26"/>
  <c r="O13" i="26"/>
  <c r="N13" i="26"/>
  <c r="M13" i="26"/>
  <c r="L13" i="26"/>
  <c r="Q10" i="26"/>
  <c r="P12" i="26"/>
  <c r="O12" i="26"/>
  <c r="N12" i="26"/>
  <c r="M12" i="26"/>
  <c r="L12" i="26"/>
  <c r="Q9" i="26"/>
  <c r="P9" i="26"/>
  <c r="O9" i="26"/>
  <c r="N9" i="26"/>
  <c r="M9" i="26"/>
  <c r="L9" i="26"/>
  <c r="Q8" i="26"/>
  <c r="P10" i="26"/>
  <c r="O10" i="26"/>
  <c r="N10" i="26"/>
  <c r="M10" i="26"/>
  <c r="L10" i="26"/>
  <c r="Q7" i="26"/>
  <c r="P8" i="26"/>
  <c r="O8" i="26"/>
  <c r="N8" i="26"/>
  <c r="M8" i="26"/>
  <c r="L8" i="26"/>
  <c r="K8" i="26" s="1"/>
  <c r="Q6" i="26"/>
  <c r="P6" i="26"/>
  <c r="O6" i="26"/>
  <c r="N6" i="26"/>
  <c r="M6" i="26"/>
  <c r="J6" i="26" s="1"/>
  <c r="L6" i="26"/>
  <c r="K6" i="26" s="1"/>
  <c r="Q5" i="26"/>
  <c r="P5" i="26"/>
  <c r="O5" i="26"/>
  <c r="N5" i="26"/>
  <c r="M5" i="26"/>
  <c r="L5" i="26"/>
  <c r="Q4" i="26"/>
  <c r="P4" i="26"/>
  <c r="O4" i="26"/>
  <c r="N4" i="26"/>
  <c r="M4" i="26"/>
  <c r="L4" i="26"/>
  <c r="Q3" i="26"/>
  <c r="P3" i="26"/>
  <c r="O3" i="26"/>
  <c r="N3" i="26"/>
  <c r="M3" i="26"/>
  <c r="L3" i="26"/>
  <c r="Q2" i="26"/>
  <c r="P2" i="26"/>
  <c r="O2" i="26"/>
  <c r="N2" i="26"/>
  <c r="M2" i="26"/>
  <c r="L2" i="26"/>
  <c r="K2" i="26"/>
  <c r="J2" i="26"/>
  <c r="Q50" i="25"/>
  <c r="P47" i="25"/>
  <c r="O47" i="25"/>
  <c r="N47" i="25"/>
  <c r="M47" i="25"/>
  <c r="L47" i="25"/>
  <c r="Q49" i="25"/>
  <c r="P37" i="25"/>
  <c r="O37" i="25"/>
  <c r="N37" i="25"/>
  <c r="M37" i="25"/>
  <c r="L37" i="25"/>
  <c r="K37" i="25"/>
  <c r="J37" i="25"/>
  <c r="Q48" i="25"/>
  <c r="K48" i="25" s="1"/>
  <c r="P41" i="25"/>
  <c r="O41" i="25"/>
  <c r="N41" i="25"/>
  <c r="M41" i="25"/>
  <c r="L41" i="25"/>
  <c r="K41" i="25" s="1"/>
  <c r="Q47" i="25"/>
  <c r="P46" i="25"/>
  <c r="O46" i="25"/>
  <c r="N46" i="25"/>
  <c r="M46" i="25"/>
  <c r="L46" i="25"/>
  <c r="Q46" i="25"/>
  <c r="P49" i="25"/>
  <c r="O49" i="25"/>
  <c r="N49" i="25"/>
  <c r="M49" i="25"/>
  <c r="L49" i="25"/>
  <c r="K49" i="25"/>
  <c r="J49" i="25"/>
  <c r="Q45" i="25"/>
  <c r="P35" i="25"/>
  <c r="O35" i="25"/>
  <c r="N35" i="25"/>
  <c r="M35" i="25"/>
  <c r="L35" i="25"/>
  <c r="Q44" i="25"/>
  <c r="P50" i="25"/>
  <c r="O50" i="25"/>
  <c r="N50" i="25"/>
  <c r="M50" i="25"/>
  <c r="L50" i="25"/>
  <c r="Q43" i="25"/>
  <c r="P48" i="25"/>
  <c r="O48" i="25"/>
  <c r="N48" i="25"/>
  <c r="M48" i="25"/>
  <c r="L48" i="25"/>
  <c r="Q42" i="25"/>
  <c r="K42" i="25" s="1"/>
  <c r="P44" i="25"/>
  <c r="O44" i="25"/>
  <c r="N44" i="25"/>
  <c r="M44" i="25"/>
  <c r="L44" i="25"/>
  <c r="Q41" i="25"/>
  <c r="P42" i="25"/>
  <c r="O42" i="25"/>
  <c r="N42" i="25"/>
  <c r="M42" i="25"/>
  <c r="L42" i="25"/>
  <c r="Q40" i="25"/>
  <c r="P40" i="25"/>
  <c r="O40" i="25"/>
  <c r="N40" i="25"/>
  <c r="M40" i="25"/>
  <c r="L40" i="25"/>
  <c r="K40" i="25" s="1"/>
  <c r="Q39" i="25"/>
  <c r="K39" i="25" s="1"/>
  <c r="P45" i="25"/>
  <c r="O45" i="25"/>
  <c r="N45" i="25"/>
  <c r="M45" i="25"/>
  <c r="L45" i="25"/>
  <c r="J45" i="25" s="1"/>
  <c r="Q38" i="25"/>
  <c r="P39" i="25"/>
  <c r="O39" i="25"/>
  <c r="N39" i="25"/>
  <c r="M39" i="25"/>
  <c r="L39" i="25"/>
  <c r="Q37" i="25"/>
  <c r="P43" i="25"/>
  <c r="O43" i="25"/>
  <c r="N43" i="25"/>
  <c r="M43" i="25"/>
  <c r="L43" i="25"/>
  <c r="Q36" i="25"/>
  <c r="P34" i="25"/>
  <c r="O34" i="25"/>
  <c r="N34" i="25"/>
  <c r="M34" i="25"/>
  <c r="L34" i="25"/>
  <c r="Q35" i="25"/>
  <c r="P38" i="25"/>
  <c r="O38" i="25"/>
  <c r="N38" i="25"/>
  <c r="M38" i="25"/>
  <c r="L38" i="25"/>
  <c r="Q34" i="25"/>
  <c r="P36" i="25"/>
  <c r="O36" i="25"/>
  <c r="N36" i="25"/>
  <c r="M36" i="25"/>
  <c r="L36" i="25"/>
  <c r="Q33" i="25"/>
  <c r="P33" i="25"/>
  <c r="O33" i="25"/>
  <c r="N33" i="25"/>
  <c r="M33" i="25"/>
  <c r="L33" i="25"/>
  <c r="Q32" i="25"/>
  <c r="P32" i="25"/>
  <c r="O32" i="25"/>
  <c r="N32" i="25"/>
  <c r="M32" i="25"/>
  <c r="L32" i="25"/>
  <c r="Q31" i="25"/>
  <c r="P30" i="25"/>
  <c r="O30" i="25"/>
  <c r="N30" i="25"/>
  <c r="M30" i="25"/>
  <c r="L30" i="25"/>
  <c r="Q30" i="25"/>
  <c r="P31" i="25"/>
  <c r="O31" i="25"/>
  <c r="N31" i="25"/>
  <c r="M31" i="25"/>
  <c r="L31" i="25"/>
  <c r="Q29" i="25"/>
  <c r="P29" i="25"/>
  <c r="O29" i="25"/>
  <c r="N29" i="25"/>
  <c r="K29" i="25" s="1"/>
  <c r="M29" i="25"/>
  <c r="L29" i="25"/>
  <c r="Q28" i="25"/>
  <c r="P28" i="25"/>
  <c r="O28" i="25"/>
  <c r="N28" i="25"/>
  <c r="M28" i="25"/>
  <c r="L28" i="25"/>
  <c r="J28" i="25" s="1"/>
  <c r="Q27" i="25"/>
  <c r="P27" i="25"/>
  <c r="O27" i="25"/>
  <c r="N27" i="25"/>
  <c r="M27" i="25"/>
  <c r="L27" i="25"/>
  <c r="Q26" i="25"/>
  <c r="P26" i="25"/>
  <c r="O26" i="25"/>
  <c r="N26" i="25"/>
  <c r="M26" i="25"/>
  <c r="L26" i="25"/>
  <c r="Q25" i="25"/>
  <c r="P25" i="25"/>
  <c r="O25" i="25"/>
  <c r="N25" i="25"/>
  <c r="M25" i="25"/>
  <c r="L25" i="25"/>
  <c r="Q24" i="25"/>
  <c r="P24" i="25"/>
  <c r="O24" i="25"/>
  <c r="N24" i="25"/>
  <c r="M24" i="25"/>
  <c r="L24" i="25"/>
  <c r="K24" i="25"/>
  <c r="J24" i="25"/>
  <c r="Q23" i="25"/>
  <c r="P23" i="25"/>
  <c r="O23" i="25"/>
  <c r="N23" i="25"/>
  <c r="M23" i="25"/>
  <c r="L23" i="25"/>
  <c r="Q22" i="25"/>
  <c r="P19" i="25"/>
  <c r="O19" i="25"/>
  <c r="N19" i="25"/>
  <c r="M19" i="25"/>
  <c r="L19" i="25"/>
  <c r="Q21" i="25"/>
  <c r="P21" i="25"/>
  <c r="O21" i="25"/>
  <c r="N21" i="25"/>
  <c r="M21" i="25"/>
  <c r="L21" i="25"/>
  <c r="K21" i="25"/>
  <c r="J21" i="25"/>
  <c r="Q20" i="25"/>
  <c r="P18" i="25"/>
  <c r="O18" i="25"/>
  <c r="N18" i="25"/>
  <c r="M18" i="25"/>
  <c r="L18" i="25"/>
  <c r="Q19" i="25"/>
  <c r="P20" i="25"/>
  <c r="O20" i="25"/>
  <c r="N20" i="25"/>
  <c r="M20" i="25"/>
  <c r="L20" i="25"/>
  <c r="Q18" i="25"/>
  <c r="P22" i="25"/>
  <c r="O22" i="25"/>
  <c r="N22" i="25"/>
  <c r="M22" i="25"/>
  <c r="L22" i="25"/>
  <c r="K22" i="25"/>
  <c r="J22" i="25"/>
  <c r="Q17" i="25"/>
  <c r="P17" i="25"/>
  <c r="O17" i="25"/>
  <c r="N17" i="25"/>
  <c r="M17" i="25"/>
  <c r="L17" i="25"/>
  <c r="Q16" i="25"/>
  <c r="P15" i="25"/>
  <c r="O15" i="25"/>
  <c r="N15" i="25"/>
  <c r="M15" i="25"/>
  <c r="L15" i="25"/>
  <c r="Q15" i="25"/>
  <c r="J15" i="25" s="1"/>
  <c r="P16" i="25"/>
  <c r="O16" i="25"/>
  <c r="N16" i="25"/>
  <c r="M16" i="25"/>
  <c r="L16" i="25"/>
  <c r="K16" i="25" s="1"/>
  <c r="Q14" i="25"/>
  <c r="P14" i="25"/>
  <c r="O14" i="25"/>
  <c r="N14" i="25"/>
  <c r="M14" i="25"/>
  <c r="L14" i="25"/>
  <c r="Q13" i="25"/>
  <c r="P10" i="25"/>
  <c r="O10" i="25"/>
  <c r="N10" i="25"/>
  <c r="M10" i="25"/>
  <c r="L10" i="25"/>
  <c r="K10" i="25"/>
  <c r="J10" i="25"/>
  <c r="Q12" i="25"/>
  <c r="P11" i="25"/>
  <c r="O11" i="25"/>
  <c r="N11" i="25"/>
  <c r="M11" i="25"/>
  <c r="L11" i="25"/>
  <c r="Q11" i="25"/>
  <c r="P13" i="25"/>
  <c r="O13" i="25"/>
  <c r="N13" i="25"/>
  <c r="M13" i="25"/>
  <c r="L13" i="25"/>
  <c r="Q10" i="25"/>
  <c r="P12" i="25"/>
  <c r="O12" i="25"/>
  <c r="N12" i="25"/>
  <c r="M12" i="25"/>
  <c r="L12" i="25"/>
  <c r="Q9" i="25"/>
  <c r="P9" i="25"/>
  <c r="O9" i="25"/>
  <c r="N9" i="25"/>
  <c r="M9" i="25"/>
  <c r="L9" i="25"/>
  <c r="K9" i="25" s="1"/>
  <c r="Q8" i="25"/>
  <c r="P8" i="25"/>
  <c r="O8" i="25"/>
  <c r="N8" i="25"/>
  <c r="M8" i="25"/>
  <c r="L8" i="25"/>
  <c r="Q7" i="25"/>
  <c r="P7" i="25"/>
  <c r="O7" i="25"/>
  <c r="N7" i="25"/>
  <c r="M7" i="25"/>
  <c r="L7" i="25"/>
  <c r="Q6" i="25"/>
  <c r="P6" i="25"/>
  <c r="O6" i="25"/>
  <c r="N6" i="25"/>
  <c r="M6" i="25"/>
  <c r="L6" i="25"/>
  <c r="Q5" i="25"/>
  <c r="P4" i="25"/>
  <c r="O4" i="25"/>
  <c r="N4" i="25"/>
  <c r="M4" i="25"/>
  <c r="L4" i="25"/>
  <c r="Q4" i="25"/>
  <c r="P5" i="25"/>
  <c r="O5" i="25"/>
  <c r="N5" i="25"/>
  <c r="K5" i="25" s="1"/>
  <c r="M5" i="25"/>
  <c r="L5" i="25"/>
  <c r="Q3" i="25"/>
  <c r="P3" i="25"/>
  <c r="O3" i="25"/>
  <c r="N3" i="25"/>
  <c r="M3" i="25"/>
  <c r="L3" i="25"/>
  <c r="J3" i="25" s="1"/>
  <c r="Q2" i="25"/>
  <c r="P2" i="25"/>
  <c r="O2" i="25"/>
  <c r="N2" i="25"/>
  <c r="M2" i="25"/>
  <c r="L2" i="25"/>
  <c r="Q50" i="23"/>
  <c r="P40" i="23"/>
  <c r="O40" i="23"/>
  <c r="N40" i="23"/>
  <c r="M40" i="23"/>
  <c r="L40" i="23"/>
  <c r="Q49" i="23"/>
  <c r="P42" i="23"/>
  <c r="O42" i="23"/>
  <c r="N42" i="23"/>
  <c r="M42" i="23"/>
  <c r="L42" i="23"/>
  <c r="Q48" i="23"/>
  <c r="P45" i="23"/>
  <c r="O45" i="23"/>
  <c r="N45" i="23"/>
  <c r="M45" i="23"/>
  <c r="L45" i="23"/>
  <c r="Q47" i="23"/>
  <c r="P37" i="23"/>
  <c r="O37" i="23"/>
  <c r="N37" i="23"/>
  <c r="M37" i="23"/>
  <c r="L37" i="23"/>
  <c r="K37" i="23" s="1"/>
  <c r="Q46" i="23"/>
  <c r="P48" i="23"/>
  <c r="O48" i="23"/>
  <c r="N48" i="23"/>
  <c r="K48" i="23" s="1"/>
  <c r="M48" i="23"/>
  <c r="L48" i="23"/>
  <c r="Q45" i="23"/>
  <c r="P35" i="23"/>
  <c r="O35" i="23"/>
  <c r="N35" i="23"/>
  <c r="M35" i="23"/>
  <c r="L35" i="23"/>
  <c r="Q44" i="23"/>
  <c r="P44" i="23"/>
  <c r="O44" i="23"/>
  <c r="N44" i="23"/>
  <c r="M44" i="23"/>
  <c r="L44" i="23"/>
  <c r="J44" i="23"/>
  <c r="Q43" i="23"/>
  <c r="P47" i="23"/>
  <c r="O47" i="23"/>
  <c r="N47" i="23"/>
  <c r="M47" i="23"/>
  <c r="L47" i="23"/>
  <c r="Q42" i="23"/>
  <c r="P49" i="23"/>
  <c r="O49" i="23"/>
  <c r="N49" i="23"/>
  <c r="M49" i="23"/>
  <c r="L49" i="23"/>
  <c r="Q41" i="23"/>
  <c r="P50" i="23"/>
  <c r="O50" i="23"/>
  <c r="N50" i="23"/>
  <c r="J50" i="23" s="1"/>
  <c r="M50" i="23"/>
  <c r="L50" i="23"/>
  <c r="Q40" i="23"/>
  <c r="P43" i="23"/>
  <c r="O43" i="23"/>
  <c r="N43" i="23"/>
  <c r="M43" i="23"/>
  <c r="L43" i="23"/>
  <c r="Q39" i="23"/>
  <c r="P46" i="23"/>
  <c r="O46" i="23"/>
  <c r="N46" i="23"/>
  <c r="M46" i="23"/>
  <c r="L46" i="23"/>
  <c r="Q38" i="23"/>
  <c r="P39" i="23"/>
  <c r="O39" i="23"/>
  <c r="N39" i="23"/>
  <c r="M39" i="23"/>
  <c r="L39" i="23"/>
  <c r="Q37" i="23"/>
  <c r="P41" i="23"/>
  <c r="O41" i="23"/>
  <c r="N41" i="23"/>
  <c r="M41" i="23"/>
  <c r="L41" i="23"/>
  <c r="K41" i="23" s="1"/>
  <c r="Q36" i="23"/>
  <c r="P38" i="23"/>
  <c r="O38" i="23"/>
  <c r="N38" i="23"/>
  <c r="M38" i="23"/>
  <c r="L38" i="23"/>
  <c r="Q35" i="23"/>
  <c r="P36" i="23"/>
  <c r="O36" i="23"/>
  <c r="N36" i="23"/>
  <c r="M36" i="23"/>
  <c r="L36" i="23"/>
  <c r="Q34" i="23"/>
  <c r="P34" i="23"/>
  <c r="O34" i="23"/>
  <c r="N34" i="23"/>
  <c r="M34" i="23"/>
  <c r="L34" i="23"/>
  <c r="J34" i="23" s="1"/>
  <c r="K34" i="23"/>
  <c r="Q33" i="23"/>
  <c r="P33" i="23"/>
  <c r="O33" i="23"/>
  <c r="N33" i="23"/>
  <c r="M33" i="23"/>
  <c r="L33" i="23"/>
  <c r="Q32" i="23"/>
  <c r="P32" i="23"/>
  <c r="O32" i="23"/>
  <c r="N32" i="23"/>
  <c r="M32" i="23"/>
  <c r="L32" i="23"/>
  <c r="Q31" i="23"/>
  <c r="P31" i="23"/>
  <c r="O31" i="23"/>
  <c r="N31" i="23"/>
  <c r="M31" i="23"/>
  <c r="L31" i="23"/>
  <c r="K31" i="23" s="1"/>
  <c r="J31" i="23"/>
  <c r="Q30" i="23"/>
  <c r="P30" i="23"/>
  <c r="O30" i="23"/>
  <c r="N30" i="23"/>
  <c r="M30" i="23"/>
  <c r="L30" i="23"/>
  <c r="Q29" i="23"/>
  <c r="P28" i="23"/>
  <c r="O28" i="23"/>
  <c r="N28" i="23"/>
  <c r="M28" i="23"/>
  <c r="L28" i="23"/>
  <c r="Q28" i="23"/>
  <c r="P29" i="23"/>
  <c r="O29" i="23"/>
  <c r="N29" i="23"/>
  <c r="M29" i="23"/>
  <c r="L29" i="23"/>
  <c r="Q27" i="23"/>
  <c r="P27" i="23"/>
  <c r="O27" i="23"/>
  <c r="N27" i="23"/>
  <c r="M27" i="23"/>
  <c r="L27" i="23"/>
  <c r="Q26" i="23"/>
  <c r="P26" i="23"/>
  <c r="O26" i="23"/>
  <c r="N26" i="23"/>
  <c r="M26" i="23"/>
  <c r="L26" i="23"/>
  <c r="Q25" i="23"/>
  <c r="P24" i="23"/>
  <c r="O24" i="23"/>
  <c r="N24" i="23"/>
  <c r="M24" i="23"/>
  <c r="L24" i="23"/>
  <c r="Q24" i="23"/>
  <c r="P25" i="23"/>
  <c r="O25" i="23"/>
  <c r="N25" i="23"/>
  <c r="M25" i="23"/>
  <c r="L25" i="23"/>
  <c r="Q23" i="23"/>
  <c r="P22" i="23"/>
  <c r="O22" i="23"/>
  <c r="N22" i="23"/>
  <c r="M22" i="23"/>
  <c r="L22" i="23"/>
  <c r="Q22" i="23"/>
  <c r="P21" i="23"/>
  <c r="O21" i="23"/>
  <c r="N21" i="23"/>
  <c r="M21" i="23"/>
  <c r="L21" i="23"/>
  <c r="Q21" i="23"/>
  <c r="P23" i="23"/>
  <c r="O23" i="23"/>
  <c r="N23" i="23"/>
  <c r="M23" i="23"/>
  <c r="L23" i="23"/>
  <c r="Q20" i="23"/>
  <c r="P19" i="23"/>
  <c r="O19" i="23"/>
  <c r="N19" i="23"/>
  <c r="M19" i="23"/>
  <c r="L19" i="23"/>
  <c r="Q19" i="23"/>
  <c r="P20" i="23"/>
  <c r="O20" i="23"/>
  <c r="N20" i="23"/>
  <c r="M20" i="23"/>
  <c r="L20" i="23"/>
  <c r="Q18" i="23"/>
  <c r="P18" i="23"/>
  <c r="O18" i="23"/>
  <c r="N18" i="23"/>
  <c r="M18" i="23"/>
  <c r="L18" i="23"/>
  <c r="Q17" i="23"/>
  <c r="P17" i="23"/>
  <c r="O17" i="23"/>
  <c r="N17" i="23"/>
  <c r="M17" i="23"/>
  <c r="L17" i="23"/>
  <c r="Q16" i="23"/>
  <c r="P16" i="23"/>
  <c r="O16" i="23"/>
  <c r="N16" i="23"/>
  <c r="M16" i="23"/>
  <c r="L16" i="23"/>
  <c r="Q15" i="23"/>
  <c r="P13" i="23"/>
  <c r="O13" i="23"/>
  <c r="N13" i="23"/>
  <c r="M13" i="23"/>
  <c r="L13" i="23"/>
  <c r="Q14" i="23"/>
  <c r="P14" i="23"/>
  <c r="O14" i="23"/>
  <c r="N14" i="23"/>
  <c r="M14" i="23"/>
  <c r="L14" i="23"/>
  <c r="Q13" i="23"/>
  <c r="P15" i="23"/>
  <c r="O15" i="23"/>
  <c r="N15" i="23"/>
  <c r="M15" i="23"/>
  <c r="L15" i="23"/>
  <c r="Q12" i="23"/>
  <c r="P12" i="23"/>
  <c r="O12" i="23"/>
  <c r="N12" i="23"/>
  <c r="M12" i="23"/>
  <c r="L12" i="23"/>
  <c r="J12" i="23" s="1"/>
  <c r="Q11" i="23"/>
  <c r="P11" i="23"/>
  <c r="O11" i="23"/>
  <c r="N11" i="23"/>
  <c r="M11" i="23"/>
  <c r="L11" i="23"/>
  <c r="Q10" i="23"/>
  <c r="P9" i="23"/>
  <c r="O9" i="23"/>
  <c r="N9" i="23"/>
  <c r="M9" i="23"/>
  <c r="L9" i="23"/>
  <c r="Q9" i="23"/>
  <c r="P10" i="23"/>
  <c r="O10" i="23"/>
  <c r="N10" i="23"/>
  <c r="M10" i="23"/>
  <c r="L10" i="23"/>
  <c r="Q8" i="23"/>
  <c r="P8" i="23"/>
  <c r="O8" i="23"/>
  <c r="N8" i="23"/>
  <c r="M8" i="23"/>
  <c r="L8" i="23"/>
  <c r="Q7" i="23"/>
  <c r="P7" i="23"/>
  <c r="O7" i="23"/>
  <c r="N7" i="23"/>
  <c r="M7" i="23"/>
  <c r="L7" i="23"/>
  <c r="J7" i="23" s="1"/>
  <c r="Q6" i="23"/>
  <c r="P6" i="23"/>
  <c r="O6" i="23"/>
  <c r="N6" i="23"/>
  <c r="M6" i="23"/>
  <c r="L6" i="23"/>
  <c r="Q5" i="23"/>
  <c r="P5" i="23"/>
  <c r="O5" i="23"/>
  <c r="N5" i="23"/>
  <c r="M5" i="23"/>
  <c r="L5" i="23"/>
  <c r="Q4" i="23"/>
  <c r="P4" i="23"/>
  <c r="O4" i="23"/>
  <c r="N4" i="23"/>
  <c r="M4" i="23"/>
  <c r="L4" i="23"/>
  <c r="J4" i="23" s="1"/>
  <c r="Q3" i="23"/>
  <c r="P3" i="23"/>
  <c r="O3" i="23"/>
  <c r="N3" i="23"/>
  <c r="M3" i="23"/>
  <c r="L3" i="23"/>
  <c r="Q2" i="23"/>
  <c r="P2" i="23"/>
  <c r="O2" i="23"/>
  <c r="N2" i="23"/>
  <c r="M2" i="23"/>
  <c r="L2" i="23"/>
  <c r="Q50" i="22"/>
  <c r="P48" i="22"/>
  <c r="O48" i="22"/>
  <c r="N48" i="22"/>
  <c r="M48" i="22"/>
  <c r="L48" i="22"/>
  <c r="Q49" i="22"/>
  <c r="P45" i="22"/>
  <c r="O45" i="22"/>
  <c r="N45" i="22"/>
  <c r="M45" i="22"/>
  <c r="L45" i="22"/>
  <c r="Q48" i="22"/>
  <c r="P38" i="22"/>
  <c r="O38" i="22"/>
  <c r="N38" i="22"/>
  <c r="M38" i="22"/>
  <c r="L38" i="22"/>
  <c r="Q47" i="22"/>
  <c r="P39" i="22"/>
  <c r="O39" i="22"/>
  <c r="N39" i="22"/>
  <c r="M39" i="22"/>
  <c r="L39" i="22"/>
  <c r="Q46" i="22"/>
  <c r="P40" i="22"/>
  <c r="O40" i="22"/>
  <c r="N40" i="22"/>
  <c r="M40" i="22"/>
  <c r="L40" i="22"/>
  <c r="K40" i="22" s="1"/>
  <c r="Q45" i="22"/>
  <c r="P42" i="22"/>
  <c r="O42" i="22"/>
  <c r="N42" i="22"/>
  <c r="M42" i="22"/>
  <c r="L42" i="22"/>
  <c r="Q44" i="22"/>
  <c r="P50" i="22"/>
  <c r="O50" i="22"/>
  <c r="N50" i="22"/>
  <c r="M50" i="22"/>
  <c r="L50" i="22"/>
  <c r="Q43" i="22"/>
  <c r="P49" i="22"/>
  <c r="O49" i="22"/>
  <c r="N49" i="22"/>
  <c r="M49" i="22"/>
  <c r="L49" i="22"/>
  <c r="Q42" i="22"/>
  <c r="P47" i="22"/>
  <c r="O47" i="22"/>
  <c r="N47" i="22"/>
  <c r="M47" i="22"/>
  <c r="L47" i="22"/>
  <c r="Q41" i="22"/>
  <c r="P44" i="22"/>
  <c r="O44" i="22"/>
  <c r="N44" i="22"/>
  <c r="M44" i="22"/>
  <c r="L44" i="22"/>
  <c r="Q40" i="22"/>
  <c r="P43" i="22"/>
  <c r="O43" i="22"/>
  <c r="N43" i="22"/>
  <c r="M43" i="22"/>
  <c r="L43" i="22"/>
  <c r="Q39" i="22"/>
  <c r="P41" i="22"/>
  <c r="O41" i="22"/>
  <c r="N41" i="22"/>
  <c r="M41" i="22"/>
  <c r="L41" i="22"/>
  <c r="Q38" i="22"/>
  <c r="P46" i="22"/>
  <c r="O46" i="22"/>
  <c r="N46" i="22"/>
  <c r="M46" i="22"/>
  <c r="L46" i="22"/>
  <c r="Q37" i="22"/>
  <c r="P37" i="22"/>
  <c r="O37" i="22"/>
  <c r="N37" i="22"/>
  <c r="M37" i="22"/>
  <c r="L37" i="22"/>
  <c r="Q36" i="22"/>
  <c r="P35" i="22"/>
  <c r="O35" i="22"/>
  <c r="N35" i="22"/>
  <c r="M35" i="22"/>
  <c r="L35" i="22"/>
  <c r="Q35" i="22"/>
  <c r="P36" i="22"/>
  <c r="O36" i="22"/>
  <c r="N36" i="22"/>
  <c r="M36" i="22"/>
  <c r="L36" i="22"/>
  <c r="Q34" i="22"/>
  <c r="P33" i="22"/>
  <c r="O33" i="22"/>
  <c r="N33" i="22"/>
  <c r="M33" i="22"/>
  <c r="L33" i="22"/>
  <c r="Q33" i="22"/>
  <c r="P34" i="22"/>
  <c r="O34" i="22"/>
  <c r="N34" i="22"/>
  <c r="M34" i="22"/>
  <c r="L34" i="22"/>
  <c r="Q32" i="22"/>
  <c r="P32" i="22"/>
  <c r="O32" i="22"/>
  <c r="N32" i="22"/>
  <c r="M32" i="22"/>
  <c r="L32" i="22"/>
  <c r="Q31" i="22"/>
  <c r="P31" i="22"/>
  <c r="O31" i="22"/>
  <c r="N31" i="22"/>
  <c r="M31" i="22"/>
  <c r="L31" i="22"/>
  <c r="Q30" i="22"/>
  <c r="P30" i="22"/>
  <c r="O30" i="22"/>
  <c r="K30" i="22" s="1"/>
  <c r="N30" i="22"/>
  <c r="M30" i="22"/>
  <c r="L30" i="22"/>
  <c r="Q29" i="22"/>
  <c r="P28" i="22"/>
  <c r="O28" i="22"/>
  <c r="N28" i="22"/>
  <c r="M28" i="22"/>
  <c r="L28" i="22"/>
  <c r="Q28" i="22"/>
  <c r="P29" i="22"/>
  <c r="O29" i="22"/>
  <c r="N29" i="22"/>
  <c r="M29" i="22"/>
  <c r="L29" i="22"/>
  <c r="Q27" i="22"/>
  <c r="P26" i="22"/>
  <c r="O26" i="22"/>
  <c r="N26" i="22"/>
  <c r="M26" i="22"/>
  <c r="L26" i="22"/>
  <c r="Q26" i="22"/>
  <c r="P27" i="22"/>
  <c r="O27" i="22"/>
  <c r="N27" i="22"/>
  <c r="M27" i="22"/>
  <c r="L27" i="22"/>
  <c r="Q25" i="22"/>
  <c r="P25" i="22"/>
  <c r="O25" i="22"/>
  <c r="N25" i="22"/>
  <c r="M25" i="22"/>
  <c r="L25" i="22"/>
  <c r="Q24" i="22"/>
  <c r="P22" i="22"/>
  <c r="O22" i="22"/>
  <c r="N22" i="22"/>
  <c r="M22" i="22"/>
  <c r="L22" i="22"/>
  <c r="Q23" i="22"/>
  <c r="P23" i="22"/>
  <c r="O23" i="22"/>
  <c r="N23" i="22"/>
  <c r="M23" i="22"/>
  <c r="L23" i="22"/>
  <c r="Q22" i="22"/>
  <c r="P19" i="22"/>
  <c r="O19" i="22"/>
  <c r="N19" i="22"/>
  <c r="M19" i="22"/>
  <c r="L19" i="22"/>
  <c r="Q21" i="22"/>
  <c r="P24" i="22"/>
  <c r="O24" i="22"/>
  <c r="N24" i="22"/>
  <c r="M24" i="22"/>
  <c r="L24" i="22"/>
  <c r="Q20" i="22"/>
  <c r="P21" i="22"/>
  <c r="O21" i="22"/>
  <c r="N21" i="22"/>
  <c r="M21" i="22"/>
  <c r="L21" i="22"/>
  <c r="Q19" i="22"/>
  <c r="P20" i="22"/>
  <c r="O20" i="22"/>
  <c r="N20" i="22"/>
  <c r="M20" i="22"/>
  <c r="L20" i="22"/>
  <c r="Q18" i="22"/>
  <c r="P18" i="22"/>
  <c r="O18" i="22"/>
  <c r="N18" i="22"/>
  <c r="M18" i="22"/>
  <c r="L18" i="22"/>
  <c r="Q17" i="22"/>
  <c r="P17" i="22"/>
  <c r="O17" i="22"/>
  <c r="N17" i="22"/>
  <c r="M17" i="22"/>
  <c r="L17" i="22"/>
  <c r="Q16" i="22"/>
  <c r="P16" i="22"/>
  <c r="O16" i="22"/>
  <c r="N16" i="22"/>
  <c r="M16" i="22"/>
  <c r="L16" i="22"/>
  <c r="Q15" i="22"/>
  <c r="P15" i="22"/>
  <c r="O15" i="22"/>
  <c r="N15" i="22"/>
  <c r="M15" i="22"/>
  <c r="L15" i="22"/>
  <c r="Q14" i="22"/>
  <c r="P14" i="22"/>
  <c r="O14" i="22"/>
  <c r="N14" i="22"/>
  <c r="M14" i="22"/>
  <c r="L14" i="22"/>
  <c r="Q13" i="22"/>
  <c r="P13" i="22"/>
  <c r="O13" i="22"/>
  <c r="N13" i="22"/>
  <c r="M13" i="22"/>
  <c r="L13" i="22"/>
  <c r="Q12" i="22"/>
  <c r="P11" i="22"/>
  <c r="O11" i="22"/>
  <c r="N11" i="22"/>
  <c r="M11" i="22"/>
  <c r="L11" i="22"/>
  <c r="Q11" i="22"/>
  <c r="P12" i="22"/>
  <c r="O12" i="22"/>
  <c r="N12" i="22"/>
  <c r="M12" i="22"/>
  <c r="L12" i="22"/>
  <c r="Q10" i="22"/>
  <c r="P9" i="22"/>
  <c r="O9" i="22"/>
  <c r="N9" i="22"/>
  <c r="M9" i="22"/>
  <c r="L9" i="22"/>
  <c r="Q9" i="22"/>
  <c r="P8" i="22"/>
  <c r="O8" i="22"/>
  <c r="N8" i="22"/>
  <c r="M8" i="22"/>
  <c r="L8" i="22"/>
  <c r="Q8" i="22"/>
  <c r="P10" i="22"/>
  <c r="O10" i="22"/>
  <c r="N10" i="22"/>
  <c r="M10" i="22"/>
  <c r="L10" i="22"/>
  <c r="Q7" i="22"/>
  <c r="P7" i="22"/>
  <c r="O7" i="22"/>
  <c r="N7" i="22"/>
  <c r="M7" i="22"/>
  <c r="L7" i="22"/>
  <c r="Q6" i="22"/>
  <c r="P6" i="22"/>
  <c r="O6" i="22"/>
  <c r="N6" i="22"/>
  <c r="M6" i="22"/>
  <c r="L6" i="22"/>
  <c r="K6" i="22" s="1"/>
  <c r="Q5" i="22"/>
  <c r="P5" i="22"/>
  <c r="O5" i="22"/>
  <c r="N5" i="22"/>
  <c r="M5" i="22"/>
  <c r="L5" i="22"/>
  <c r="Q4" i="22"/>
  <c r="P3" i="22"/>
  <c r="O3" i="22"/>
  <c r="N3" i="22"/>
  <c r="M3" i="22"/>
  <c r="L3" i="22"/>
  <c r="Q3" i="22"/>
  <c r="P4" i="22"/>
  <c r="O4" i="22"/>
  <c r="N4" i="22"/>
  <c r="M4" i="22"/>
  <c r="L4" i="22"/>
  <c r="Q2" i="22"/>
  <c r="P2" i="22"/>
  <c r="O2" i="22"/>
  <c r="N2" i="22"/>
  <c r="M2" i="22"/>
  <c r="L2" i="22"/>
  <c r="Q50" i="21"/>
  <c r="P48" i="21"/>
  <c r="O48" i="21"/>
  <c r="N48" i="21"/>
  <c r="M48" i="21"/>
  <c r="L48" i="21"/>
  <c r="Q49" i="21"/>
  <c r="P45" i="21"/>
  <c r="O45" i="21"/>
  <c r="N45" i="21"/>
  <c r="M45" i="21"/>
  <c r="L45" i="21"/>
  <c r="Q48" i="21"/>
  <c r="P46" i="21"/>
  <c r="O46" i="21"/>
  <c r="N46" i="21"/>
  <c r="M46" i="21"/>
  <c r="L46" i="21"/>
  <c r="Q47" i="21"/>
  <c r="P37" i="21"/>
  <c r="O37" i="21"/>
  <c r="N37" i="21"/>
  <c r="M37" i="21"/>
  <c r="L37" i="21"/>
  <c r="Q46" i="21"/>
  <c r="P36" i="21"/>
  <c r="O36" i="21"/>
  <c r="N36" i="21"/>
  <c r="M36" i="21"/>
  <c r="L36" i="21"/>
  <c r="J36" i="21" s="1"/>
  <c r="Q45" i="21"/>
  <c r="J45" i="21" s="1"/>
  <c r="P38" i="21"/>
  <c r="O38" i="21"/>
  <c r="N38" i="21"/>
  <c r="M38" i="21"/>
  <c r="L38" i="21"/>
  <c r="Q44" i="21"/>
  <c r="P50" i="21"/>
  <c r="O50" i="21"/>
  <c r="N50" i="21"/>
  <c r="M50" i="21"/>
  <c r="L50" i="21"/>
  <c r="Q43" i="21"/>
  <c r="P49" i="21"/>
  <c r="O49" i="21"/>
  <c r="N49" i="21"/>
  <c r="M49" i="21"/>
  <c r="L49" i="21"/>
  <c r="Q42" i="21"/>
  <c r="P43" i="21"/>
  <c r="O43" i="21"/>
  <c r="N43" i="21"/>
  <c r="M43" i="21"/>
  <c r="L43" i="21"/>
  <c r="Q41" i="21"/>
  <c r="P47" i="21"/>
  <c r="O47" i="21"/>
  <c r="N47" i="21"/>
  <c r="M47" i="21"/>
  <c r="L47" i="21"/>
  <c r="Q40" i="21"/>
  <c r="P44" i="21"/>
  <c r="O44" i="21"/>
  <c r="N44" i="21"/>
  <c r="M44" i="21"/>
  <c r="L44" i="21"/>
  <c r="Q39" i="21"/>
  <c r="P40" i="21"/>
  <c r="O40" i="21"/>
  <c r="N40" i="21"/>
  <c r="M40" i="21"/>
  <c r="L40" i="21"/>
  <c r="Q38" i="21"/>
  <c r="P39" i="21"/>
  <c r="O39" i="21"/>
  <c r="N39" i="21"/>
  <c r="M39" i="21"/>
  <c r="L39" i="21"/>
  <c r="Q37" i="21"/>
  <c r="P42" i="21"/>
  <c r="O42" i="21"/>
  <c r="N42" i="21"/>
  <c r="M42" i="21"/>
  <c r="L42" i="21"/>
  <c r="Q36" i="21"/>
  <c r="P41" i="21"/>
  <c r="O41" i="21"/>
  <c r="N41" i="21"/>
  <c r="M41" i="21"/>
  <c r="L41" i="21"/>
  <c r="Q35" i="21"/>
  <c r="P35" i="21"/>
  <c r="O35" i="21"/>
  <c r="N35" i="21"/>
  <c r="M35" i="21"/>
  <c r="L35" i="21"/>
  <c r="Q34" i="21"/>
  <c r="P34" i="21"/>
  <c r="O34" i="21"/>
  <c r="N34" i="21"/>
  <c r="M34" i="21"/>
  <c r="L34" i="21"/>
  <c r="Q33" i="21"/>
  <c r="P33" i="21"/>
  <c r="O33" i="21"/>
  <c r="N33" i="21"/>
  <c r="M33" i="21"/>
  <c r="L33" i="21"/>
  <c r="Q32" i="21"/>
  <c r="P32" i="21"/>
  <c r="O32" i="21"/>
  <c r="N32" i="21"/>
  <c r="M32" i="21"/>
  <c r="L32" i="21"/>
  <c r="Q31" i="21"/>
  <c r="P31" i="21"/>
  <c r="O31" i="21"/>
  <c r="N31" i="21"/>
  <c r="M31" i="21"/>
  <c r="L31" i="21"/>
  <c r="Q30" i="21"/>
  <c r="P30" i="21"/>
  <c r="O30" i="21"/>
  <c r="N30" i="21"/>
  <c r="M30" i="21"/>
  <c r="L30" i="21"/>
  <c r="Q29" i="21"/>
  <c r="P29" i="21"/>
  <c r="O29" i="21"/>
  <c r="N29" i="21"/>
  <c r="M29" i="21"/>
  <c r="L29" i="21"/>
  <c r="Q28" i="21"/>
  <c r="P28" i="21"/>
  <c r="O28" i="21"/>
  <c r="N28" i="21"/>
  <c r="M28" i="21"/>
  <c r="L28" i="21"/>
  <c r="Q27" i="21"/>
  <c r="P27" i="21"/>
  <c r="O27" i="21"/>
  <c r="N27" i="21"/>
  <c r="M27" i="21"/>
  <c r="L27" i="21"/>
  <c r="Q26" i="21"/>
  <c r="K26" i="21" s="1"/>
  <c r="P26" i="21"/>
  <c r="O26" i="21"/>
  <c r="N26" i="21"/>
  <c r="M26" i="21"/>
  <c r="L26" i="21"/>
  <c r="Q25" i="21"/>
  <c r="P24" i="21"/>
  <c r="O24" i="21"/>
  <c r="N24" i="21"/>
  <c r="M24" i="21"/>
  <c r="L24" i="21"/>
  <c r="Q24" i="21"/>
  <c r="P25" i="21"/>
  <c r="O25" i="21"/>
  <c r="N25" i="21"/>
  <c r="M25" i="21"/>
  <c r="L25" i="21"/>
  <c r="Q23" i="21"/>
  <c r="P23" i="21"/>
  <c r="O23" i="21"/>
  <c r="N23" i="21"/>
  <c r="M23" i="21"/>
  <c r="L23" i="21"/>
  <c r="Q22" i="21"/>
  <c r="P22" i="21"/>
  <c r="O22" i="21"/>
  <c r="N22" i="21"/>
  <c r="M22" i="21"/>
  <c r="L22" i="21"/>
  <c r="Q21" i="21"/>
  <c r="P21" i="21"/>
  <c r="O21" i="21"/>
  <c r="N21" i="21"/>
  <c r="M21" i="21"/>
  <c r="L21" i="21"/>
  <c r="Q20" i="21"/>
  <c r="P20" i="21"/>
  <c r="O20" i="21"/>
  <c r="N20" i="21"/>
  <c r="M20" i="21"/>
  <c r="L20" i="21"/>
  <c r="Q19" i="21"/>
  <c r="P18" i="21"/>
  <c r="O18" i="21"/>
  <c r="N18" i="21"/>
  <c r="M18" i="21"/>
  <c r="L18" i="21"/>
  <c r="Q18" i="21"/>
  <c r="P19" i="21"/>
  <c r="O19" i="21"/>
  <c r="N19" i="21"/>
  <c r="M19" i="21"/>
  <c r="L19" i="21"/>
  <c r="Q17" i="21"/>
  <c r="P17" i="21"/>
  <c r="O17" i="21"/>
  <c r="N17" i="21"/>
  <c r="M17" i="21"/>
  <c r="L17" i="21"/>
  <c r="K17" i="21" s="1"/>
  <c r="Q16" i="21"/>
  <c r="P15" i="21"/>
  <c r="O15" i="21"/>
  <c r="N15" i="21"/>
  <c r="M15" i="21"/>
  <c r="L15" i="21"/>
  <c r="Q15" i="21"/>
  <c r="P16" i="21"/>
  <c r="O16" i="21"/>
  <c r="N16" i="21"/>
  <c r="M16" i="21"/>
  <c r="L16" i="21"/>
  <c r="Q14" i="21"/>
  <c r="P13" i="21"/>
  <c r="O13" i="21"/>
  <c r="N13" i="21"/>
  <c r="M13" i="21"/>
  <c r="L13" i="21"/>
  <c r="Q13" i="21"/>
  <c r="P11" i="21"/>
  <c r="O11" i="21"/>
  <c r="N11" i="21"/>
  <c r="M11" i="21"/>
  <c r="L11" i="21"/>
  <c r="Q12" i="21"/>
  <c r="P14" i="21"/>
  <c r="O14" i="21"/>
  <c r="N14" i="21"/>
  <c r="M14" i="21"/>
  <c r="L14" i="21"/>
  <c r="Q11" i="21"/>
  <c r="P12" i="21"/>
  <c r="O12" i="21"/>
  <c r="N12" i="21"/>
  <c r="M12" i="21"/>
  <c r="L12" i="21"/>
  <c r="Q10" i="21"/>
  <c r="P10" i="21"/>
  <c r="O10" i="21"/>
  <c r="N10" i="21"/>
  <c r="M10" i="21"/>
  <c r="L10" i="21"/>
  <c r="Q9" i="21"/>
  <c r="P8" i="21"/>
  <c r="O8" i="21"/>
  <c r="N8" i="21"/>
  <c r="M8" i="21"/>
  <c r="L8" i="21"/>
  <c r="Q8" i="21"/>
  <c r="P6" i="21"/>
  <c r="O6" i="21"/>
  <c r="N6" i="21"/>
  <c r="M6" i="21"/>
  <c r="L6" i="21"/>
  <c r="Q7" i="21"/>
  <c r="P5" i="21"/>
  <c r="O5" i="21"/>
  <c r="N5" i="21"/>
  <c r="M5" i="21"/>
  <c r="L5" i="21"/>
  <c r="Q6" i="21"/>
  <c r="P4" i="21"/>
  <c r="O4" i="21"/>
  <c r="N4" i="21"/>
  <c r="M4" i="21"/>
  <c r="L4" i="21"/>
  <c r="Q5" i="21"/>
  <c r="P9" i="21"/>
  <c r="O9" i="21"/>
  <c r="N9" i="21"/>
  <c r="M9" i="21"/>
  <c r="L9" i="21"/>
  <c r="Q4" i="21"/>
  <c r="P7" i="21"/>
  <c r="O7" i="21"/>
  <c r="N7" i="21"/>
  <c r="M7" i="21"/>
  <c r="L7" i="21"/>
  <c r="Q3" i="21"/>
  <c r="P3" i="21"/>
  <c r="O3" i="21"/>
  <c r="N3" i="21"/>
  <c r="M3" i="21"/>
  <c r="L3" i="21"/>
  <c r="Q2" i="21"/>
  <c r="P2" i="21"/>
  <c r="O2" i="21"/>
  <c r="K2" i="21" s="1"/>
  <c r="N2" i="21"/>
  <c r="M2" i="21"/>
  <c r="L2" i="21"/>
  <c r="J2" i="21"/>
  <c r="L34" i="2"/>
  <c r="M34" i="2"/>
  <c r="N34" i="2"/>
  <c r="O34" i="2"/>
  <c r="P34" i="2"/>
  <c r="Q34" i="2"/>
  <c r="L36" i="2"/>
  <c r="M36" i="2"/>
  <c r="N36" i="2"/>
  <c r="O36" i="2"/>
  <c r="P36" i="2"/>
  <c r="Q35" i="2"/>
  <c r="L37" i="2"/>
  <c r="M37" i="2"/>
  <c r="N37" i="2"/>
  <c r="O37" i="2"/>
  <c r="P37" i="2"/>
  <c r="Q36" i="2"/>
  <c r="L45" i="2"/>
  <c r="M45" i="2"/>
  <c r="N45" i="2"/>
  <c r="O45" i="2"/>
  <c r="P45" i="2"/>
  <c r="Q37" i="2"/>
  <c r="L40" i="2"/>
  <c r="M40" i="2"/>
  <c r="N40" i="2"/>
  <c r="O40" i="2"/>
  <c r="P40" i="2"/>
  <c r="Q38" i="2"/>
  <c r="L39" i="2"/>
  <c r="M39" i="2"/>
  <c r="N39" i="2"/>
  <c r="O39" i="2"/>
  <c r="P39" i="2"/>
  <c r="Q39" i="2"/>
  <c r="L43" i="2"/>
  <c r="M43" i="2"/>
  <c r="N43" i="2"/>
  <c r="O43" i="2"/>
  <c r="P43" i="2"/>
  <c r="Q40" i="2"/>
  <c r="L48" i="2"/>
  <c r="M48" i="2"/>
  <c r="N48" i="2"/>
  <c r="O48" i="2"/>
  <c r="P48" i="2"/>
  <c r="Q41" i="2"/>
  <c r="L42" i="2"/>
  <c r="M42" i="2"/>
  <c r="N42" i="2"/>
  <c r="O42" i="2"/>
  <c r="P42" i="2"/>
  <c r="Q42" i="2"/>
  <c r="L50" i="2"/>
  <c r="M50" i="2"/>
  <c r="N50" i="2"/>
  <c r="O50" i="2"/>
  <c r="P50" i="2"/>
  <c r="Q43" i="2"/>
  <c r="L49" i="2"/>
  <c r="M49" i="2"/>
  <c r="N49" i="2"/>
  <c r="O49" i="2"/>
  <c r="P49" i="2"/>
  <c r="Q44" i="2"/>
  <c r="L38" i="2"/>
  <c r="M38" i="2"/>
  <c r="N38" i="2"/>
  <c r="O38" i="2"/>
  <c r="P38" i="2"/>
  <c r="Q45" i="2"/>
  <c r="L47" i="2"/>
  <c r="M47" i="2"/>
  <c r="N47" i="2"/>
  <c r="O47" i="2"/>
  <c r="P47" i="2"/>
  <c r="Q46" i="2"/>
  <c r="L35" i="2"/>
  <c r="M35" i="2"/>
  <c r="N35" i="2"/>
  <c r="O35" i="2"/>
  <c r="P35" i="2"/>
  <c r="Q47" i="2"/>
  <c r="L41" i="2"/>
  <c r="M41" i="2"/>
  <c r="N41" i="2"/>
  <c r="O41" i="2"/>
  <c r="P41" i="2"/>
  <c r="Q48" i="2"/>
  <c r="L44" i="2"/>
  <c r="M44" i="2"/>
  <c r="N44" i="2"/>
  <c r="O44" i="2"/>
  <c r="P44" i="2"/>
  <c r="Q49" i="2"/>
  <c r="L46" i="2"/>
  <c r="M46" i="2"/>
  <c r="N46" i="2"/>
  <c r="O46" i="2"/>
  <c r="P46" i="2"/>
  <c r="Q50" i="2"/>
  <c r="K187" i="18" l="1"/>
  <c r="K118" i="18"/>
  <c r="J229" i="18"/>
  <c r="K164" i="18"/>
  <c r="J188" i="18"/>
  <c r="J159" i="18"/>
  <c r="J199" i="18"/>
  <c r="K229" i="18"/>
  <c r="J216" i="18"/>
  <c r="J180" i="18"/>
  <c r="J142" i="18"/>
  <c r="K159" i="18"/>
  <c r="J117" i="18"/>
  <c r="J127" i="18"/>
  <c r="J230" i="18"/>
  <c r="K136" i="18"/>
  <c r="K149" i="18"/>
  <c r="J100" i="18"/>
  <c r="K211" i="18"/>
  <c r="J174" i="18"/>
  <c r="J166" i="18"/>
  <c r="J138" i="18"/>
  <c r="J120" i="18"/>
  <c r="K188" i="18"/>
  <c r="K217" i="18"/>
  <c r="J205" i="18"/>
  <c r="J228" i="18"/>
  <c r="K154" i="18"/>
  <c r="J81" i="18"/>
  <c r="K199" i="18"/>
  <c r="J164" i="18"/>
  <c r="J195" i="18"/>
  <c r="J147" i="18"/>
  <c r="J215" i="18"/>
  <c r="K120" i="18"/>
  <c r="J148" i="18"/>
  <c r="J196" i="18"/>
  <c r="J144" i="18"/>
  <c r="K113" i="18"/>
  <c r="J77" i="18"/>
  <c r="J98" i="18"/>
  <c r="K96" i="18"/>
  <c r="K286" i="18"/>
  <c r="J165" i="18"/>
  <c r="K162" i="18"/>
  <c r="K121" i="18"/>
  <c r="K142" i="18"/>
  <c r="J102" i="18"/>
  <c r="K103" i="18"/>
  <c r="J211" i="18"/>
  <c r="J227" i="18"/>
  <c r="K152" i="18"/>
  <c r="J110" i="18"/>
  <c r="J158" i="18"/>
  <c r="K231" i="18"/>
  <c r="J203" i="18"/>
  <c r="J161" i="18"/>
  <c r="J177" i="18"/>
  <c r="J187" i="18"/>
  <c r="J118" i="18"/>
  <c r="K182" i="18"/>
  <c r="K194" i="18"/>
  <c r="K138" i="18"/>
  <c r="J113" i="18"/>
  <c r="J41" i="18"/>
  <c r="J218" i="18"/>
  <c r="J201" i="18"/>
  <c r="J151" i="18"/>
  <c r="J116" i="18"/>
  <c r="J155" i="18"/>
  <c r="K114" i="18"/>
  <c r="J178" i="18"/>
  <c r="J220" i="18"/>
  <c r="K226" i="18"/>
  <c r="J121" i="18"/>
  <c r="J169" i="18"/>
  <c r="J170" i="18"/>
  <c r="K148" i="18"/>
  <c r="J181" i="18"/>
  <c r="K126" i="18"/>
  <c r="J175" i="18"/>
  <c r="J210" i="18"/>
  <c r="K291" i="18"/>
  <c r="K175" i="18"/>
  <c r="J179" i="18"/>
  <c r="K65" i="18"/>
  <c r="J219" i="18"/>
  <c r="J106" i="18"/>
  <c r="J126" i="18"/>
  <c r="J291" i="18"/>
  <c r="J156" i="18"/>
  <c r="K41" i="18"/>
  <c r="J214" i="18"/>
  <c r="J105" i="18"/>
  <c r="J83" i="18"/>
  <c r="K86" i="18"/>
  <c r="K218" i="18"/>
  <c r="K201" i="18"/>
  <c r="K151" i="18"/>
  <c r="J135" i="18"/>
  <c r="J139" i="18"/>
  <c r="J284" i="18"/>
  <c r="J129" i="18"/>
  <c r="J50" i="18"/>
  <c r="J212" i="18"/>
  <c r="J157" i="18"/>
  <c r="J182" i="18"/>
  <c r="J146" i="18"/>
  <c r="J171" i="18"/>
  <c r="J95" i="18"/>
  <c r="J198" i="18"/>
  <c r="J128" i="18"/>
  <c r="K102" i="18"/>
  <c r="K216" i="18"/>
  <c r="K128" i="18"/>
  <c r="J289" i="18"/>
  <c r="J193" i="18"/>
  <c r="J221" i="18"/>
  <c r="J184" i="18"/>
  <c r="K289" i="18"/>
  <c r="K147" i="18"/>
  <c r="K228" i="18"/>
  <c r="K180" i="18"/>
  <c r="J80" i="18"/>
  <c r="J160" i="18"/>
  <c r="K97" i="18"/>
  <c r="J163" i="18"/>
  <c r="K105" i="18"/>
  <c r="K165" i="18"/>
  <c r="K77" i="18"/>
  <c r="K174" i="18"/>
  <c r="J167" i="18"/>
  <c r="J56" i="18"/>
  <c r="J213" i="18"/>
  <c r="J111" i="18"/>
  <c r="K167" i="18"/>
  <c r="K129" i="18"/>
  <c r="K221" i="18"/>
  <c r="K184" i="18"/>
  <c r="K156" i="18"/>
  <c r="K155" i="18"/>
  <c r="K83" i="18"/>
  <c r="K220" i="18"/>
  <c r="K210" i="18"/>
  <c r="K98" i="18"/>
  <c r="J86" i="18"/>
  <c r="J217" i="18"/>
  <c r="J194" i="18"/>
  <c r="J162" i="18"/>
  <c r="J136" i="18"/>
  <c r="J96" i="18"/>
  <c r="J103" i="18"/>
  <c r="J286" i="18"/>
  <c r="K193" i="18"/>
  <c r="K171" i="18"/>
  <c r="K146" i="18"/>
  <c r="K56" i="18"/>
  <c r="K95" i="18"/>
  <c r="K213" i="18"/>
  <c r="K198" i="18"/>
  <c r="K163" i="18"/>
  <c r="J97" i="18"/>
  <c r="K227" i="18"/>
  <c r="K158" i="18"/>
  <c r="K169" i="18"/>
  <c r="K170" i="18"/>
  <c r="K161" i="18"/>
  <c r="K106" i="18"/>
  <c r="K215" i="18"/>
  <c r="K160" i="18"/>
  <c r="K50" i="18"/>
  <c r="K212" i="18"/>
  <c r="K111" i="18"/>
  <c r="K157" i="18"/>
  <c r="K166" i="18"/>
  <c r="K80" i="18"/>
  <c r="K195" i="18"/>
  <c r="K205" i="18"/>
  <c r="K196" i="18"/>
  <c r="K179" i="18"/>
  <c r="K144" i="18"/>
  <c r="K116" i="18"/>
  <c r="K117" i="18"/>
  <c r="K110" i="18"/>
  <c r="K127" i="18"/>
  <c r="K100" i="18"/>
  <c r="K230" i="18"/>
  <c r="K219" i="18"/>
  <c r="K214" i="18"/>
  <c r="K203" i="18"/>
  <c r="K181" i="18"/>
  <c r="K178" i="18"/>
  <c r="K135" i="18"/>
  <c r="K177" i="18"/>
  <c r="K139" i="18"/>
  <c r="K81" i="18"/>
  <c r="K284" i="18"/>
  <c r="K13" i="26"/>
  <c r="J44" i="26"/>
  <c r="K40" i="26"/>
  <c r="J38" i="26"/>
  <c r="J42" i="26"/>
  <c r="K36" i="26"/>
  <c r="J16" i="26"/>
  <c r="K39" i="26"/>
  <c r="J31" i="26"/>
  <c r="K27" i="26"/>
  <c r="J29" i="26"/>
  <c r="K38" i="26"/>
  <c r="J12" i="26"/>
  <c r="K48" i="26"/>
  <c r="J25" i="26"/>
  <c r="K33" i="26"/>
  <c r="K22" i="26"/>
  <c r="K28" i="26"/>
  <c r="J39" i="26"/>
  <c r="K11" i="26"/>
  <c r="J17" i="26"/>
  <c r="J34" i="26"/>
  <c r="J18" i="26"/>
  <c r="J27" i="26"/>
  <c r="K9" i="26"/>
  <c r="K46" i="26"/>
  <c r="K14" i="26"/>
  <c r="J8" i="26"/>
  <c r="K47" i="26"/>
  <c r="K42" i="26"/>
  <c r="J20" i="26"/>
  <c r="K35" i="26"/>
  <c r="J5" i="26"/>
  <c r="K19" i="26"/>
  <c r="K4" i="26"/>
  <c r="J36" i="26"/>
  <c r="K23" i="26"/>
  <c r="K12" i="26"/>
  <c r="J48" i="26"/>
  <c r="K34" i="26"/>
  <c r="K43" i="26"/>
  <c r="K15" i="26"/>
  <c r="J13" i="26"/>
  <c r="K45" i="26"/>
  <c r="K21" i="26"/>
  <c r="J19" i="26"/>
  <c r="K32" i="26"/>
  <c r="K5" i="26"/>
  <c r="K10" i="26"/>
  <c r="K20" i="26"/>
  <c r="K17" i="26"/>
  <c r="K7" i="26"/>
  <c r="K3" i="26"/>
  <c r="K44" i="26"/>
  <c r="J9" i="26"/>
  <c r="J22" i="26"/>
  <c r="J11" i="26"/>
  <c r="K49" i="26"/>
  <c r="K37" i="26"/>
  <c r="J28" i="26"/>
  <c r="J35" i="26"/>
  <c r="J4" i="26"/>
  <c r="J14" i="26"/>
  <c r="J46" i="26"/>
  <c r="K41" i="26"/>
  <c r="J47" i="26"/>
  <c r="K25" i="26"/>
  <c r="J50" i="26"/>
  <c r="J24" i="26"/>
  <c r="J3" i="26"/>
  <c r="J10" i="26"/>
  <c r="J15" i="26"/>
  <c r="J21" i="26"/>
  <c r="J33" i="26"/>
  <c r="J41" i="26"/>
  <c r="J49" i="26"/>
  <c r="J7" i="26"/>
  <c r="J45" i="26"/>
  <c r="J43" i="26"/>
  <c r="J48" i="25"/>
  <c r="K15" i="25"/>
  <c r="J5" i="25"/>
  <c r="K26" i="25"/>
  <c r="K36" i="25"/>
  <c r="J42" i="25"/>
  <c r="K12" i="25"/>
  <c r="K14" i="25"/>
  <c r="J39" i="25"/>
  <c r="K20" i="25"/>
  <c r="K28" i="25"/>
  <c r="K38" i="25"/>
  <c r="J47" i="25"/>
  <c r="K8" i="25"/>
  <c r="K34" i="25"/>
  <c r="K45" i="25"/>
  <c r="K33" i="25"/>
  <c r="K6" i="25"/>
  <c r="K3" i="25"/>
  <c r="J25" i="25"/>
  <c r="K30" i="25"/>
  <c r="J14" i="25"/>
  <c r="K23" i="25"/>
  <c r="J26" i="25"/>
  <c r="J29" i="25"/>
  <c r="K13" i="25"/>
  <c r="K50" i="25"/>
  <c r="K17" i="25"/>
  <c r="K44" i="25"/>
  <c r="J40" i="25"/>
  <c r="K43" i="25"/>
  <c r="J12" i="25"/>
  <c r="J38" i="25"/>
  <c r="K7" i="25"/>
  <c r="K32" i="25"/>
  <c r="K4" i="25"/>
  <c r="J8" i="25"/>
  <c r="J20" i="25"/>
  <c r="K31" i="25"/>
  <c r="J33" i="25"/>
  <c r="J50" i="25"/>
  <c r="J4" i="25"/>
  <c r="J31" i="25"/>
  <c r="J13" i="25"/>
  <c r="J34" i="25"/>
  <c r="K2" i="25"/>
  <c r="K27" i="25"/>
  <c r="K25" i="25"/>
  <c r="K47" i="25"/>
  <c r="J16" i="25"/>
  <c r="K11" i="25"/>
  <c r="J6" i="25"/>
  <c r="J30" i="25"/>
  <c r="K19" i="25"/>
  <c r="J46" i="25"/>
  <c r="J9" i="25"/>
  <c r="K18" i="25"/>
  <c r="J23" i="25"/>
  <c r="J36" i="25"/>
  <c r="K35" i="25"/>
  <c r="J41" i="25"/>
  <c r="J18" i="25"/>
  <c r="J35" i="25"/>
  <c r="J7" i="25"/>
  <c r="J17" i="25"/>
  <c r="J32" i="25"/>
  <c r="K46" i="25"/>
  <c r="J2" i="25"/>
  <c r="J11" i="25"/>
  <c r="J19" i="25"/>
  <c r="J27" i="25"/>
  <c r="J43" i="25"/>
  <c r="J44" i="25"/>
  <c r="K7" i="23"/>
  <c r="K4" i="23"/>
  <c r="J9" i="23"/>
  <c r="K28" i="23"/>
  <c r="K42" i="23"/>
  <c r="J40" i="23"/>
  <c r="K44" i="23"/>
  <c r="K50" i="23"/>
  <c r="K9" i="23"/>
  <c r="J48" i="23"/>
  <c r="K47" i="23"/>
  <c r="K19" i="23"/>
  <c r="J13" i="23"/>
  <c r="K39" i="23"/>
  <c r="J37" i="23"/>
  <c r="K10" i="23"/>
  <c r="J26" i="23"/>
  <c r="J42" i="23"/>
  <c r="K17" i="23"/>
  <c r="K36" i="23"/>
  <c r="K16" i="23"/>
  <c r="K15" i="23"/>
  <c r="K49" i="23"/>
  <c r="J45" i="23"/>
  <c r="K30" i="23"/>
  <c r="K23" i="23"/>
  <c r="K12" i="23"/>
  <c r="J28" i="23"/>
  <c r="K26" i="23"/>
  <c r="J17" i="23"/>
  <c r="J19" i="23"/>
  <c r="K14" i="23"/>
  <c r="J35" i="23"/>
  <c r="K13" i="23"/>
  <c r="K22" i="23"/>
  <c r="K40" i="23"/>
  <c r="J46" i="23"/>
  <c r="J2" i="23"/>
  <c r="K6" i="23"/>
  <c r="J10" i="23"/>
  <c r="K38" i="23"/>
  <c r="K24" i="23"/>
  <c r="K5" i="23"/>
  <c r="K21" i="23"/>
  <c r="K46" i="23"/>
  <c r="K18" i="23"/>
  <c r="J23" i="23"/>
  <c r="K25" i="23"/>
  <c r="K27" i="23"/>
  <c r="J30" i="23"/>
  <c r="K33" i="23"/>
  <c r="J11" i="23"/>
  <c r="J43" i="23"/>
  <c r="J41" i="23"/>
  <c r="K32" i="23"/>
  <c r="J38" i="23"/>
  <c r="J25" i="23"/>
  <c r="J49" i="23"/>
  <c r="J20" i="23"/>
  <c r="J21" i="23"/>
  <c r="J24" i="23"/>
  <c r="K35" i="23"/>
  <c r="K2" i="23"/>
  <c r="J5" i="23"/>
  <c r="J16" i="23"/>
  <c r="K29" i="23"/>
  <c r="K8" i="23"/>
  <c r="J29" i="23"/>
  <c r="J18" i="23"/>
  <c r="J15" i="23"/>
  <c r="J22" i="23"/>
  <c r="J32" i="23"/>
  <c r="K11" i="23"/>
  <c r="K20" i="23"/>
  <c r="K43" i="23"/>
  <c r="J39" i="23"/>
  <c r="J33" i="23"/>
  <c r="K3" i="23"/>
  <c r="J3" i="23"/>
  <c r="J6" i="23"/>
  <c r="J14" i="23"/>
  <c r="J27" i="23"/>
  <c r="J36" i="23"/>
  <c r="K45" i="23"/>
  <c r="J47" i="23"/>
  <c r="J8" i="23"/>
  <c r="K5" i="21"/>
  <c r="K40" i="21"/>
  <c r="J26" i="21"/>
  <c r="K36" i="21"/>
  <c r="K37" i="22"/>
  <c r="K38" i="22"/>
  <c r="K43" i="22"/>
  <c r="K49" i="22"/>
  <c r="J30" i="22"/>
  <c r="J43" i="22"/>
  <c r="K24" i="22"/>
  <c r="J9" i="22"/>
  <c r="K22" i="22"/>
  <c r="K47" i="22"/>
  <c r="K15" i="22"/>
  <c r="K3" i="22"/>
  <c r="K11" i="22"/>
  <c r="K39" i="22"/>
  <c r="K44" i="22"/>
  <c r="J37" i="22"/>
  <c r="J24" i="22"/>
  <c r="K48" i="22"/>
  <c r="K18" i="22"/>
  <c r="K31" i="22"/>
  <c r="K36" i="22"/>
  <c r="K21" i="22"/>
  <c r="J40" i="22"/>
  <c r="K45" i="22"/>
  <c r="K17" i="22"/>
  <c r="J11" i="22"/>
  <c r="J31" i="22"/>
  <c r="K33" i="22"/>
  <c r="J6" i="22"/>
  <c r="K8" i="22"/>
  <c r="J15" i="22"/>
  <c r="K29" i="22"/>
  <c r="J48" i="22"/>
  <c r="K32" i="22"/>
  <c r="K27" i="22"/>
  <c r="K12" i="22"/>
  <c r="K4" i="22"/>
  <c r="K19" i="22"/>
  <c r="K9" i="22"/>
  <c r="K28" i="22"/>
  <c r="K42" i="22"/>
  <c r="K35" i="22"/>
  <c r="K26" i="22"/>
  <c r="K25" i="22"/>
  <c r="K16" i="22"/>
  <c r="K7" i="22"/>
  <c r="J12" i="22"/>
  <c r="J27" i="22"/>
  <c r="K10" i="22"/>
  <c r="J17" i="22"/>
  <c r="J32" i="22"/>
  <c r="J44" i="22"/>
  <c r="K50" i="22"/>
  <c r="K5" i="22"/>
  <c r="K14" i="22"/>
  <c r="J21" i="22"/>
  <c r="K23" i="22"/>
  <c r="J36" i="22"/>
  <c r="K46" i="22"/>
  <c r="K2" i="22"/>
  <c r="J23" i="22"/>
  <c r="J7" i="22"/>
  <c r="J18" i="22"/>
  <c r="J26" i="22"/>
  <c r="J46" i="22"/>
  <c r="J39" i="22"/>
  <c r="J10" i="22"/>
  <c r="J29" i="22"/>
  <c r="J38" i="22"/>
  <c r="J4" i="22"/>
  <c r="J49" i="22"/>
  <c r="J16" i="22"/>
  <c r="J35" i="22"/>
  <c r="K13" i="22"/>
  <c r="K34" i="22"/>
  <c r="K20" i="22"/>
  <c r="K41" i="22"/>
  <c r="J2" i="22"/>
  <c r="J13" i="22"/>
  <c r="J19" i="22"/>
  <c r="J34" i="22"/>
  <c r="J47" i="22"/>
  <c r="J5" i="22"/>
  <c r="J25" i="22"/>
  <c r="J42" i="22"/>
  <c r="J3" i="22"/>
  <c r="J8" i="22"/>
  <c r="J14" i="22"/>
  <c r="J20" i="22"/>
  <c r="J22" i="22"/>
  <c r="J28" i="22"/>
  <c r="J33" i="22"/>
  <c r="J41" i="22"/>
  <c r="J50" i="22"/>
  <c r="J45" i="22"/>
  <c r="K47" i="2"/>
  <c r="K43" i="21"/>
  <c r="K34" i="21"/>
  <c r="K27" i="21"/>
  <c r="K31" i="21"/>
  <c r="J5" i="21"/>
  <c r="K7" i="21"/>
  <c r="J18" i="21"/>
  <c r="J15" i="21"/>
  <c r="J42" i="21"/>
  <c r="J7" i="21"/>
  <c r="J27" i="21"/>
  <c r="J34" i="21"/>
  <c r="J29" i="21"/>
  <c r="K8" i="21"/>
  <c r="K32" i="21"/>
  <c r="K42" i="21"/>
  <c r="K15" i="21"/>
  <c r="K18" i="21"/>
  <c r="J47" i="21"/>
  <c r="K13" i="21"/>
  <c r="K45" i="21"/>
  <c r="K25" i="21"/>
  <c r="K14" i="21"/>
  <c r="K21" i="21"/>
  <c r="K50" i="21"/>
  <c r="K22" i="21"/>
  <c r="J32" i="21"/>
  <c r="J50" i="21"/>
  <c r="K29" i="21"/>
  <c r="K47" i="21"/>
  <c r="K12" i="21"/>
  <c r="J41" i="21"/>
  <c r="K28" i="21"/>
  <c r="K4" i="21"/>
  <c r="J8" i="21"/>
  <c r="J14" i="21"/>
  <c r="J21" i="21"/>
  <c r="J25" i="21"/>
  <c r="K3" i="21"/>
  <c r="K37" i="21"/>
  <c r="K38" i="21"/>
  <c r="K23" i="21"/>
  <c r="K16" i="21"/>
  <c r="K44" i="21"/>
  <c r="K19" i="21"/>
  <c r="K10" i="21"/>
  <c r="K35" i="21"/>
  <c r="K11" i="21"/>
  <c r="K39" i="21"/>
  <c r="K9" i="21"/>
  <c r="J12" i="21"/>
  <c r="J37" i="21"/>
  <c r="K41" i="21"/>
  <c r="K6" i="21"/>
  <c r="J13" i="21"/>
  <c r="K33" i="21"/>
  <c r="J40" i="21"/>
  <c r="K24" i="21"/>
  <c r="K48" i="21"/>
  <c r="K20" i="21"/>
  <c r="K46" i="21"/>
  <c r="K49" i="21"/>
  <c r="K30" i="21"/>
  <c r="J22" i="21"/>
  <c r="J4" i="21"/>
  <c r="J17" i="21"/>
  <c r="J31" i="21"/>
  <c r="J43" i="21"/>
  <c r="J9" i="21"/>
  <c r="J10" i="21"/>
  <c r="J16" i="21"/>
  <c r="J20" i="21"/>
  <c r="J24" i="21"/>
  <c r="J30" i="21"/>
  <c r="J35" i="21"/>
  <c r="J44" i="21"/>
  <c r="J38" i="21"/>
  <c r="J48" i="21"/>
  <c r="J3" i="21"/>
  <c r="J6" i="21"/>
  <c r="J11" i="21"/>
  <c r="J19" i="21"/>
  <c r="J23" i="21"/>
  <c r="J28" i="21"/>
  <c r="J33" i="21"/>
  <c r="J39" i="21"/>
  <c r="J49" i="21"/>
  <c r="J46" i="21"/>
  <c r="J48" i="2"/>
  <c r="J49" i="2"/>
  <c r="J34" i="2"/>
  <c r="J37" i="2"/>
  <c r="K42" i="2"/>
  <c r="J44" i="2"/>
  <c r="J38" i="2"/>
  <c r="J36" i="2"/>
  <c r="J41" i="2"/>
  <c r="K44" i="2"/>
  <c r="J47" i="2"/>
  <c r="J42" i="2"/>
  <c r="J35" i="2"/>
  <c r="J45" i="2"/>
  <c r="K41" i="2"/>
  <c r="K39" i="2"/>
  <c r="K40" i="2"/>
  <c r="K38" i="2"/>
  <c r="K50" i="2"/>
  <c r="K46" i="2"/>
  <c r="K43" i="2"/>
  <c r="K49" i="2"/>
  <c r="K35" i="2"/>
  <c r="K48" i="2"/>
  <c r="K45" i="2"/>
  <c r="K37" i="2"/>
  <c r="K36" i="2"/>
  <c r="K34" i="2"/>
  <c r="J46" i="2"/>
  <c r="J50" i="2"/>
  <c r="J43" i="2"/>
  <c r="J39" i="2"/>
  <c r="J40" i="2"/>
  <c r="Q109" i="18" l="1"/>
  <c r="L145" i="18"/>
  <c r="M145" i="18"/>
  <c r="N145" i="18"/>
  <c r="O145" i="18"/>
  <c r="P145" i="18"/>
  <c r="Q145" i="18"/>
  <c r="L85" i="18"/>
  <c r="M85" i="18"/>
  <c r="N85" i="18"/>
  <c r="O85" i="18"/>
  <c r="P85" i="18"/>
  <c r="Q85" i="18"/>
  <c r="L206" i="18"/>
  <c r="M206" i="18"/>
  <c r="N206" i="18"/>
  <c r="O206" i="18"/>
  <c r="P206" i="18"/>
  <c r="Q206" i="18"/>
  <c r="L249" i="18"/>
  <c r="M249" i="18"/>
  <c r="N249" i="18"/>
  <c r="O249" i="18"/>
  <c r="P249" i="18"/>
  <c r="Q249" i="18"/>
  <c r="L281" i="18"/>
  <c r="M281" i="18"/>
  <c r="N281" i="18"/>
  <c r="O281" i="18"/>
  <c r="P281" i="18"/>
  <c r="Q281" i="18"/>
  <c r="L24" i="18"/>
  <c r="M24" i="18"/>
  <c r="N24" i="18"/>
  <c r="O24" i="18"/>
  <c r="P24" i="18"/>
  <c r="Q24" i="18"/>
  <c r="L283" i="18"/>
  <c r="M283" i="18"/>
  <c r="N283" i="18"/>
  <c r="O283" i="18"/>
  <c r="P283" i="18"/>
  <c r="Q283" i="18"/>
  <c r="L58" i="18"/>
  <c r="M58" i="18"/>
  <c r="N58" i="18"/>
  <c r="O58" i="18"/>
  <c r="P58" i="18"/>
  <c r="Q58" i="18"/>
  <c r="L53" i="18"/>
  <c r="M53" i="18"/>
  <c r="N53" i="18"/>
  <c r="O53" i="18"/>
  <c r="P53" i="18"/>
  <c r="Q53" i="18"/>
  <c r="L87" i="18"/>
  <c r="M87" i="18"/>
  <c r="N87" i="18"/>
  <c r="O87" i="18"/>
  <c r="P87" i="18"/>
  <c r="Q87" i="18"/>
  <c r="L45" i="18"/>
  <c r="M45" i="18"/>
  <c r="N45" i="18"/>
  <c r="O45" i="18"/>
  <c r="P45" i="18"/>
  <c r="Q45" i="18"/>
  <c r="L27" i="18"/>
  <c r="M27" i="18"/>
  <c r="N27" i="18"/>
  <c r="O27" i="18"/>
  <c r="P27" i="18"/>
  <c r="Q27" i="18"/>
  <c r="L49" i="18"/>
  <c r="M49" i="18"/>
  <c r="N49" i="18"/>
  <c r="O49" i="18"/>
  <c r="P49" i="18"/>
  <c r="Q49" i="18"/>
  <c r="L197" i="18"/>
  <c r="M197" i="18"/>
  <c r="N197" i="18"/>
  <c r="O197" i="18"/>
  <c r="P197" i="18"/>
  <c r="Q197" i="18"/>
  <c r="L189" i="18"/>
  <c r="M189" i="18"/>
  <c r="N189" i="18"/>
  <c r="O189" i="18"/>
  <c r="P189" i="18"/>
  <c r="Q189" i="18"/>
  <c r="L248" i="18"/>
  <c r="M248" i="18"/>
  <c r="N248" i="18"/>
  <c r="O248" i="18"/>
  <c r="P248" i="18"/>
  <c r="Q248" i="18"/>
  <c r="L250" i="18"/>
  <c r="M250" i="18"/>
  <c r="N250" i="18"/>
  <c r="O250" i="18"/>
  <c r="P250" i="18"/>
  <c r="Q250" i="18"/>
  <c r="L251" i="18"/>
  <c r="M251" i="18"/>
  <c r="N251" i="18"/>
  <c r="O251" i="18"/>
  <c r="P251" i="18"/>
  <c r="Q251" i="18"/>
  <c r="L238" i="18"/>
  <c r="M238" i="18"/>
  <c r="N238" i="18"/>
  <c r="O238" i="18"/>
  <c r="P238" i="18"/>
  <c r="Q238" i="18"/>
  <c r="L253" i="18"/>
  <c r="M253" i="18"/>
  <c r="N253" i="18"/>
  <c r="O253" i="18"/>
  <c r="P253" i="18"/>
  <c r="Q253" i="18"/>
  <c r="L46" i="18"/>
  <c r="M46" i="18"/>
  <c r="N46" i="18"/>
  <c r="O46" i="18"/>
  <c r="P46" i="18"/>
  <c r="Q46" i="18"/>
  <c r="L13" i="18"/>
  <c r="M13" i="18"/>
  <c r="N13" i="18"/>
  <c r="O13" i="18"/>
  <c r="P13" i="18"/>
  <c r="Q13" i="18"/>
  <c r="L16" i="18"/>
  <c r="M16" i="18"/>
  <c r="N16" i="18"/>
  <c r="O16" i="18"/>
  <c r="P16" i="18"/>
  <c r="Q16" i="18"/>
  <c r="L200" i="18"/>
  <c r="M200" i="18"/>
  <c r="N200" i="18"/>
  <c r="O200" i="18"/>
  <c r="P200" i="18"/>
  <c r="Q200" i="18"/>
  <c r="L265" i="18"/>
  <c r="M265" i="18"/>
  <c r="N265" i="18"/>
  <c r="O265" i="18"/>
  <c r="P265" i="18"/>
  <c r="Q265" i="18"/>
  <c r="L78" i="18"/>
  <c r="M78" i="18"/>
  <c r="N78" i="18"/>
  <c r="O78" i="18"/>
  <c r="P78" i="18"/>
  <c r="Q78" i="18"/>
  <c r="L173" i="18"/>
  <c r="M173" i="18"/>
  <c r="N173" i="18"/>
  <c r="O173" i="18"/>
  <c r="P173" i="18"/>
  <c r="Q173" i="18"/>
  <c r="L273" i="18"/>
  <c r="M273" i="18"/>
  <c r="N273" i="18"/>
  <c r="O273" i="18"/>
  <c r="P273" i="18"/>
  <c r="Q273" i="18"/>
  <c r="L277" i="18"/>
  <c r="M277" i="18"/>
  <c r="N277" i="18"/>
  <c r="O277" i="18"/>
  <c r="P277" i="18"/>
  <c r="Q277" i="18"/>
  <c r="L279" i="18"/>
  <c r="M279" i="18"/>
  <c r="N279" i="18"/>
  <c r="O279" i="18"/>
  <c r="P279" i="18"/>
  <c r="Q279" i="18"/>
  <c r="L282" i="18"/>
  <c r="M282" i="18"/>
  <c r="N282" i="18"/>
  <c r="O282" i="18"/>
  <c r="P282" i="18"/>
  <c r="Q282" i="18"/>
  <c r="L112" i="18"/>
  <c r="M112" i="18"/>
  <c r="N112" i="18"/>
  <c r="O112" i="18"/>
  <c r="P112" i="18"/>
  <c r="Q112" i="18"/>
  <c r="L141" i="18"/>
  <c r="M141" i="18"/>
  <c r="N141" i="18"/>
  <c r="O141" i="18"/>
  <c r="P141" i="18"/>
  <c r="Q141" i="18"/>
  <c r="L267" i="18"/>
  <c r="M267" i="18"/>
  <c r="N267" i="18"/>
  <c r="O267" i="18"/>
  <c r="P267" i="18"/>
  <c r="Q267" i="18"/>
  <c r="L295" i="18"/>
  <c r="M295" i="18"/>
  <c r="N295" i="18"/>
  <c r="O295" i="18"/>
  <c r="P295" i="18"/>
  <c r="Q295" i="18"/>
  <c r="L176" i="18"/>
  <c r="M176" i="18"/>
  <c r="N176" i="18"/>
  <c r="O176" i="18"/>
  <c r="P176" i="18"/>
  <c r="Q176" i="18"/>
  <c r="L186" i="18"/>
  <c r="M186" i="18"/>
  <c r="N186" i="18"/>
  <c r="O186" i="18"/>
  <c r="P186" i="18"/>
  <c r="Q186" i="18"/>
  <c r="L202" i="18"/>
  <c r="M202" i="18"/>
  <c r="N202" i="18"/>
  <c r="O202" i="18"/>
  <c r="P202" i="18"/>
  <c r="Q202" i="18"/>
  <c r="L243" i="18"/>
  <c r="M243" i="18"/>
  <c r="N243" i="18"/>
  <c r="O243" i="18"/>
  <c r="P243" i="18"/>
  <c r="Q243" i="18"/>
  <c r="L285" i="18"/>
  <c r="M285" i="18"/>
  <c r="N285" i="18"/>
  <c r="O285" i="18"/>
  <c r="P285" i="18"/>
  <c r="Q285" i="18"/>
  <c r="L34" i="18"/>
  <c r="M34" i="18"/>
  <c r="N34" i="18"/>
  <c r="O34" i="18"/>
  <c r="P34" i="18"/>
  <c r="Q34" i="18"/>
  <c r="L71" i="18"/>
  <c r="M71" i="18"/>
  <c r="N71" i="18"/>
  <c r="O71" i="18"/>
  <c r="P71" i="18"/>
  <c r="Q71" i="18"/>
  <c r="L292" i="18"/>
  <c r="M292" i="18"/>
  <c r="N292" i="18"/>
  <c r="O292" i="18"/>
  <c r="P292" i="18"/>
  <c r="Q292" i="18"/>
  <c r="L54" i="18"/>
  <c r="M54" i="18"/>
  <c r="N54" i="18"/>
  <c r="O54" i="18"/>
  <c r="P54" i="18"/>
  <c r="Q54" i="18"/>
  <c r="L130" i="18"/>
  <c r="M130" i="18"/>
  <c r="N130" i="18"/>
  <c r="O130" i="18"/>
  <c r="P130" i="18"/>
  <c r="Q130" i="18"/>
  <c r="L82" i="18"/>
  <c r="M82" i="18"/>
  <c r="N82" i="18"/>
  <c r="O82" i="18"/>
  <c r="P82" i="18"/>
  <c r="Q82" i="18"/>
  <c r="L43" i="18"/>
  <c r="M43" i="18"/>
  <c r="N43" i="18"/>
  <c r="O43" i="18"/>
  <c r="P43" i="18"/>
  <c r="Q43" i="18"/>
  <c r="L260" i="18"/>
  <c r="M260" i="18"/>
  <c r="N260" i="18"/>
  <c r="O260" i="18"/>
  <c r="P260" i="18"/>
  <c r="Q260" i="18"/>
  <c r="L108" i="18"/>
  <c r="M108" i="18"/>
  <c r="N108" i="18"/>
  <c r="O108" i="18"/>
  <c r="P108" i="18"/>
  <c r="Q108" i="18"/>
  <c r="L172" i="18"/>
  <c r="M172" i="18"/>
  <c r="N172" i="18"/>
  <c r="O172" i="18"/>
  <c r="P172" i="18"/>
  <c r="Q172" i="18"/>
  <c r="L115" i="18"/>
  <c r="M115" i="18"/>
  <c r="N115" i="18"/>
  <c r="O115" i="18"/>
  <c r="P115" i="18"/>
  <c r="Q115" i="18"/>
  <c r="L293" i="18"/>
  <c r="M293" i="18"/>
  <c r="N293" i="18"/>
  <c r="O293" i="18"/>
  <c r="P293" i="18"/>
  <c r="Q293" i="18"/>
  <c r="L8" i="18"/>
  <c r="M8" i="18"/>
  <c r="N8" i="18"/>
  <c r="O8" i="18"/>
  <c r="P8" i="18"/>
  <c r="Q8" i="18"/>
  <c r="L36" i="18"/>
  <c r="M36" i="18"/>
  <c r="N36" i="18"/>
  <c r="O36" i="18"/>
  <c r="P36" i="18"/>
  <c r="Q36" i="18"/>
  <c r="L79" i="18"/>
  <c r="M79" i="18"/>
  <c r="N79" i="18"/>
  <c r="O79" i="18"/>
  <c r="P79" i="18"/>
  <c r="Q79" i="18"/>
  <c r="L20" i="18"/>
  <c r="M20" i="18"/>
  <c r="N20" i="18"/>
  <c r="O20" i="18"/>
  <c r="P20" i="18"/>
  <c r="Q20" i="18"/>
  <c r="L91" i="18"/>
  <c r="M91" i="18"/>
  <c r="N91" i="18"/>
  <c r="O91" i="18"/>
  <c r="P91" i="18"/>
  <c r="Q91" i="18"/>
  <c r="L224" i="18"/>
  <c r="M224" i="18"/>
  <c r="N224" i="18"/>
  <c r="O224" i="18"/>
  <c r="P224" i="18"/>
  <c r="Q224" i="18"/>
  <c r="L28" i="18"/>
  <c r="M28" i="18"/>
  <c r="N28" i="18"/>
  <c r="O28" i="18"/>
  <c r="P28" i="18"/>
  <c r="Q28" i="18"/>
  <c r="L30" i="18"/>
  <c r="M30" i="18"/>
  <c r="N30" i="18"/>
  <c r="O30" i="18"/>
  <c r="P30" i="18"/>
  <c r="Q30" i="18"/>
  <c r="L131" i="18"/>
  <c r="M131" i="18"/>
  <c r="N131" i="18"/>
  <c r="O131" i="18"/>
  <c r="P131" i="18"/>
  <c r="Q131" i="18"/>
  <c r="L259" i="18"/>
  <c r="M259" i="18"/>
  <c r="N259" i="18"/>
  <c r="O259" i="18"/>
  <c r="P259" i="18"/>
  <c r="Q259" i="18"/>
  <c r="L272" i="18"/>
  <c r="M272" i="18"/>
  <c r="N272" i="18"/>
  <c r="O272" i="18"/>
  <c r="P272" i="18"/>
  <c r="Q272" i="18"/>
  <c r="L90" i="18"/>
  <c r="M90" i="18"/>
  <c r="N90" i="18"/>
  <c r="O90" i="18"/>
  <c r="P90" i="18"/>
  <c r="Q90" i="18"/>
  <c r="L63" i="18"/>
  <c r="M63" i="18"/>
  <c r="N63" i="18"/>
  <c r="O63" i="18"/>
  <c r="P63" i="18"/>
  <c r="Q63" i="18"/>
  <c r="L60" i="18"/>
  <c r="M60" i="18"/>
  <c r="N60" i="18"/>
  <c r="O60" i="18"/>
  <c r="P60" i="18"/>
  <c r="Q60" i="18"/>
  <c r="L68" i="18"/>
  <c r="M68" i="18"/>
  <c r="N68" i="18"/>
  <c r="O68" i="18"/>
  <c r="P68" i="18"/>
  <c r="Q68" i="18"/>
  <c r="L74" i="18"/>
  <c r="M74" i="18"/>
  <c r="N74" i="18"/>
  <c r="O74" i="18"/>
  <c r="P74" i="18"/>
  <c r="Q74" i="18"/>
  <c r="L99" i="18"/>
  <c r="M99" i="18"/>
  <c r="N99" i="18"/>
  <c r="O99" i="18"/>
  <c r="P99" i="18"/>
  <c r="Q99" i="18"/>
  <c r="L51" i="18"/>
  <c r="M51" i="18"/>
  <c r="N51" i="18"/>
  <c r="O51" i="18"/>
  <c r="P51" i="18"/>
  <c r="Q51" i="18"/>
  <c r="L69" i="18"/>
  <c r="M69" i="18"/>
  <c r="N69" i="18"/>
  <c r="O69" i="18"/>
  <c r="P69" i="18"/>
  <c r="Q69" i="18"/>
  <c r="L66" i="18"/>
  <c r="M66" i="18"/>
  <c r="N66" i="18"/>
  <c r="O66" i="18"/>
  <c r="P66" i="18"/>
  <c r="Q66" i="18"/>
  <c r="L73" i="18"/>
  <c r="M73" i="18"/>
  <c r="N73" i="18"/>
  <c r="O73" i="18"/>
  <c r="P73" i="18"/>
  <c r="Q73" i="18"/>
  <c r="L40" i="18"/>
  <c r="M40" i="18"/>
  <c r="N40" i="18"/>
  <c r="O40" i="18"/>
  <c r="P40" i="18"/>
  <c r="Q40" i="18"/>
  <c r="L92" i="18"/>
  <c r="M92" i="18"/>
  <c r="N92" i="18"/>
  <c r="O92" i="18"/>
  <c r="P92" i="18"/>
  <c r="Q92" i="18"/>
  <c r="L107" i="18"/>
  <c r="M107" i="18"/>
  <c r="N107" i="18"/>
  <c r="O107" i="18"/>
  <c r="P107" i="18"/>
  <c r="Q107" i="18"/>
  <c r="L183" i="18"/>
  <c r="M183" i="18"/>
  <c r="N183" i="18"/>
  <c r="O183" i="18"/>
  <c r="P183" i="18"/>
  <c r="Q183" i="18"/>
  <c r="L222" i="18"/>
  <c r="M222" i="18"/>
  <c r="N222" i="18"/>
  <c r="O222" i="18"/>
  <c r="P222" i="18"/>
  <c r="Q222" i="18"/>
  <c r="L258" i="18"/>
  <c r="M258" i="18"/>
  <c r="N258" i="18"/>
  <c r="O258" i="18"/>
  <c r="P258" i="18"/>
  <c r="Q258" i="18"/>
  <c r="L269" i="18"/>
  <c r="M269" i="18"/>
  <c r="N269" i="18"/>
  <c r="O269" i="18"/>
  <c r="P269" i="18"/>
  <c r="Q269" i="18"/>
  <c r="L261" i="18"/>
  <c r="M261" i="18"/>
  <c r="N261" i="18"/>
  <c r="O261" i="18"/>
  <c r="P261" i="18"/>
  <c r="Q261" i="18"/>
  <c r="L287" i="18"/>
  <c r="M287" i="18"/>
  <c r="N287" i="18"/>
  <c r="O287" i="18"/>
  <c r="P287" i="18"/>
  <c r="Q287" i="18"/>
  <c r="L278" i="18"/>
  <c r="M278" i="18"/>
  <c r="N278" i="18"/>
  <c r="O278" i="18"/>
  <c r="P278" i="18"/>
  <c r="Q278" i="18"/>
  <c r="L25" i="18"/>
  <c r="M25" i="18"/>
  <c r="N25" i="18"/>
  <c r="O25" i="18"/>
  <c r="P25" i="18"/>
  <c r="Q25" i="18"/>
  <c r="L64" i="18"/>
  <c r="M64" i="18"/>
  <c r="N64" i="18"/>
  <c r="O64" i="18"/>
  <c r="P64" i="18"/>
  <c r="Q64" i="18"/>
  <c r="L59" i="18"/>
  <c r="M59" i="18"/>
  <c r="N59" i="18"/>
  <c r="O59" i="18"/>
  <c r="P59" i="18"/>
  <c r="Q59" i="18"/>
  <c r="L44" i="18"/>
  <c r="M44" i="18"/>
  <c r="N44" i="18"/>
  <c r="O44" i="18"/>
  <c r="P44" i="18"/>
  <c r="Q44" i="18"/>
  <c r="L125" i="18"/>
  <c r="M125" i="18"/>
  <c r="N125" i="18"/>
  <c r="O125" i="18"/>
  <c r="P125" i="18"/>
  <c r="Q125" i="18"/>
  <c r="L235" i="18"/>
  <c r="M235" i="18"/>
  <c r="N235" i="18"/>
  <c r="O235" i="18"/>
  <c r="P235" i="18"/>
  <c r="Q235" i="18"/>
  <c r="L3" i="18"/>
  <c r="M3" i="18"/>
  <c r="N3" i="18"/>
  <c r="O3" i="18"/>
  <c r="P3" i="18"/>
  <c r="Q3" i="18"/>
  <c r="L12" i="18"/>
  <c r="M12" i="18"/>
  <c r="N12" i="18"/>
  <c r="O12" i="18"/>
  <c r="P12" i="18"/>
  <c r="Q12" i="18"/>
  <c r="L15" i="18"/>
  <c r="M15" i="18"/>
  <c r="N15" i="18"/>
  <c r="O15" i="18"/>
  <c r="P15" i="18"/>
  <c r="Q15" i="18"/>
  <c r="L10" i="18"/>
  <c r="M10" i="18"/>
  <c r="N10" i="18"/>
  <c r="O10" i="18"/>
  <c r="P10" i="18"/>
  <c r="Q10" i="18"/>
  <c r="L276" i="18"/>
  <c r="M276" i="18"/>
  <c r="N276" i="18"/>
  <c r="O276" i="18"/>
  <c r="P276" i="18"/>
  <c r="Q276" i="18"/>
  <c r="L288" i="18"/>
  <c r="M288" i="18"/>
  <c r="N288" i="18"/>
  <c r="O288" i="18"/>
  <c r="P288" i="18"/>
  <c r="Q288" i="18"/>
  <c r="L42" i="18"/>
  <c r="M42" i="18"/>
  <c r="N42" i="18"/>
  <c r="O42" i="18"/>
  <c r="P42" i="18"/>
  <c r="Q42" i="18"/>
  <c r="L70" i="18"/>
  <c r="M70" i="18"/>
  <c r="N70" i="18"/>
  <c r="O70" i="18"/>
  <c r="P70" i="18"/>
  <c r="Q70" i="18"/>
  <c r="L84" i="18"/>
  <c r="M84" i="18"/>
  <c r="N84" i="18"/>
  <c r="O84" i="18"/>
  <c r="P84" i="18"/>
  <c r="Q84" i="18"/>
  <c r="L76" i="18"/>
  <c r="M76" i="18"/>
  <c r="N76" i="18"/>
  <c r="O76" i="18"/>
  <c r="P76" i="18"/>
  <c r="Q76" i="18"/>
  <c r="L93" i="18"/>
  <c r="M93" i="18"/>
  <c r="N93" i="18"/>
  <c r="O93" i="18"/>
  <c r="P93" i="18"/>
  <c r="Q93" i="18"/>
  <c r="L104" i="18"/>
  <c r="M104" i="18"/>
  <c r="N104" i="18"/>
  <c r="O104" i="18"/>
  <c r="P104" i="18"/>
  <c r="Q104" i="18"/>
  <c r="L143" i="18"/>
  <c r="M143" i="18"/>
  <c r="N143" i="18"/>
  <c r="O143" i="18"/>
  <c r="P143" i="18"/>
  <c r="Q143" i="18"/>
  <c r="L208" i="18"/>
  <c r="M208" i="18"/>
  <c r="N208" i="18"/>
  <c r="O208" i="18"/>
  <c r="P208" i="18"/>
  <c r="Q208" i="18"/>
  <c r="L256" i="18"/>
  <c r="M256" i="18"/>
  <c r="N256" i="18"/>
  <c r="O256" i="18"/>
  <c r="P256" i="18"/>
  <c r="Q256" i="18"/>
  <c r="L257" i="18"/>
  <c r="M257" i="18"/>
  <c r="N257" i="18"/>
  <c r="O257" i="18"/>
  <c r="P257" i="18"/>
  <c r="Q257" i="18"/>
  <c r="L294" i="18"/>
  <c r="M294" i="18"/>
  <c r="N294" i="18"/>
  <c r="O294" i="18"/>
  <c r="P294" i="18"/>
  <c r="Q294" i="18"/>
  <c r="L88" i="18"/>
  <c r="M88" i="18"/>
  <c r="N88" i="18"/>
  <c r="O88" i="18"/>
  <c r="P88" i="18"/>
  <c r="Q88" i="18"/>
  <c r="L137" i="18"/>
  <c r="M137" i="18"/>
  <c r="N137" i="18"/>
  <c r="O137" i="18"/>
  <c r="P137" i="18"/>
  <c r="Q137" i="18"/>
  <c r="L124" i="18"/>
  <c r="M124" i="18"/>
  <c r="N124" i="18"/>
  <c r="O124" i="18"/>
  <c r="P124" i="18"/>
  <c r="Q124" i="18"/>
  <c r="L234" i="18"/>
  <c r="M234" i="18"/>
  <c r="N234" i="18"/>
  <c r="O234" i="18"/>
  <c r="P234" i="18"/>
  <c r="Q234" i="18"/>
  <c r="L268" i="18"/>
  <c r="M268" i="18"/>
  <c r="N268" i="18"/>
  <c r="O268" i="18"/>
  <c r="P268" i="18"/>
  <c r="Q268" i="18"/>
  <c r="L9" i="18"/>
  <c r="M9" i="18"/>
  <c r="N9" i="18"/>
  <c r="O9" i="18"/>
  <c r="P9" i="18"/>
  <c r="Q9" i="18"/>
  <c r="L14" i="18"/>
  <c r="M14" i="18"/>
  <c r="N14" i="18"/>
  <c r="O14" i="18"/>
  <c r="P14" i="18"/>
  <c r="Q14" i="18"/>
  <c r="L37" i="18"/>
  <c r="M37" i="18"/>
  <c r="N37" i="18"/>
  <c r="O37" i="18"/>
  <c r="P37" i="18"/>
  <c r="Q37" i="18"/>
  <c r="L29" i="18"/>
  <c r="M29" i="18"/>
  <c r="N29" i="18"/>
  <c r="O29" i="18"/>
  <c r="P29" i="18"/>
  <c r="Q29" i="18"/>
  <c r="L94" i="18"/>
  <c r="M94" i="18"/>
  <c r="N94" i="18"/>
  <c r="O94" i="18"/>
  <c r="P94" i="18"/>
  <c r="Q94" i="18"/>
  <c r="L232" i="18"/>
  <c r="M232" i="18"/>
  <c r="N232" i="18"/>
  <c r="O232" i="18"/>
  <c r="P232" i="18"/>
  <c r="Q232" i="18"/>
  <c r="L255" i="18"/>
  <c r="M255" i="18"/>
  <c r="N255" i="18"/>
  <c r="O255" i="18"/>
  <c r="P255" i="18"/>
  <c r="Q255" i="18"/>
  <c r="L263" i="18"/>
  <c r="M263" i="18"/>
  <c r="N263" i="18"/>
  <c r="O263" i="18"/>
  <c r="P263" i="18"/>
  <c r="Q263" i="18"/>
  <c r="L17" i="18"/>
  <c r="M17" i="18"/>
  <c r="N17" i="18"/>
  <c r="O17" i="18"/>
  <c r="P17" i="18"/>
  <c r="Q17" i="18"/>
  <c r="L11" i="18"/>
  <c r="M11" i="18"/>
  <c r="N11" i="18"/>
  <c r="O11" i="18"/>
  <c r="P11" i="18"/>
  <c r="Q11" i="18"/>
  <c r="L61" i="18"/>
  <c r="M61" i="18"/>
  <c r="N61" i="18"/>
  <c r="O61" i="18"/>
  <c r="P61" i="18"/>
  <c r="Q61" i="18"/>
  <c r="L140" i="18"/>
  <c r="M140" i="18"/>
  <c r="N140" i="18"/>
  <c r="O140" i="18"/>
  <c r="P140" i="18"/>
  <c r="Q140" i="18"/>
  <c r="L75" i="18"/>
  <c r="M75" i="18"/>
  <c r="N75" i="18"/>
  <c r="O75" i="18"/>
  <c r="P75" i="18"/>
  <c r="Q75" i="18"/>
  <c r="L150" i="18"/>
  <c r="M150" i="18"/>
  <c r="N150" i="18"/>
  <c r="O150" i="18"/>
  <c r="P150" i="18"/>
  <c r="Q150" i="18"/>
  <c r="L192" i="18"/>
  <c r="M192" i="18"/>
  <c r="N192" i="18"/>
  <c r="O192" i="18"/>
  <c r="P192" i="18"/>
  <c r="Q192" i="18"/>
  <c r="L264" i="18"/>
  <c r="M264" i="18"/>
  <c r="N264" i="18"/>
  <c r="O264" i="18"/>
  <c r="P264" i="18"/>
  <c r="Q264" i="18"/>
  <c r="L134" i="18"/>
  <c r="M134" i="18"/>
  <c r="N134" i="18"/>
  <c r="O134" i="18"/>
  <c r="P134" i="18"/>
  <c r="Q134" i="18"/>
  <c r="L246" i="18"/>
  <c r="M246" i="18"/>
  <c r="N246" i="18"/>
  <c r="O246" i="18"/>
  <c r="P246" i="18"/>
  <c r="Q246" i="18"/>
  <c r="L280" i="18"/>
  <c r="M280" i="18"/>
  <c r="N280" i="18"/>
  <c r="O280" i="18"/>
  <c r="P280" i="18"/>
  <c r="Q280" i="18"/>
  <c r="L274" i="18"/>
  <c r="M274" i="18"/>
  <c r="N274" i="18"/>
  <c r="O274" i="18"/>
  <c r="P274" i="18"/>
  <c r="Q274" i="18"/>
  <c r="L5" i="18"/>
  <c r="M5" i="18"/>
  <c r="N5" i="18"/>
  <c r="O5" i="18"/>
  <c r="P5" i="18"/>
  <c r="Q5" i="18"/>
  <c r="L7" i="18"/>
  <c r="M7" i="18"/>
  <c r="N7" i="18"/>
  <c r="O7" i="18"/>
  <c r="P7" i="18"/>
  <c r="Q7" i="18"/>
  <c r="L35" i="18"/>
  <c r="M35" i="18"/>
  <c r="N35" i="18"/>
  <c r="O35" i="18"/>
  <c r="P35" i="18"/>
  <c r="Q35" i="18"/>
  <c r="L62" i="18"/>
  <c r="M62" i="18"/>
  <c r="N62" i="18"/>
  <c r="O62" i="18"/>
  <c r="P62" i="18"/>
  <c r="Q62" i="18"/>
  <c r="L209" i="18"/>
  <c r="M209" i="18"/>
  <c r="N209" i="18"/>
  <c r="O209" i="18"/>
  <c r="P209" i="18"/>
  <c r="Q209" i="18"/>
  <c r="L241" i="18"/>
  <c r="M241" i="18"/>
  <c r="N241" i="18"/>
  <c r="O241" i="18"/>
  <c r="P241" i="18"/>
  <c r="Q241" i="18"/>
  <c r="L52" i="18"/>
  <c r="M52" i="18"/>
  <c r="N52" i="18"/>
  <c r="O52" i="18"/>
  <c r="P52" i="18"/>
  <c r="Q52" i="18"/>
  <c r="L47" i="18"/>
  <c r="M47" i="18"/>
  <c r="N47" i="18"/>
  <c r="O47" i="18"/>
  <c r="P47" i="18"/>
  <c r="Q47" i="18"/>
  <c r="L239" i="18"/>
  <c r="M239" i="18"/>
  <c r="N239" i="18"/>
  <c r="O239" i="18"/>
  <c r="P239" i="18"/>
  <c r="Q239" i="18"/>
  <c r="L237" i="18"/>
  <c r="M237" i="18"/>
  <c r="N237" i="18"/>
  <c r="O237" i="18"/>
  <c r="P237" i="18"/>
  <c r="Q237" i="18"/>
  <c r="L236" i="18"/>
  <c r="M236" i="18"/>
  <c r="N236" i="18"/>
  <c r="O236" i="18"/>
  <c r="P236" i="18"/>
  <c r="Q236" i="18"/>
  <c r="L244" i="18"/>
  <c r="M244" i="18"/>
  <c r="N244" i="18"/>
  <c r="O244" i="18"/>
  <c r="P244" i="18"/>
  <c r="Q244" i="18"/>
  <c r="L19" i="18"/>
  <c r="M19" i="18"/>
  <c r="N19" i="18"/>
  <c r="O19" i="18"/>
  <c r="P19" i="18"/>
  <c r="Q19" i="18"/>
  <c r="L262" i="18"/>
  <c r="M262" i="18"/>
  <c r="N262" i="18"/>
  <c r="O262" i="18"/>
  <c r="P262" i="18"/>
  <c r="Q262" i="18"/>
  <c r="L252" i="18"/>
  <c r="M252" i="18"/>
  <c r="N252" i="18"/>
  <c r="O252" i="18"/>
  <c r="P252" i="18"/>
  <c r="Q252" i="18"/>
  <c r="L22" i="18"/>
  <c r="M22" i="18"/>
  <c r="N22" i="18"/>
  <c r="O22" i="18"/>
  <c r="P22" i="18"/>
  <c r="Q22" i="18"/>
  <c r="L245" i="18"/>
  <c r="M245" i="18"/>
  <c r="N245" i="18"/>
  <c r="O245" i="18"/>
  <c r="P245" i="18"/>
  <c r="Q245" i="18"/>
  <c r="L33" i="18"/>
  <c r="M33" i="18"/>
  <c r="N33" i="18"/>
  <c r="O33" i="18"/>
  <c r="P33" i="18"/>
  <c r="Q33" i="18"/>
  <c r="L32" i="18"/>
  <c r="M32" i="18"/>
  <c r="N32" i="18"/>
  <c r="O32" i="18"/>
  <c r="P32" i="18"/>
  <c r="Q32" i="18"/>
  <c r="L123" i="18"/>
  <c r="M123" i="18"/>
  <c r="N123" i="18"/>
  <c r="O123" i="18"/>
  <c r="P123" i="18"/>
  <c r="Q123" i="18"/>
  <c r="L67" i="18"/>
  <c r="M67" i="18"/>
  <c r="N67" i="18"/>
  <c r="O67" i="18"/>
  <c r="P67" i="18"/>
  <c r="Q67" i="18"/>
  <c r="L168" i="18"/>
  <c r="M168" i="18"/>
  <c r="N168" i="18"/>
  <c r="O168" i="18"/>
  <c r="P168" i="18"/>
  <c r="Q168" i="18"/>
  <c r="L122" i="18"/>
  <c r="M122" i="18"/>
  <c r="N122" i="18"/>
  <c r="O122" i="18"/>
  <c r="P122" i="18"/>
  <c r="Q122" i="18"/>
  <c r="L153" i="18"/>
  <c r="M153" i="18"/>
  <c r="N153" i="18"/>
  <c r="O153" i="18"/>
  <c r="P153" i="18"/>
  <c r="Q153" i="18"/>
  <c r="L133" i="18"/>
  <c r="M133" i="18"/>
  <c r="N133" i="18"/>
  <c r="O133" i="18"/>
  <c r="P133" i="18"/>
  <c r="Q133" i="18"/>
  <c r="L190" i="18"/>
  <c r="M190" i="18"/>
  <c r="N190" i="18"/>
  <c r="O190" i="18"/>
  <c r="P190" i="18"/>
  <c r="Q190" i="18"/>
  <c r="L266" i="18"/>
  <c r="M266" i="18"/>
  <c r="N266" i="18"/>
  <c r="O266" i="18"/>
  <c r="P266" i="18"/>
  <c r="Q266" i="18"/>
  <c r="L271" i="18"/>
  <c r="M271" i="18"/>
  <c r="N271" i="18"/>
  <c r="O271" i="18"/>
  <c r="P271" i="18"/>
  <c r="Q271" i="18"/>
  <c r="L207" i="18"/>
  <c r="M207" i="18"/>
  <c r="N207" i="18"/>
  <c r="O207" i="18"/>
  <c r="P207" i="18"/>
  <c r="Q207" i="18"/>
  <c r="L21" i="18"/>
  <c r="M21" i="18"/>
  <c r="N21" i="18"/>
  <c r="O21" i="18"/>
  <c r="P21" i="18"/>
  <c r="Q21" i="18"/>
  <c r="L39" i="18"/>
  <c r="M39" i="18"/>
  <c r="N39" i="18"/>
  <c r="O39" i="18"/>
  <c r="P39" i="18"/>
  <c r="Q39" i="18"/>
  <c r="L48" i="18"/>
  <c r="M48" i="18"/>
  <c r="N48" i="18"/>
  <c r="O48" i="18"/>
  <c r="P48" i="18"/>
  <c r="Q48" i="18"/>
  <c r="L89" i="18"/>
  <c r="M89" i="18"/>
  <c r="N89" i="18"/>
  <c r="O89" i="18"/>
  <c r="P89" i="18"/>
  <c r="Q89" i="18"/>
  <c r="L204" i="18"/>
  <c r="M204" i="18"/>
  <c r="N204" i="18"/>
  <c r="O204" i="18"/>
  <c r="P204" i="18"/>
  <c r="Q204" i="18"/>
  <c r="L223" i="18"/>
  <c r="M223" i="18"/>
  <c r="N223" i="18"/>
  <c r="O223" i="18"/>
  <c r="P223" i="18"/>
  <c r="Q223" i="18"/>
  <c r="L254" i="18"/>
  <c r="M254" i="18"/>
  <c r="N254" i="18"/>
  <c r="O254" i="18"/>
  <c r="P254" i="18"/>
  <c r="Q254" i="18"/>
  <c r="L4" i="18"/>
  <c r="M4" i="18"/>
  <c r="N4" i="18"/>
  <c r="O4" i="18"/>
  <c r="P4" i="18"/>
  <c r="Q4" i="18"/>
  <c r="L247" i="18"/>
  <c r="M247" i="18"/>
  <c r="N247" i="18"/>
  <c r="O247" i="18"/>
  <c r="P247" i="18"/>
  <c r="Q247" i="18"/>
  <c r="L2" i="18"/>
  <c r="M2" i="18"/>
  <c r="N2" i="18"/>
  <c r="O2" i="18"/>
  <c r="P2" i="18"/>
  <c r="Q2" i="18"/>
  <c r="L290" i="18"/>
  <c r="M290" i="18"/>
  <c r="N290" i="18"/>
  <c r="O290" i="18"/>
  <c r="P290" i="18"/>
  <c r="Q290" i="18"/>
  <c r="L18" i="18"/>
  <c r="M18" i="18"/>
  <c r="N18" i="18"/>
  <c r="O18" i="18"/>
  <c r="P18" i="18"/>
  <c r="Q18" i="18"/>
  <c r="L23" i="18"/>
  <c r="M23" i="18"/>
  <c r="N23" i="18"/>
  <c r="O23" i="18"/>
  <c r="P23" i="18"/>
  <c r="Q23" i="18"/>
  <c r="L26" i="18"/>
  <c r="M26" i="18"/>
  <c r="N26" i="18"/>
  <c r="O26" i="18"/>
  <c r="P26" i="18"/>
  <c r="Q26" i="18"/>
  <c r="L57" i="18"/>
  <c r="M57" i="18"/>
  <c r="N57" i="18"/>
  <c r="O57" i="18"/>
  <c r="P57" i="18"/>
  <c r="Q57" i="18"/>
  <c r="L72" i="18"/>
  <c r="M72" i="18"/>
  <c r="N72" i="18"/>
  <c r="O72" i="18"/>
  <c r="P72" i="18"/>
  <c r="Q72" i="18"/>
  <c r="L233" i="18"/>
  <c r="M233" i="18"/>
  <c r="N233" i="18"/>
  <c r="O233" i="18"/>
  <c r="P233" i="18"/>
  <c r="Q233" i="18"/>
  <c r="L275" i="18"/>
  <c r="M275" i="18"/>
  <c r="N275" i="18"/>
  <c r="O275" i="18"/>
  <c r="P275" i="18"/>
  <c r="Q275" i="18"/>
  <c r="L240" i="18"/>
  <c r="M240" i="18"/>
  <c r="N240" i="18"/>
  <c r="O240" i="18"/>
  <c r="P240" i="18"/>
  <c r="Q240" i="18"/>
  <c r="L242" i="18"/>
  <c r="M242" i="18"/>
  <c r="N242" i="18"/>
  <c r="O242" i="18"/>
  <c r="P242" i="18"/>
  <c r="Q242" i="18"/>
  <c r="L31" i="18"/>
  <c r="M31" i="18"/>
  <c r="N31" i="18"/>
  <c r="O31" i="18"/>
  <c r="P31" i="18"/>
  <c r="Q31" i="18"/>
  <c r="L55" i="18"/>
  <c r="M55" i="18"/>
  <c r="N55" i="18"/>
  <c r="O55" i="18"/>
  <c r="P55" i="18"/>
  <c r="Q55" i="18"/>
  <c r="L6" i="18"/>
  <c r="M6" i="18"/>
  <c r="N6" i="18"/>
  <c r="O6" i="18"/>
  <c r="P6" i="18"/>
  <c r="Q6" i="18"/>
  <c r="L38" i="18"/>
  <c r="M38" i="18"/>
  <c r="N38" i="18"/>
  <c r="O38" i="18"/>
  <c r="P38" i="18"/>
  <c r="Q38" i="18"/>
  <c r="L119" i="18"/>
  <c r="M119" i="18"/>
  <c r="N119" i="18"/>
  <c r="O119" i="18"/>
  <c r="P119" i="18"/>
  <c r="Q119" i="18"/>
  <c r="L132" i="18"/>
  <c r="M132" i="18"/>
  <c r="N132" i="18"/>
  <c r="O132" i="18"/>
  <c r="P132" i="18"/>
  <c r="Q132" i="18"/>
  <c r="L101" i="18"/>
  <c r="M101" i="18"/>
  <c r="N101" i="18"/>
  <c r="O101" i="18"/>
  <c r="P101" i="18"/>
  <c r="Q101" i="18"/>
  <c r="L225" i="18"/>
  <c r="M225" i="18"/>
  <c r="N225" i="18"/>
  <c r="O225" i="18"/>
  <c r="P225" i="18"/>
  <c r="Q225" i="18"/>
  <c r="L191" i="18"/>
  <c r="M191" i="18"/>
  <c r="N191" i="18"/>
  <c r="O191" i="18"/>
  <c r="P191" i="18"/>
  <c r="Q191" i="18"/>
  <c r="L185" i="18"/>
  <c r="M185" i="18"/>
  <c r="N185" i="18"/>
  <c r="O185" i="18"/>
  <c r="P185" i="18"/>
  <c r="Q185" i="18"/>
  <c r="L270" i="18"/>
  <c r="M270" i="18"/>
  <c r="N270" i="18"/>
  <c r="O270" i="18"/>
  <c r="P270" i="18"/>
  <c r="Q270" i="18"/>
  <c r="M109" i="18"/>
  <c r="N109" i="18"/>
  <c r="O109" i="18"/>
  <c r="P109" i="18"/>
  <c r="L109" i="18"/>
  <c r="P2" i="2"/>
  <c r="Q2" i="2"/>
  <c r="P3" i="2"/>
  <c r="Q3" i="2"/>
  <c r="P4" i="2"/>
  <c r="Q4" i="2"/>
  <c r="P5" i="2"/>
  <c r="Q5" i="2"/>
  <c r="P6" i="2"/>
  <c r="Q6" i="2"/>
  <c r="P7" i="2"/>
  <c r="Q7" i="2"/>
  <c r="P8" i="2"/>
  <c r="Q8" i="2"/>
  <c r="P9" i="2"/>
  <c r="Q9" i="2"/>
  <c r="P10" i="2"/>
  <c r="Q10" i="2"/>
  <c r="P11" i="2"/>
  <c r="Q11" i="2"/>
  <c r="P12" i="2"/>
  <c r="Q12" i="2"/>
  <c r="P13" i="2"/>
  <c r="Q13" i="2"/>
  <c r="P14" i="2"/>
  <c r="Q14" i="2"/>
  <c r="P15" i="2"/>
  <c r="Q15" i="2"/>
  <c r="P16" i="2"/>
  <c r="Q16" i="2"/>
  <c r="P17" i="2"/>
  <c r="Q17" i="2"/>
  <c r="P18" i="2"/>
  <c r="Q18" i="2"/>
  <c r="P19" i="2"/>
  <c r="Q19" i="2"/>
  <c r="P20" i="2"/>
  <c r="Q20" i="2"/>
  <c r="P21" i="2"/>
  <c r="Q21" i="2"/>
  <c r="P22" i="2"/>
  <c r="Q22" i="2"/>
  <c r="P23" i="2"/>
  <c r="Q23" i="2"/>
  <c r="P24" i="2"/>
  <c r="Q24" i="2"/>
  <c r="P25" i="2"/>
  <c r="Q25" i="2"/>
  <c r="P26" i="2"/>
  <c r="Q26" i="2"/>
  <c r="P27" i="2"/>
  <c r="Q27" i="2"/>
  <c r="P28" i="2"/>
  <c r="Q28" i="2"/>
  <c r="P29" i="2"/>
  <c r="Q29" i="2"/>
  <c r="P30" i="2"/>
  <c r="Q30" i="2"/>
  <c r="P31" i="2"/>
  <c r="Q31" i="2"/>
  <c r="P32" i="2"/>
  <c r="Q32" i="2"/>
  <c r="P33" i="2"/>
  <c r="Q33" i="2"/>
  <c r="L10" i="2"/>
  <c r="M10" i="2"/>
  <c r="N10" i="2"/>
  <c r="O10" i="2"/>
  <c r="L21" i="2"/>
  <c r="M21" i="2"/>
  <c r="N21" i="2"/>
  <c r="O21" i="2"/>
  <c r="L20" i="2"/>
  <c r="M20" i="2"/>
  <c r="N20" i="2"/>
  <c r="O20" i="2"/>
  <c r="L14" i="2"/>
  <c r="M14" i="2"/>
  <c r="N14" i="2"/>
  <c r="O14" i="2"/>
  <c r="L22" i="2"/>
  <c r="M22" i="2"/>
  <c r="N22" i="2"/>
  <c r="O22" i="2"/>
  <c r="L15" i="2"/>
  <c r="M15" i="2"/>
  <c r="N15" i="2"/>
  <c r="O15" i="2"/>
  <c r="L5" i="2"/>
  <c r="M5" i="2"/>
  <c r="N5" i="2"/>
  <c r="O5" i="2"/>
  <c r="L31" i="2"/>
  <c r="M31" i="2"/>
  <c r="N31" i="2"/>
  <c r="O31" i="2"/>
  <c r="L27" i="2"/>
  <c r="M27" i="2"/>
  <c r="N27" i="2"/>
  <c r="O27" i="2"/>
  <c r="L30" i="2"/>
  <c r="M30" i="2"/>
  <c r="N30" i="2"/>
  <c r="O30" i="2"/>
  <c r="L28" i="2"/>
  <c r="M28" i="2"/>
  <c r="N28" i="2"/>
  <c r="O28" i="2"/>
  <c r="L29" i="2"/>
  <c r="M29" i="2"/>
  <c r="N29" i="2"/>
  <c r="O29" i="2"/>
  <c r="L33" i="2"/>
  <c r="M33" i="2"/>
  <c r="N33" i="2"/>
  <c r="O33" i="2"/>
  <c r="L25" i="2"/>
  <c r="M25" i="2"/>
  <c r="N25" i="2"/>
  <c r="O25" i="2"/>
  <c r="L2" i="2"/>
  <c r="M2" i="2"/>
  <c r="N2" i="2"/>
  <c r="O2" i="2"/>
  <c r="L32" i="2"/>
  <c r="M32" i="2"/>
  <c r="N32" i="2"/>
  <c r="O32" i="2"/>
  <c r="L11" i="2"/>
  <c r="M11" i="2"/>
  <c r="N11" i="2"/>
  <c r="O11" i="2"/>
  <c r="L12" i="2"/>
  <c r="M12" i="2"/>
  <c r="N12" i="2"/>
  <c r="O12" i="2"/>
  <c r="L23" i="2"/>
  <c r="M23" i="2"/>
  <c r="N23" i="2"/>
  <c r="O23" i="2"/>
  <c r="L9" i="2"/>
  <c r="M9" i="2"/>
  <c r="N9" i="2"/>
  <c r="O9" i="2"/>
  <c r="L16" i="2"/>
  <c r="M16" i="2"/>
  <c r="N16" i="2"/>
  <c r="O16" i="2"/>
  <c r="L13" i="2"/>
  <c r="M13" i="2"/>
  <c r="N13" i="2"/>
  <c r="O13" i="2"/>
  <c r="L17" i="2"/>
  <c r="M17" i="2"/>
  <c r="N17" i="2"/>
  <c r="O17" i="2"/>
  <c r="L7" i="2"/>
  <c r="M7" i="2"/>
  <c r="N7" i="2"/>
  <c r="O7" i="2"/>
  <c r="L8" i="2"/>
  <c r="M8" i="2"/>
  <c r="N8" i="2"/>
  <c r="O8" i="2"/>
  <c r="L26" i="2"/>
  <c r="M26" i="2"/>
  <c r="N26" i="2"/>
  <c r="O26" i="2"/>
  <c r="L6" i="2"/>
  <c r="M6" i="2"/>
  <c r="N6" i="2"/>
  <c r="O6" i="2"/>
  <c r="L4" i="2"/>
  <c r="M4" i="2"/>
  <c r="N4" i="2"/>
  <c r="O4" i="2"/>
  <c r="L3" i="2"/>
  <c r="M3" i="2"/>
  <c r="N3" i="2"/>
  <c r="O3" i="2"/>
  <c r="L24" i="2"/>
  <c r="M24" i="2"/>
  <c r="N24" i="2"/>
  <c r="O24" i="2"/>
  <c r="L19" i="2"/>
  <c r="M19" i="2"/>
  <c r="N19" i="2"/>
  <c r="O19" i="2"/>
  <c r="O18" i="2"/>
  <c r="N18" i="2"/>
  <c r="M18" i="2"/>
  <c r="L18" i="2"/>
  <c r="E13" i="16"/>
  <c r="E16" i="16"/>
  <c r="E59" i="16"/>
  <c r="E23" i="16"/>
  <c r="E24" i="16"/>
  <c r="E53" i="16"/>
  <c r="E60" i="16"/>
  <c r="E70" i="16"/>
  <c r="E73" i="16"/>
  <c r="E88" i="16"/>
  <c r="E118" i="16"/>
  <c r="E94" i="16"/>
  <c r="E5" i="16"/>
  <c r="E97" i="16"/>
  <c r="E111" i="16"/>
  <c r="E19" i="16"/>
  <c r="E138" i="16"/>
  <c r="E147" i="16"/>
  <c r="E156" i="16"/>
  <c r="E163" i="16"/>
  <c r="E170" i="16"/>
  <c r="E171" i="16"/>
  <c r="E186" i="16"/>
  <c r="E10" i="16"/>
  <c r="E15" i="16"/>
  <c r="E34" i="16"/>
  <c r="E43" i="16"/>
  <c r="E47" i="16"/>
  <c r="E48" i="16"/>
  <c r="E51" i="16"/>
  <c r="E52" i="16"/>
  <c r="E134" i="16"/>
  <c r="E56" i="16"/>
  <c r="E63" i="16"/>
  <c r="E66" i="16"/>
  <c r="E78" i="16"/>
  <c r="E91" i="16"/>
  <c r="E93" i="16"/>
  <c r="E100" i="16"/>
  <c r="E105" i="16"/>
  <c r="E107" i="16"/>
  <c r="E140" i="16"/>
  <c r="E101" i="16"/>
  <c r="E168" i="16"/>
  <c r="E169" i="16"/>
  <c r="E172" i="16"/>
  <c r="E187" i="16"/>
  <c r="E8" i="16"/>
  <c r="E17" i="16"/>
  <c r="E18" i="16"/>
  <c r="E37" i="16"/>
  <c r="E38" i="16"/>
  <c r="E39" i="16"/>
  <c r="E69" i="16"/>
  <c r="E72" i="16"/>
  <c r="E87" i="16"/>
  <c r="E77" i="16"/>
  <c r="E79" i="16"/>
  <c r="E98" i="16"/>
  <c r="E102" i="16"/>
  <c r="E103" i="16"/>
  <c r="E104" i="16"/>
  <c r="E115" i="16"/>
  <c r="E121" i="16"/>
  <c r="E123" i="16"/>
  <c r="E192" i="16"/>
  <c r="E131" i="16"/>
  <c r="E143" i="16"/>
  <c r="E153" i="16"/>
  <c r="E178" i="16"/>
  <c r="E114" i="16"/>
  <c r="E2" i="16"/>
  <c r="E54" i="16"/>
  <c r="E30" i="16"/>
  <c r="E45" i="16"/>
  <c r="E55" i="16"/>
  <c r="E86" i="16"/>
  <c r="E67" i="16"/>
  <c r="E68" i="16"/>
  <c r="E83" i="16"/>
  <c r="E89" i="16"/>
  <c r="E112" i="16"/>
  <c r="E119" i="16"/>
  <c r="E122" i="16"/>
  <c r="E124" i="16"/>
  <c r="E184" i="16"/>
  <c r="E133" i="16"/>
  <c r="E137" i="16"/>
  <c r="E92" i="16"/>
  <c r="E150" i="16"/>
  <c r="E151" i="16"/>
  <c r="E157" i="16"/>
  <c r="E165" i="16"/>
  <c r="E183" i="16"/>
  <c r="E193" i="16"/>
  <c r="E4" i="16"/>
  <c r="E27" i="16"/>
  <c r="E21" i="16"/>
  <c r="E32" i="16"/>
  <c r="E33" i="16"/>
  <c r="E42" i="16"/>
  <c r="E46" i="16"/>
  <c r="E57" i="16"/>
  <c r="E74" i="16"/>
  <c r="E75" i="16"/>
  <c r="E84" i="16"/>
  <c r="E96" i="16"/>
  <c r="E108" i="16"/>
  <c r="E132" i="16"/>
  <c r="E117" i="16"/>
  <c r="E125" i="16"/>
  <c r="E128" i="16"/>
  <c r="E130" i="16"/>
  <c r="E29" i="16"/>
  <c r="E135" i="16"/>
  <c r="E144" i="16"/>
  <c r="E145" i="16"/>
  <c r="E154" i="16"/>
  <c r="E191" i="16"/>
  <c r="E3" i="16"/>
  <c r="E25" i="16"/>
  <c r="E26" i="16"/>
  <c r="E31" i="16"/>
  <c r="E139" i="16"/>
  <c r="E65" i="16"/>
  <c r="E80" i="16"/>
  <c r="E82" i="16"/>
  <c r="E85" i="16"/>
  <c r="E95" i="16"/>
  <c r="E110" i="16"/>
  <c r="E174" i="16"/>
  <c r="E136" i="16"/>
  <c r="E146" i="16"/>
  <c r="E148" i="16"/>
  <c r="E159" i="16"/>
  <c r="E162" i="16"/>
  <c r="E166" i="16"/>
  <c r="E167" i="16"/>
  <c r="E176" i="16"/>
  <c r="E179" i="16"/>
  <c r="E180" i="16"/>
  <c r="E190" i="16"/>
  <c r="E126" i="16"/>
  <c r="E7" i="16"/>
  <c r="E6" i="16"/>
  <c r="E9" i="16"/>
  <c r="E12" i="16"/>
  <c r="E22" i="16"/>
  <c r="E28" i="16"/>
  <c r="E35" i="16"/>
  <c r="E41" i="16"/>
  <c r="E49" i="16"/>
  <c r="E50" i="16"/>
  <c r="E71" i="16"/>
  <c r="E120" i="16"/>
  <c r="E76" i="16"/>
  <c r="E109" i="16"/>
  <c r="E141" i="16"/>
  <c r="E155" i="16"/>
  <c r="E158" i="16"/>
  <c r="E161" i="16"/>
  <c r="E164" i="16"/>
  <c r="E173" i="16"/>
  <c r="E106" i="16"/>
  <c r="E175" i="16"/>
  <c r="E182" i="16"/>
  <c r="E185" i="16"/>
  <c r="E11" i="16"/>
  <c r="E64" i="16"/>
  <c r="E20" i="16"/>
  <c r="E36" i="16"/>
  <c r="E40" i="16"/>
  <c r="E44" i="16"/>
  <c r="E61" i="16"/>
  <c r="E62" i="16"/>
  <c r="E81" i="16"/>
  <c r="E90" i="16"/>
  <c r="E189" i="16"/>
  <c r="E99" i="16"/>
  <c r="E113" i="16"/>
  <c r="E116" i="16"/>
  <c r="E142" i="16"/>
  <c r="E127" i="16"/>
  <c r="E129" i="16"/>
  <c r="E58" i="16"/>
  <c r="E149" i="16"/>
  <c r="E152" i="16"/>
  <c r="E160" i="16"/>
  <c r="E177" i="16"/>
  <c r="E181" i="16"/>
  <c r="E188" i="16"/>
  <c r="E14" i="16"/>
  <c r="J202" i="18" l="1"/>
  <c r="K119" i="18"/>
  <c r="K204" i="18"/>
  <c r="K150" i="18"/>
  <c r="K257" i="18"/>
  <c r="K4" i="18"/>
  <c r="K125" i="18"/>
  <c r="K74" i="18"/>
  <c r="J84" i="18"/>
  <c r="K245" i="18"/>
  <c r="K137" i="18"/>
  <c r="K130" i="18"/>
  <c r="K265" i="18"/>
  <c r="K281" i="18"/>
  <c r="J224" i="18"/>
  <c r="K101" i="18"/>
  <c r="K225" i="18"/>
  <c r="J275" i="18"/>
  <c r="K58" i="18"/>
  <c r="K34" i="18"/>
  <c r="J222" i="18"/>
  <c r="K273" i="18"/>
  <c r="J255" i="18"/>
  <c r="K54" i="18"/>
  <c r="K173" i="18"/>
  <c r="J240" i="18"/>
  <c r="J271" i="18"/>
  <c r="J47" i="18"/>
  <c r="J263" i="18"/>
  <c r="J76" i="18"/>
  <c r="J258" i="18"/>
  <c r="J28" i="18"/>
  <c r="J243" i="18"/>
  <c r="J238" i="18"/>
  <c r="J57" i="18"/>
  <c r="J153" i="18"/>
  <c r="J62" i="18"/>
  <c r="J29" i="18"/>
  <c r="J288" i="18"/>
  <c r="K64" i="18"/>
  <c r="J92" i="18"/>
  <c r="J79" i="18"/>
  <c r="J295" i="18"/>
  <c r="J189" i="18"/>
  <c r="K88" i="18"/>
  <c r="K262" i="18"/>
  <c r="K63" i="18"/>
  <c r="J266" i="18"/>
  <c r="K134" i="18"/>
  <c r="K260" i="18"/>
  <c r="J232" i="18"/>
  <c r="J270" i="18"/>
  <c r="J290" i="18"/>
  <c r="J123" i="18"/>
  <c r="J241" i="18"/>
  <c r="K38" i="18"/>
  <c r="J37" i="18"/>
  <c r="J21" i="18"/>
  <c r="K21" i="18"/>
  <c r="J11" i="18"/>
  <c r="K36" i="18"/>
  <c r="K45" i="18"/>
  <c r="K35" i="18"/>
  <c r="J75" i="18"/>
  <c r="J276" i="18"/>
  <c r="J44" i="18"/>
  <c r="J68" i="18"/>
  <c r="J36" i="18"/>
  <c r="J54" i="18"/>
  <c r="J267" i="18"/>
  <c r="J200" i="18"/>
  <c r="J197" i="18"/>
  <c r="K70" i="18"/>
  <c r="K283" i="18"/>
  <c r="K75" i="18"/>
  <c r="J35" i="18"/>
  <c r="K11" i="18"/>
  <c r="K290" i="18"/>
  <c r="K123" i="18"/>
  <c r="K268" i="18"/>
  <c r="K276" i="18"/>
  <c r="J261" i="18"/>
  <c r="K261" i="18"/>
  <c r="K69" i="18"/>
  <c r="K282" i="18"/>
  <c r="J46" i="18"/>
  <c r="K46" i="18"/>
  <c r="J31" i="18"/>
  <c r="K31" i="18"/>
  <c r="K37" i="18"/>
  <c r="J104" i="18"/>
  <c r="K104" i="18"/>
  <c r="K40" i="18"/>
  <c r="J131" i="18"/>
  <c r="K131" i="18"/>
  <c r="J43" i="18"/>
  <c r="K267" i="18"/>
  <c r="J145" i="18"/>
  <c r="K145" i="18"/>
  <c r="J101" i="18"/>
  <c r="K233" i="18"/>
  <c r="J233" i="18"/>
  <c r="J254" i="18"/>
  <c r="K254" i="18"/>
  <c r="K190" i="18"/>
  <c r="J190" i="18"/>
  <c r="J22" i="18"/>
  <c r="K22" i="18"/>
  <c r="K183" i="18"/>
  <c r="J183" i="18"/>
  <c r="K68" i="18"/>
  <c r="K91" i="18"/>
  <c r="J91" i="18"/>
  <c r="K43" i="18"/>
  <c r="K186" i="18"/>
  <c r="J186" i="18"/>
  <c r="K250" i="18"/>
  <c r="J250" i="18"/>
  <c r="K270" i="18"/>
  <c r="J237" i="18"/>
  <c r="K237" i="18"/>
  <c r="K274" i="18"/>
  <c r="K12" i="18"/>
  <c r="K115" i="18"/>
  <c r="J34" i="18"/>
  <c r="J173" i="18"/>
  <c r="K197" i="18"/>
  <c r="J283" i="18"/>
  <c r="J38" i="18"/>
  <c r="K26" i="18"/>
  <c r="J26" i="18"/>
  <c r="J89" i="18"/>
  <c r="K89" i="18"/>
  <c r="K122" i="18"/>
  <c r="J122" i="18"/>
  <c r="J19" i="18"/>
  <c r="K19" i="18"/>
  <c r="J256" i="18"/>
  <c r="J25" i="18"/>
  <c r="K25" i="18"/>
  <c r="J40" i="18"/>
  <c r="J90" i="18"/>
  <c r="K90" i="18"/>
  <c r="J249" i="18"/>
  <c r="K249" i="18"/>
  <c r="K241" i="18"/>
  <c r="J264" i="18"/>
  <c r="K264" i="18"/>
  <c r="K232" i="18"/>
  <c r="J88" i="18"/>
  <c r="K44" i="18"/>
  <c r="K200" i="18"/>
  <c r="K256" i="18"/>
  <c r="J70" i="18"/>
  <c r="K207" i="18"/>
  <c r="K32" i="18"/>
  <c r="J239" i="18"/>
  <c r="K280" i="18"/>
  <c r="K17" i="18"/>
  <c r="K234" i="18"/>
  <c r="K3" i="18"/>
  <c r="J6" i="18"/>
  <c r="K23" i="18"/>
  <c r="J48" i="18"/>
  <c r="K168" i="18"/>
  <c r="K244" i="18"/>
  <c r="J7" i="18"/>
  <c r="J140" i="18"/>
  <c r="K14" i="18"/>
  <c r="J208" i="18"/>
  <c r="K59" i="18"/>
  <c r="K109" i="18"/>
  <c r="K72" i="18"/>
  <c r="K176" i="18"/>
  <c r="J24" i="18"/>
  <c r="K191" i="18"/>
  <c r="K240" i="18"/>
  <c r="K247" i="18"/>
  <c r="K271" i="18"/>
  <c r="K33" i="18"/>
  <c r="K47" i="18"/>
  <c r="K13" i="18"/>
  <c r="K15" i="18"/>
  <c r="J287" i="18"/>
  <c r="K66" i="18"/>
  <c r="J259" i="18"/>
  <c r="J293" i="18"/>
  <c r="J71" i="18"/>
  <c r="K112" i="18"/>
  <c r="J13" i="18"/>
  <c r="J85" i="18"/>
  <c r="K93" i="18"/>
  <c r="K51" i="18"/>
  <c r="K172" i="18"/>
  <c r="K279" i="18"/>
  <c r="K253" i="18"/>
  <c r="K87" i="18"/>
  <c r="K24" i="18"/>
  <c r="K252" i="18"/>
  <c r="K192" i="18"/>
  <c r="K60" i="18"/>
  <c r="K82" i="18"/>
  <c r="K78" i="18"/>
  <c r="K49" i="18"/>
  <c r="J206" i="18"/>
  <c r="J132" i="18"/>
  <c r="J192" i="18"/>
  <c r="J94" i="18"/>
  <c r="J294" i="18"/>
  <c r="J60" i="18"/>
  <c r="J20" i="18"/>
  <c r="J82" i="18"/>
  <c r="J78" i="18"/>
  <c r="J248" i="18"/>
  <c r="K85" i="18"/>
  <c r="K55" i="18"/>
  <c r="K39" i="18"/>
  <c r="K236" i="18"/>
  <c r="K246" i="18"/>
  <c r="K263" i="18"/>
  <c r="K143" i="18"/>
  <c r="K235" i="18"/>
  <c r="K258" i="18"/>
  <c r="K99" i="18"/>
  <c r="K28" i="18"/>
  <c r="K108" i="18"/>
  <c r="K243" i="18"/>
  <c r="K277" i="18"/>
  <c r="K238" i="18"/>
  <c r="K53" i="18"/>
  <c r="J18" i="18"/>
  <c r="J39" i="18"/>
  <c r="K67" i="18"/>
  <c r="J5" i="18"/>
  <c r="J61" i="18"/>
  <c r="J9" i="18"/>
  <c r="J143" i="18"/>
  <c r="J12" i="18"/>
  <c r="J69" i="18"/>
  <c r="J115" i="18"/>
  <c r="J282" i="18"/>
  <c r="J45" i="18"/>
  <c r="K57" i="18"/>
  <c r="K153" i="18"/>
  <c r="J262" i="18"/>
  <c r="K62" i="18"/>
  <c r="J257" i="18"/>
  <c r="J64" i="18"/>
  <c r="J63" i="18"/>
  <c r="J130" i="18"/>
  <c r="J265" i="18"/>
  <c r="K189" i="18"/>
  <c r="K185" i="18"/>
  <c r="J242" i="18"/>
  <c r="K2" i="18"/>
  <c r="K269" i="18"/>
  <c r="K30" i="18"/>
  <c r="K285" i="18"/>
  <c r="K132" i="18"/>
  <c r="K223" i="18"/>
  <c r="K294" i="18"/>
  <c r="K10" i="18"/>
  <c r="J278" i="18"/>
  <c r="J73" i="18"/>
  <c r="J272" i="18"/>
  <c r="J8" i="18"/>
  <c r="K292" i="18"/>
  <c r="K141" i="18"/>
  <c r="J16" i="18"/>
  <c r="J223" i="18"/>
  <c r="K133" i="18"/>
  <c r="J252" i="18"/>
  <c r="J209" i="18"/>
  <c r="J42" i="18"/>
  <c r="J59" i="18"/>
  <c r="J107" i="18"/>
  <c r="K61" i="18"/>
  <c r="K124" i="18"/>
  <c r="K76" i="18"/>
  <c r="K287" i="18"/>
  <c r="K259" i="18"/>
  <c r="K71" i="18"/>
  <c r="J55" i="18"/>
  <c r="J236" i="18"/>
  <c r="J27" i="18"/>
  <c r="J268" i="18"/>
  <c r="J119" i="18"/>
  <c r="J204" i="18"/>
  <c r="J150" i="18"/>
  <c r="K29" i="18"/>
  <c r="K288" i="18"/>
  <c r="K92" i="18"/>
  <c r="K79" i="18"/>
  <c r="K295" i="18"/>
  <c r="K251" i="18"/>
  <c r="J281" i="18"/>
  <c r="J251" i="18"/>
  <c r="J225" i="18"/>
  <c r="K275" i="18"/>
  <c r="J4" i="18"/>
  <c r="K266" i="18"/>
  <c r="J245" i="18"/>
  <c r="K52" i="18"/>
  <c r="J274" i="18"/>
  <c r="J134" i="18"/>
  <c r="K255" i="18"/>
  <c r="J137" i="18"/>
  <c r="K84" i="18"/>
  <c r="J125" i="18"/>
  <c r="K222" i="18"/>
  <c r="J74" i="18"/>
  <c r="K224" i="18"/>
  <c r="J260" i="18"/>
  <c r="K202" i="18"/>
  <c r="J273" i="18"/>
  <c r="J58" i="18"/>
  <c r="J52" i="18"/>
  <c r="J269" i="18"/>
  <c r="J176" i="18"/>
  <c r="K140" i="18"/>
  <c r="K272" i="18"/>
  <c r="J49" i="18"/>
  <c r="J66" i="18"/>
  <c r="J185" i="18"/>
  <c r="J2" i="18"/>
  <c r="J32" i="18"/>
  <c r="J280" i="18"/>
  <c r="J234" i="18"/>
  <c r="J3" i="18"/>
  <c r="J51" i="18"/>
  <c r="J172" i="18"/>
  <c r="J279" i="18"/>
  <c r="J87" i="18"/>
  <c r="J17" i="18"/>
  <c r="J72" i="18"/>
  <c r="K206" i="18"/>
  <c r="J23" i="18"/>
  <c r="J109" i="18"/>
  <c r="J191" i="18"/>
  <c r="J247" i="18"/>
  <c r="J33" i="18"/>
  <c r="J246" i="18"/>
  <c r="J124" i="18"/>
  <c r="J235" i="18"/>
  <c r="J99" i="18"/>
  <c r="J108" i="18"/>
  <c r="J277" i="18"/>
  <c r="J53" i="18"/>
  <c r="J93" i="18"/>
  <c r="J133" i="18"/>
  <c r="J168" i="18"/>
  <c r="J15" i="18"/>
  <c r="K209" i="18"/>
  <c r="K94" i="18"/>
  <c r="K42" i="18"/>
  <c r="K107" i="18"/>
  <c r="K20" i="18"/>
  <c r="K248" i="18"/>
  <c r="J10" i="18"/>
  <c r="K242" i="18"/>
  <c r="J14" i="18"/>
  <c r="J285" i="18"/>
  <c r="K48" i="18"/>
  <c r="K278" i="18"/>
  <c r="J141" i="18"/>
  <c r="K239" i="18"/>
  <c r="J67" i="18"/>
  <c r="J112" i="18"/>
  <c r="K7" i="18"/>
  <c r="K73" i="18"/>
  <c r="K8" i="18"/>
  <c r="K18" i="18"/>
  <c r="K5" i="18"/>
  <c r="K9" i="18"/>
  <c r="K293" i="18"/>
  <c r="K27" i="18"/>
  <c r="J207" i="18"/>
  <c r="J253" i="18"/>
  <c r="K6" i="18"/>
  <c r="K208" i="18"/>
  <c r="K16" i="18"/>
  <c r="J244" i="18"/>
  <c r="J292" i="18"/>
  <c r="J30" i="18"/>
  <c r="J9" i="2"/>
  <c r="J27" i="2"/>
  <c r="J26" i="2"/>
  <c r="K7" i="2"/>
  <c r="J8" i="2"/>
  <c r="J11" i="2"/>
  <c r="J10" i="2"/>
  <c r="J31" i="2"/>
  <c r="K8" i="2"/>
  <c r="J32" i="2"/>
  <c r="K32" i="2"/>
  <c r="J14" i="2"/>
  <c r="K12" i="2"/>
  <c r="J13" i="2"/>
  <c r="J12" i="2"/>
  <c r="K18" i="2"/>
  <c r="K33" i="2"/>
  <c r="J4" i="2"/>
  <c r="J7" i="2"/>
  <c r="J29" i="2"/>
  <c r="K11" i="2"/>
  <c r="J19" i="2"/>
  <c r="J5" i="2"/>
  <c r="K3" i="2"/>
  <c r="J25" i="2"/>
  <c r="J24" i="2"/>
  <c r="J22" i="2"/>
  <c r="K30" i="2"/>
  <c r="J16" i="2"/>
  <c r="K6" i="2"/>
  <c r="K23" i="2"/>
  <c r="K28" i="2"/>
  <c r="K20" i="2"/>
  <c r="J6" i="2"/>
  <c r="K26" i="2"/>
  <c r="K25" i="2"/>
  <c r="K15" i="2"/>
  <c r="J20" i="2"/>
  <c r="K22" i="2"/>
  <c r="K16" i="2"/>
  <c r="J15" i="2"/>
  <c r="J33" i="2"/>
  <c r="K4" i="2"/>
  <c r="K29" i="2"/>
  <c r="J30" i="2"/>
  <c r="K10" i="2"/>
  <c r="K31" i="2"/>
  <c r="K19" i="2"/>
  <c r="K17" i="2"/>
  <c r="K2" i="2"/>
  <c r="K5" i="2"/>
  <c r="J3" i="2"/>
  <c r="J23" i="2"/>
  <c r="J2" i="2"/>
  <c r="K24" i="2"/>
  <c r="K13" i="2"/>
  <c r="K21" i="2"/>
  <c r="J18" i="2"/>
  <c r="J21" i="2"/>
  <c r="J17" i="2"/>
  <c r="K14" i="2"/>
  <c r="K27" i="2"/>
  <c r="K9" i="2"/>
  <c r="J28" i="2"/>
</calcChain>
</file>

<file path=xl/sharedStrings.xml><?xml version="1.0" encoding="utf-8"?>
<sst xmlns="http://schemas.openxmlformats.org/spreadsheetml/2006/main" count="3543" uniqueCount="573">
  <si>
    <t>Model</t>
  </si>
  <si>
    <t>RMSE</t>
  </si>
  <si>
    <t>MAE</t>
  </si>
  <si>
    <t>MAPE</t>
  </si>
  <si>
    <t>MedAE</t>
  </si>
  <si>
    <t>MedAPE</t>
  </si>
  <si>
    <t>LSTM</t>
  </si>
  <si>
    <t>Macro Only</t>
  </si>
  <si>
    <t>Macro + Event</t>
  </si>
  <si>
    <t>GRU</t>
  </si>
  <si>
    <t>CNN_LSTM</t>
  </si>
  <si>
    <t>CNN_GRU</t>
  </si>
  <si>
    <t>Model</t>
    <phoneticPr fontId="1" type="noConversion"/>
  </si>
  <si>
    <t>Metric1</t>
    <phoneticPr fontId="1" type="noConversion"/>
  </si>
  <si>
    <t>Metric2</t>
    <phoneticPr fontId="1" type="noConversion"/>
  </si>
  <si>
    <t>MSPE</t>
  </si>
  <si>
    <t>Lookback</t>
  </si>
  <si>
    <t>전반적 환율예측 정확성
(Metric1=MAE, 
Metric2=MAPE)</t>
    <phoneticPr fontId="1" type="noConversion"/>
  </si>
  <si>
    <t>비정상적 환율변동에 
안정적 예측성능
(Metric1=MedAE, 
Metric2=MedAPE)</t>
    <phoneticPr fontId="1" type="noConversion"/>
  </si>
  <si>
    <t>높은 변동성에도 일관된
환율예측 정확성
(Metric1=RMSE,
Metric2=MSPE)</t>
    <phoneticPr fontId="1" type="noConversion"/>
  </si>
  <si>
    <t>Metric</t>
    <phoneticPr fontId="1" type="noConversion"/>
  </si>
  <si>
    <t>LSTM</t>
    <phoneticPr fontId="1" type="noConversion"/>
  </si>
  <si>
    <t>Best
Lookback</t>
    <phoneticPr fontId="1" type="noConversion"/>
  </si>
  <si>
    <t>Feature Case</t>
    <phoneticPr fontId="1" type="noConversion"/>
  </si>
  <si>
    <t>Prediction Purpose</t>
    <phoneticPr fontId="1" type="noConversion"/>
  </si>
  <si>
    <t>Top1 Feature Case</t>
    <phoneticPr fontId="1" type="noConversion"/>
  </si>
  <si>
    <t>Performance</t>
    <phoneticPr fontId="1" type="noConversion"/>
  </si>
  <si>
    <t>Model 
Ranking</t>
    <phoneticPr fontId="1" type="noConversion"/>
  </si>
  <si>
    <t>긍정</t>
    <phoneticPr fontId="1" type="noConversion"/>
  </si>
  <si>
    <t>중립</t>
    <phoneticPr fontId="1" type="noConversion"/>
  </si>
  <si>
    <t>부정</t>
    <phoneticPr fontId="1" type="noConversion"/>
  </si>
  <si>
    <t>직접</t>
    <phoneticPr fontId="1" type="noConversion"/>
  </si>
  <si>
    <t>간접</t>
    <phoneticPr fontId="1" type="noConversion"/>
  </si>
  <si>
    <t>전체</t>
    <phoneticPr fontId="1" type="noConversion"/>
  </si>
  <si>
    <t>-</t>
    <phoneticPr fontId="1" type="noConversion"/>
  </si>
  <si>
    <t>7,252
(38.01%)</t>
    <phoneticPr fontId="1" type="noConversion"/>
  </si>
  <si>
    <t>1,413
(7.41%)</t>
    <phoneticPr fontId="1" type="noConversion"/>
  </si>
  <si>
    <t>10,415
(54.59%)</t>
    <phoneticPr fontId="1" type="noConversion"/>
  </si>
  <si>
    <t>35,634
(100.00%)</t>
    <phoneticPr fontId="1" type="noConversion"/>
  </si>
  <si>
    <t>626
(10.35%)</t>
    <phoneticPr fontId="1" type="noConversion"/>
  </si>
  <si>
    <t>2,622
(43.36%)</t>
    <phoneticPr fontId="1" type="noConversion"/>
  </si>
  <si>
    <t>2,799
(46.29%)</t>
    <phoneticPr fontId="1" type="noConversion"/>
  </si>
  <si>
    <t>6,047
(100.00%)</t>
    <phoneticPr fontId="1" type="noConversion"/>
  </si>
  <si>
    <t>10,507
(100.00%)</t>
    <phoneticPr fontId="1" type="noConversion"/>
  </si>
  <si>
    <t>상관없음</t>
    <phoneticPr fontId="1" type="noConversion"/>
  </si>
  <si>
    <t>감성 분류</t>
    <phoneticPr fontId="1" type="noConversion"/>
  </si>
  <si>
    <t>환율뉴스 분류</t>
    <phoneticPr fontId="1" type="noConversion"/>
  </si>
  <si>
    <t>알고리즘</t>
  </si>
  <si>
    <t>주요 파라미터</t>
  </si>
  <si>
    <t>공통</t>
  </si>
  <si>
    <t>Cross Validation Fold</t>
  </si>
  <si>
    <t>Loss</t>
  </si>
  <si>
    <t>MSE</t>
  </si>
  <si>
    <t>Optimizer</t>
  </si>
  <si>
    <t>Adam</t>
  </si>
  <si>
    <t>Dropout Ratio</t>
  </si>
  <si>
    <t>Dense Units</t>
  </si>
  <si>
    <t>Filters</t>
  </si>
  <si>
    <t>Kernel Size</t>
  </si>
  <si>
    <t>Activation</t>
  </si>
  <si>
    <t>ReLU</t>
  </si>
  <si>
    <t>Batch Normalization</t>
  </si>
  <si>
    <t>탐색공간/값</t>
    <phoneticPr fontId="1" type="noConversion"/>
  </si>
  <si>
    <t>(0.05, 0.1, 0.15, 0.20)</t>
    <phoneticPr fontId="1" type="noConversion"/>
  </si>
  <si>
    <t>Recurrent Dropout Ratio</t>
    <phoneticPr fontId="1" type="noConversion"/>
  </si>
  <si>
    <t>Learning Rate</t>
    <phoneticPr fontId="1" type="noConversion"/>
  </si>
  <si>
    <t>(1e-3, 5e-4, 3e-4, 1e-4)</t>
    <phoneticPr fontId="1" type="noConversion"/>
  </si>
  <si>
    <t>CNN-LSTM / CNN-GRU</t>
    <phoneticPr fontId="1" type="noConversion"/>
  </si>
  <si>
    <t>(32, 64, 96)</t>
    <phoneticPr fontId="1" type="noConversion"/>
  </si>
  <si>
    <t>LSTM / GRU Unit Numbers</t>
    <phoneticPr fontId="1" type="noConversion"/>
  </si>
  <si>
    <t>(False, True)</t>
    <phoneticPr fontId="1" type="noConversion"/>
  </si>
  <si>
    <t>Padding</t>
    <phoneticPr fontId="1" type="noConversion"/>
  </si>
  <si>
    <t>Causal</t>
    <phoneticPr fontId="1" type="noConversion"/>
  </si>
  <si>
    <t>(2, 3, 5)</t>
    <phoneticPr fontId="1" type="noConversion"/>
  </si>
  <si>
    <t>Unit Numbers (2 Stack)</t>
    <phoneticPr fontId="1" type="noConversion"/>
  </si>
  <si>
    <t>(32, 48, 64, 96, 128) -&gt; (16, 24, 32, 48, 64)</t>
    <phoneticPr fontId="1" type="noConversion"/>
  </si>
  <si>
    <t>shift</t>
  </si>
  <si>
    <t>best_hp_json</t>
  </si>
  <si>
    <t>best_cv_RMSE</t>
    <phoneticPr fontId="1" type="noConversion"/>
  </si>
  <si>
    <t>best_cv_MAE</t>
    <phoneticPr fontId="1" type="noConversion"/>
  </si>
  <si>
    <t>best_cv_MAPE</t>
    <phoneticPr fontId="1" type="noConversion"/>
  </si>
  <si>
    <t>RMSE_mean</t>
    <phoneticPr fontId="1" type="noConversion"/>
  </si>
  <si>
    <t>MAE_mean</t>
    <phoneticPr fontId="1" type="noConversion"/>
  </si>
  <si>
    <t>MAPE_mean</t>
    <phoneticPr fontId="1" type="noConversion"/>
  </si>
  <si>
    <t>MSPE_mean</t>
    <phoneticPr fontId="1" type="noConversion"/>
  </si>
  <si>
    <t>MedAE_mean</t>
    <phoneticPr fontId="1" type="noConversion"/>
  </si>
  <si>
    <t>MedAPE_mean</t>
    <phoneticPr fontId="1" type="noConversion"/>
  </si>
  <si>
    <t>speedplan_json</t>
  </si>
  <si>
    <t>Macro + Sentiment</t>
  </si>
  <si>
    <t>{"lr": 0.0005, "dropout": 0.15, "rnn1": 32, "rnn2": 32}</t>
  </si>
  <si>
    <t>{"epochs": 60, "batch": 64, "es_patience": 5, "rlrop_patience": 3, "n_trials": 12, "seeds": [42]}</t>
  </si>
  <si>
    <t>{"lr": 0.001, "dropout": 0.1, "rnn1": 32, "rnn2": 48}</t>
  </si>
  <si>
    <t>CNN-LSTM</t>
  </si>
  <si>
    <t>{"epochs": 45, "batch": 96, "es_patience": 4, "rlrop_patience": 2, "n_trials": 10, "seeds": [42]}</t>
  </si>
  <si>
    <t>{"lr": 0.0003, "dropout": 0.1, "rnn1": 32, "rnn2": 32}</t>
  </si>
  <si>
    <t>{"lr": 0.0001, "dropout": 0.05, "rnn1": 48, "rnn2": 48, "conv_filters": 96, "kernel": 5, "bn": false}</t>
  </si>
  <si>
    <t>{"lr": 0.0003, "dropout": 0.15, "rnn1": 128, "rnn2": 48, "conv_filters": 64, "kernel": 3, "bn": true}</t>
  </si>
  <si>
    <t>{"lr": 0.0003, "dropout": 0.1, "rnn1": 64, "rnn2": 24}</t>
  </si>
  <si>
    <t>{"lr": 0.0001, "dropout": 0.15, "rnn1": 128, "rnn2": 32}</t>
  </si>
  <si>
    <t>CNN-GRU</t>
  </si>
  <si>
    <t>{"lr": 0.001, "dropout": 0.2, "rnn1": 96, "rnn2": 64, "conv_filters": 96, "kernel": 2, "bn": false}</t>
  </si>
  <si>
    <t>{"lr": 0.0005, "dropout": 0.1, "rnn1": 32, "rnn2": 32, "conv_filters": 32, "kernel": 3, "bn": true}</t>
  </si>
  <si>
    <t>{"lr": 0.001, "dropout": 0.15, "rnn1": 32, "rnn2": 32}</t>
  </si>
  <si>
    <t>{"lr": 0.0001, "dropout": 0.05, "rnn1": 128, "rnn2": 48, "conv_filters": 32, "kernel": 2, "bn": true}</t>
  </si>
  <si>
    <t>{"lr": 0.0001, "dropout": 0.15, "rnn1": 128, "rnn2": 24, "conv_filters": 96, "kernel": 5, "bn": true}</t>
  </si>
  <si>
    <t>{"lr": 0.0005, "dropout": 0.05, "rnn1": 32, "rnn2": 48, "conv_filters": 32, "kernel": 3, "bn": true}</t>
  </si>
  <si>
    <t>{"lr": 0.0001, "dropout": 0.05, "rnn1": 32, "rnn2": 64, "conv_filters": 96, "kernel": 5, "bn": false}</t>
  </si>
  <si>
    <t>{"lr": 0.0001, "dropout": 0.2, "rnn1": 96, "rnn2": 24, "conv_filters": 32, "kernel": 3, "bn": false}</t>
  </si>
  <si>
    <t>{"lr": 0.0001, "dropout": 0.15, "rnn1": 128, "rnn2": 48, "conv_filters": 32, "kernel": 3, "bn": true}</t>
  </si>
  <si>
    <t>{"lr": 0.0003, "dropout": 0.15, "rnn1": 96, "rnn2": 48}</t>
  </si>
  <si>
    <t>{"lr": 0.001, "dropout": 0.2, "rnn1": 32, "rnn2": 48, "conv_filters": 64, "kernel": 2, "bn": false}</t>
  </si>
  <si>
    <t>{"lr": 0.0001, "dropout": 0.1, "rnn1": 96, "rnn2": 48}</t>
  </si>
  <si>
    <t>{"lr": 0.0005, "dropout": 0.1, "rnn1": 128, "rnn2": 16, "conv_filters": 32, "kernel": 2, "bn": false}</t>
  </si>
  <si>
    <t>{"lr": 0.0005, "dropout": 0.2, "rnn1": 32, "rnn2": 16, "conv_filters": 64, "kernel": 2, "bn": false}</t>
  </si>
  <si>
    <t>{"epochs": 25, "batch": 128, "es_patience": 3, "rlrop_patience": 2, "n_trials": 6, "seeds": [42]}</t>
  </si>
  <si>
    <t>{"lr": 0.0003, "dropout": 0.2, "rnn1": 64, "rnn2": 32}</t>
  </si>
  <si>
    <t>{"lr": 0.0001, "dropout": 0.15, "rnn1": 64, "rnn2": 24, "conv_filters": 96, "kernel": 3, "bn": true}</t>
  </si>
  <si>
    <t>{"lr": 0.0005, "dropout": 0.1, "rnn1": 128, "rnn2": 16, "conv_filters": 96, "kernel": 2, "bn": true}</t>
  </si>
  <si>
    <t>{"lr": 0.0001, "dropout": 0.2, "rnn1": 32, "rnn2": 64, "conv_filters": 96, "kernel": 2, "bn": true}</t>
  </si>
  <si>
    <t>{"lr": 0.0005, "dropout": 0.1, "rnn1": 48, "rnn2": 32}</t>
  </si>
  <si>
    <t>{"lr": 0.0003, "dropout": 0.1, "rnn1": 64, "rnn2": 48}</t>
  </si>
  <si>
    <t>{"lr": 0.0001, "dropout": 0.05, "rnn1": 64, "rnn2": 64}</t>
  </si>
  <si>
    <t>{"lr": 0.0005, "dropout": 0.2, "rnn1": 64, "rnn2": 48, "conv_filters": 32, "kernel": 2, "bn": false}</t>
  </si>
  <si>
    <t>{"lr": 0.0005, "dropout": 0.1, "rnn1": 128, "rnn2": 32, "conv_filters": 96, "kernel": 3, "bn": true}</t>
  </si>
  <si>
    <t>{"lr": 0.0001, "dropout": 0.05, "rnn1": 96, "rnn2": 48}</t>
  </si>
  <si>
    <t>{"lr": 0.0001, "dropout": 0.05, "rnn1": 96, "rnn2": 64, "conv_filters": 32, "kernel": 5, "bn": true}</t>
  </si>
  <si>
    <t>{"lr": 0.001, "dropout": 0.15, "rnn1": 128, "rnn2": 64, "conv_filters": 96, "kernel": 3, "bn": false}</t>
  </si>
  <si>
    <t>{"lr": 0.0005, "dropout": 0.15, "rnn1": 128, "rnn2": 24, "conv_filters": 32, "kernel": 5, "bn": false}</t>
  </si>
  <si>
    <t>{"lr": 0.001, "dropout": 0.1, "rnn1": 64, "rnn2": 48, "conv_filters": 32, "kernel": 5, "bn": false}</t>
  </si>
  <si>
    <t>{"lr": 0.0005, "dropout": 0.05, "rnn1": 96, "rnn2": 32}</t>
  </si>
  <si>
    <t>{"lr": 0.0003, "dropout": 0.15, "rnn1": 32, "rnn2": 32}</t>
  </si>
  <si>
    <t>{"lr": 0.0001, "dropout": 0.1, "rnn1": 64, "rnn2": 24}</t>
  </si>
  <si>
    <t>{"lr": 0.001, "dropout": 0.2, "rnn1": 96, "rnn2": 48}</t>
  </si>
  <si>
    <t>{"lr": 0.001, "dropout": 0.2, "rnn1": 32, "rnn2": 16, "conv_filters": 32, "kernel": 3, "bn": true}</t>
  </si>
  <si>
    <t>{"lr": 0.0003, "dropout": 0.15, "rnn1": 48, "rnn2": 32, "conv_filters": 32, "kernel": 3, "bn": true}</t>
  </si>
  <si>
    <t>{"epochs": 30, "batch": 128, "es_patience": 3, "rlrop_patience": 2, "n_trials": 8, "seeds": [42]}</t>
  </si>
  <si>
    <t>{"lr": 0.0005, "dropout": 0.15, "rnn1": 32, "rnn2": 16, "conv_filters": 32, "kernel": 3, "bn": true}</t>
  </si>
  <si>
    <t>{"lr": 0.0001, "dropout": 0.05, "rnn1": 96, "rnn2": 24}</t>
  </si>
  <si>
    <t>{"lr": 0.0003, "dropout": 0.05, "rnn1": 48, "rnn2": 48}</t>
  </si>
  <si>
    <t>{"lr": 0.0005, "dropout": 0.2, "rnn1": 128, "rnn2": 16}</t>
  </si>
  <si>
    <t>{"lr": 0.0003, "dropout": 0.2, "rnn1": 32, "rnn2": 64, "conv_filters": 64, "kernel": 5, "bn": false}</t>
  </si>
  <si>
    <t>{"lr": 0.0001, "dropout": 0.2, "rnn1": 64, "rnn2": 48, "conv_filters": 32, "kernel": 5, "bn": false}</t>
  </si>
  <si>
    <t>{"lr": 0.0003, "dropout": 0.05, "rnn1": 96, "rnn2": 64}</t>
  </si>
  <si>
    <t>{"lr": 0.001, "dropout": 0.1, "rnn1": 64, "rnn2": 64, "conv_filters": 32, "kernel": 3, "bn": false}</t>
  </si>
  <si>
    <t>{"lr": 0.001, "dropout": 0.1, "rnn1": 32, "rnn2": 16, "conv_filters": 96, "kernel": 2, "bn": true}</t>
  </si>
  <si>
    <t>{"lr": 0.0005, "dropout": 0.15, "rnn1": 96, "rnn2": 16, "conv_filters": 32, "kernel": 5, "bn": true}</t>
  </si>
  <si>
    <t>{"lr": 0.001, "dropout": 0.15, "rnn1": 64, "rnn2": 48, "conv_filters": 32, "kernel": 2, "bn": false}</t>
  </si>
  <si>
    <t>{"lr": 0.001, "dropout": 0.15, "rnn1": 96, "rnn2": 16, "conv_filters": 32, "kernel": 2, "bn": true}</t>
  </si>
  <si>
    <t>{"lr": 0.0005, "dropout": 0.2, "rnn1": 128, "rnn2": 48}</t>
  </si>
  <si>
    <t>{"lr": 0.0003, "dropout": 0.05, "rnn1": 48, "rnn2": 32}</t>
  </si>
  <si>
    <t>{"lr": 0.0001, "dropout": 0.2, "rnn1": 32, "rnn2": 16, "conv_filters": 64, "kernel": 3, "bn": true}</t>
  </si>
  <si>
    <t>{"lr": 0.0001, "dropout": 0.2, "rnn1": 64, "rnn2": 24}</t>
  </si>
  <si>
    <t>{"lr": 0.001, "dropout": 0.05, "rnn1": 48, "rnn2": 32}</t>
  </si>
  <si>
    <t>{"lr": 0.0003, "dropout": 0.2, "rnn1": 48, "rnn2": 24}</t>
  </si>
  <si>
    <t>{"lr": 0.001, "dropout": 0.1, "rnn1": 64, "rnn2": 64}</t>
  </si>
  <si>
    <t>{"lr": 0.001, "dropout": 0.15, "rnn1": 32, "rnn2": 24}</t>
  </si>
  <si>
    <t>{"lr": 0.0003, "dropout": 0.1, "rnn1": 64, "rnn2": 64}</t>
  </si>
  <si>
    <t>{"lr": 0.0003, "dropout": 0.15, "rnn1": 48, "rnn2": 24}</t>
  </si>
  <si>
    <t>{"lr": 0.0003, "dropout": 0.05, "rnn1": 96, "rnn2": 24}</t>
  </si>
  <si>
    <t>{"lr": 0.001, "dropout": 0.2, "rnn1": 128, "rnn2": 48}</t>
  </si>
  <si>
    <t>{"lr": 0.0001, "dropout": 0.05, "rnn1": 64, "rnn2": 48, "conv_filters": 64, "kernel": 5, "bn": true}</t>
  </si>
  <si>
    <t>{"lr": 0.001, "dropout": 0.15, "rnn1": 128, "rnn2": 24, "conv_filters": 64, "kernel": 5, "bn": true}</t>
  </si>
  <si>
    <t>{"lr": 0.0003, "dropout": 0.1, "rnn1": 48, "rnn2": 64}</t>
  </si>
  <si>
    <t>{"lr": 0.0005, "dropout": 0.05, "rnn1": 64, "rnn2": 16, "conv_filters": 32, "kernel": 2, "bn": true}</t>
  </si>
  <si>
    <t>{"lr": 0.0001, "dropout": 0.1, "rnn1": 32, "rnn2": 48}</t>
  </si>
  <si>
    <t>key</t>
  </si>
  <si>
    <t>Macro + Event + Sentiment (Direct)||CNN-GRU||lb=30||shift=1</t>
  </si>
  <si>
    <t>Macro + Event + Sentiment (Direct)</t>
  </si>
  <si>
    <t>{"lr": 0.0003, "dropout": 0.15, "rnn1": 48, "rnn2": 64, "conv_filters": 32, "kernel": 5, "bn": false}</t>
  </si>
  <si>
    <t>Macro + Sentiment||LSTM||lb=90||shift=1</t>
  </si>
  <si>
    <t>Macro + Sentiment (Indirect)||LSTM||lb=30||shift=1</t>
  </si>
  <si>
    <t>Macro + Sentiment (Indirect)</t>
  </si>
  <si>
    <t>{"lr": 0.0005, "dropout": 0.15, "rnn1": 48, "rnn2": 24, "conv_filters": 0, "kernel": 0, "bn": false}</t>
  </si>
  <si>
    <t>Macro + Sentiment (Both)||CNN-LSTM||lb=20||shift=1</t>
  </si>
  <si>
    <t>Macro + Sentiment (Both)</t>
  </si>
  <si>
    <t>{"lr": 0.0001, "dropout": 0.2, "rnn1": 48, "rnn2": 48, "conv_filters": 32, "kernel": 3, "bn": false}</t>
  </si>
  <si>
    <t>Macro + Event + Sentiment (Both)||GRU||lb=5||shift=1</t>
  </si>
  <si>
    <t>Macro + Event + Sentiment (Both)</t>
  </si>
  <si>
    <t>{"lr": 0.0005, "dropout": 0.05, "rnn1": 32, "rnn2": 32, "conv_filters": 0, "kernel": 0, "bn": false}</t>
  </si>
  <si>
    <t>Macro + Event||LSTM||lb=90||shift=1</t>
  </si>
  <si>
    <t>Macro + Sentiment (Direct)||LSTM||lb=20||shift=1</t>
  </si>
  <si>
    <t>Macro + Sentiment (Direct)</t>
  </si>
  <si>
    <t>{"lr": 0.0001, "dropout": 0.1, "rnn1": 48, "rnn2": 16, "conv_filters": 0, "kernel": 0, "bn": false}</t>
  </si>
  <si>
    <t>Macro + Event + Sentiment (Indirect)||GRU||lb=20||shift=1</t>
  </si>
  <si>
    <t>Macro + Event + Sentiment (Indirect)</t>
  </si>
  <si>
    <t>{"lr": 0.0003, "dropout": 0.1, "rnn1": 96, "rnn2": 32, "conv_filters": 0, "kernel": 0, "bn": false}</t>
  </si>
  <si>
    <t>Macro + Event||CNN-LSTM||lb=20||shift=1</t>
  </si>
  <si>
    <t>Macro + Event + Sentiment (Both)||LSTM||lb=90||shift=1</t>
  </si>
  <si>
    <t>{"lr": 0.0001, "dropout": 0.15, "rnn1": 48, "rnn2": 16, "conv_filters": 0, "kernel": 0, "bn": false}</t>
  </si>
  <si>
    <t>Macro + Event||CNN-GRU||lb=5||shift=1</t>
  </si>
  <si>
    <t>Macro + Event||GRU||lb=90||shift=1</t>
  </si>
  <si>
    <t>Macro + Event + Sentiment (Both)||LSTM||lb=10||shift=1</t>
  </si>
  <si>
    <t>{"lr": 0.0003, "dropout": 0.15, "rnn1": 64, "rnn2": 48, "conv_filters": 0, "kernel": 0, "bn": false}</t>
  </si>
  <si>
    <t>Macro Only||LSTM||lb=20||shift=1</t>
  </si>
  <si>
    <t>Macro + Event + Sentiment (Indirect)||GRU||lb=60||shift=1</t>
  </si>
  <si>
    <t>{"lr": 0.0003, "dropout": 0.2, "rnn1": 96, "rnn2": 32, "conv_filters": 0, "kernel": 0, "bn": false}</t>
  </si>
  <si>
    <t>Macro + Event + Sentiment (Both)||CNN-LSTM||lb=30||shift=1</t>
  </si>
  <si>
    <t>{"lr": 0.0005, "dropout": 0.1, "rnn1": 32, "rnn2": 32, "conv_filters": 96, "kernel": 3, "bn": false}</t>
  </si>
  <si>
    <t>Macro + Event + Sentiment (Direct)||CNN-GRU||lb=5||shift=1</t>
  </si>
  <si>
    <t>{"lr": 0.0003, "dropout": 0.1, "rnn1": 32, "rnn2": 64, "conv_filters": 64, "kernel": 5, "bn": false}</t>
  </si>
  <si>
    <t>Macro + Sentiment||CNN-GRU||lb=10||shift=1</t>
  </si>
  <si>
    <t>Macro + Event + Sentiment (Direct)||GRU||lb=60||shift=1</t>
  </si>
  <si>
    <t>{"lr": 0.001, "dropout": 0.15, "rnn1": 128, "rnn2": 32, "conv_filters": 0, "kernel": 0, "bn": false}</t>
  </si>
  <si>
    <t>Macro + Event + Sentiment (Both)||LSTM||lb=5||shift=1</t>
  </si>
  <si>
    <t>{"lr": 0.0001, "dropout": 0.15, "rnn1": 64, "rnn2": 48, "conv_filters": 0, "kernel": 0, "bn": false}</t>
  </si>
  <si>
    <t>Macro Only||CNN-GRU||lb=10||shift=1</t>
  </si>
  <si>
    <t>Macro + Sentiment (Indirect)||CNN-GRU||lb=90||shift=1</t>
  </si>
  <si>
    <t>{"lr": 0.001, "dropout": 0.2, "rnn1": 48, "rnn2": 32, "conv_filters": 64, "kernel": 3, "bn": true}</t>
  </si>
  <si>
    <t>Macro + Event||CNN-LSTM||lb=90||shift=1</t>
  </si>
  <si>
    <t>Macro + Event + Sentiment (Both)||CNN-GRU||lb=20||shift=1</t>
  </si>
  <si>
    <t>Macro + Event + Sentiment (Both)</t>
    <phoneticPr fontId="1" type="noConversion"/>
  </si>
  <si>
    <t>{"lr": 0.001, "dropout": 0.1, "rnn1": 48, "rnn2": 48, "conv_filters": 96, "kernel": 5, "bn": false}</t>
  </si>
  <si>
    <t>Macro + Event + Sentiment (Both)||CNN-LSTM||lb=10||shift=1</t>
  </si>
  <si>
    <t>{"lr": 0.0005, "dropout": 0.05, "rnn1": 64, "rnn2": 48, "conv_filters": 32, "kernel": 3, "bn": true}</t>
  </si>
  <si>
    <t>Macro + Sentiment (Direct)||LSTM||lb=30||shift=1</t>
  </si>
  <si>
    <t>{"lr": 0.0001, "dropout": 0.05, "rnn1": 64, "rnn2": 32, "conv_filters": 0, "kernel": 0, "bn": false}</t>
  </si>
  <si>
    <t>Macro + Sentiment (Direct)||CNN-LSTM||lb=20||shift=1</t>
  </si>
  <si>
    <t>{"lr": 0.0005, "dropout": 0.15, "rnn1": 96, "rnn2": 64, "conv_filters": 64, "kernel": 3, "bn": true}</t>
  </si>
  <si>
    <t>Macro + Sentiment (Indirect)||CNN-GRU||lb=5||shift=1</t>
  </si>
  <si>
    <t>{"lr": 0.001, "dropout": 0.05, "rnn1": 64, "rnn2": 32, "conv_filters": 32, "kernel": 5, "bn": false}</t>
  </si>
  <si>
    <t>Macro + Event||LSTM||lb=20||shift=1</t>
  </si>
  <si>
    <t>Macro + Sentiment (Indirect)||LSTM||lb=5||shift=1</t>
  </si>
  <si>
    <t>{"lr": 0.001, "dropout": 0.1, "rnn1": 32, "rnn2": 32, "conv_filters": 0, "kernel": 0, "bn": false}</t>
  </si>
  <si>
    <t>Macro + Sentiment (Both)||LSTM||lb=20||shift=1</t>
  </si>
  <si>
    <t>{"lr": 0.0003, "dropout": 0.05, "rnn1": 64, "rnn2": 32, "conv_filters": 0, "kernel": 0, "bn": false}</t>
  </si>
  <si>
    <t>Macro + Sentiment (Direct)||LSTM||lb=90||shift=1</t>
  </si>
  <si>
    <t>{"lr": 0.001, "dropout": 0.05, "rnn1": 96, "rnn2": 48, "conv_filters": 0, "kernel": 0, "bn": false}</t>
  </si>
  <si>
    <t>Macro + Sentiment (Indirect)||GRU||lb=30||shift=1</t>
  </si>
  <si>
    <t>{"lr": 0.0001, "dropout": 0.2, "rnn1": 32, "rnn2": 32, "conv_filters": 0, "kernel": 0, "bn": false}</t>
  </si>
  <si>
    <t>Macro + Sentiment||CNN-LSTM||lb=90||shift=1</t>
  </si>
  <si>
    <t>Macro + Sentiment (Indirect)||CNN-GRU||lb=20||shift=1</t>
  </si>
  <si>
    <t>{"lr": 0.0005, "dropout": 0.2, "rnn1": 128, "rnn2": 16, "conv_filters": 32, "kernel": 3, "bn": true}</t>
  </si>
  <si>
    <t>Macro + Event + Sentiment (Indirect)||CNN-GRU||lb=30||shift=1</t>
  </si>
  <si>
    <t>{"lr": 0.0001, "dropout": 0.2, "rnn1": 96, "rnn2": 64, "conv_filters": 32, "kernel": 2, "bn": false}</t>
  </si>
  <si>
    <t>Macro + Event||CNN-GRU||lb=90||shift=1</t>
  </si>
  <si>
    <t>Macro Only||CNN-LSTM||lb=90||shift=1</t>
  </si>
  <si>
    <t>Macro + Event + Sentiment (Direct)||CNN-LSTM||lb=60||shift=1</t>
  </si>
  <si>
    <t>{"lr": 0.0005, "dropout": 0.1, "rnn1": 128, "rnn2": 24, "conv_filters": 64, "kernel": 2, "bn": true}</t>
  </si>
  <si>
    <t>Macro + Event + Sentiment (Direct)||LSTM||lb=20||shift=1</t>
  </si>
  <si>
    <t>{"lr": 0.0003, "dropout": 0.15, "rnn1": 64, "rnn2": 64, "conv_filters": 0, "kernel": 0, "bn": false}</t>
  </si>
  <si>
    <t>Macro + Event + Sentiment (Direct)||LSTM||lb=60||shift=1</t>
  </si>
  <si>
    <t>{"lr": 0.001, "dropout": 0.2, "rnn1": 48, "rnn2": 24, "conv_filters": 0, "kernel": 0, "bn": false}</t>
  </si>
  <si>
    <t>Macro Only||LSTM||lb=30||shift=1</t>
  </si>
  <si>
    <t>Macro + Event||CNN-GRU||lb=20||shift=1</t>
  </si>
  <si>
    <t>Macro + Sentiment||CNN-GRU||lb=60||shift=1</t>
  </si>
  <si>
    <t>Macro + Sentiment (Indirect)||CNN-GRU||lb=10||shift=1</t>
  </si>
  <si>
    <t>{"lr": 0.0005, "dropout": 0.2, "rnn1": 32, "rnn2": 48, "conv_filters": 96, "kernel": 5, "bn": true}</t>
  </si>
  <si>
    <t>Macro + Sentiment||GRU||lb=10||shift=1</t>
  </si>
  <si>
    <t>Macro + Event + Sentiment (Indirect)||GRU||lb=10||shift=1</t>
  </si>
  <si>
    <t>Macro Only||CNN-LSTM||lb=60||shift=1</t>
  </si>
  <si>
    <t>Macro + Sentiment (Both)||CNN-GRU||lb=90||shift=1</t>
  </si>
  <si>
    <t>{"lr": 0.001, "dropout": 0.1, "rnn1": 64, "rnn2": 64, "conv_filters": 32, "kernel": 2, "bn": false}</t>
  </si>
  <si>
    <t>Macro + Sentiment (Indirect)||CNN-LSTM||lb=30||shift=1</t>
  </si>
  <si>
    <t>{"lr": 0.001, "dropout": 0.15, "rnn1": 32, "rnn2": 64, "conv_filters": 32, "kernel": 3, "bn": true}</t>
  </si>
  <si>
    <t>Macro + Event + Sentiment (Indirect)||LSTM||lb=30||shift=1</t>
  </si>
  <si>
    <t>{"lr": 0.0001, "dropout": 0.2, "rnn1": 96, "rnn2": 48, "conv_filters": 0, "kernel": 0, "bn": false}</t>
  </si>
  <si>
    <t>Macro + Event + Sentiment (Indirect)||CNN-LSTM||lb=90||shift=1</t>
  </si>
  <si>
    <t>{"lr": 0.0003, "dropout": 0.15, "rnn1": 48, "rnn2": 48, "conv_filters": 32, "kernel": 3, "bn": false}</t>
  </si>
  <si>
    <t>Macro + Event||CNN-LSTM||lb=60||shift=1</t>
  </si>
  <si>
    <t>Macro + Event||GRU||lb=60||shift=1</t>
  </si>
  <si>
    <t>Macro + Event + Sentiment (Indirect)||CNN-GRU||lb=20||shift=1</t>
  </si>
  <si>
    <t>{"lr": 0.0001, "dropout": 0.1, "rnn1": 128, "rnn2": 64, "conv_filters": 32, "kernel": 5, "bn": false}</t>
  </si>
  <si>
    <t>Macro + Event + Sentiment (Indirect)||CNN-LSTM||lb=20||shift=1</t>
  </si>
  <si>
    <t>{"lr": 0.0005, "dropout": 0.05, "rnn1": 128, "rnn2": 64, "conv_filters": 32, "kernel": 3, "bn": false}</t>
  </si>
  <si>
    <t>Macro + Event + Sentiment (Both)||CNN-LSTM||lb=90||shift=1</t>
  </si>
  <si>
    <t>{"lr": 0.0001, "dropout": 0.15, "rnn1": 96, "rnn2": 16, "conv_filters": 64, "kernel": 5, "bn": true}</t>
  </si>
  <si>
    <t>Macro + Sentiment||CNN-GRU||lb=20||shift=1</t>
  </si>
  <si>
    <t>Macro + Sentiment (Both)||CNN-GRU||lb=5||shift=1</t>
  </si>
  <si>
    <t>{"lr": 0.0001, "dropout": 0.05, "rnn1": 96, "rnn2": 32, "conv_filters": 32, "kernel": 3, "bn": false}</t>
  </si>
  <si>
    <t>Macro + Sentiment (Both)||CNN-GRU||lb=30||shift=1</t>
  </si>
  <si>
    <t>{"lr": 0.001, "dropout": 0.1, "rnn1": 64, "rnn2": 16, "conv_filters": 32, "kernel": 5, "bn": false}</t>
  </si>
  <si>
    <t>Macro + Event + Sentiment (Indirect)||CNN-GRU||lb=10||shift=1</t>
  </si>
  <si>
    <t>{"lr": 0.0005, "dropout": 0.15, "rnn1": 32, "rnn2": 48, "conv_filters": 32, "kernel": 3, "bn": false}</t>
  </si>
  <si>
    <t>Macro + Sentiment (Indirect)||CNN-LSTM||lb=5||shift=1</t>
  </si>
  <si>
    <t>{"lr": 0.001, "dropout": 0.15, "rnn1": 48, "rnn2": 16, "conv_filters": 64, "kernel": 3, "bn": true}</t>
  </si>
  <si>
    <t>Macro Only||LSTM||lb=5||shift=1</t>
  </si>
  <si>
    <t>Macro + Event + Sentiment (Both)||CNN-GRU||lb=5||shift=1</t>
  </si>
  <si>
    <t>{"lr": 0.0005, "dropout": 0.15, "rnn1": 96, "rnn2": 48, "conv_filters": 32, "kernel": 5, "bn": true}</t>
  </si>
  <si>
    <t>Macro + Event + Sentiment (Both)||GRU||lb=30||shift=1</t>
  </si>
  <si>
    <t>{"lr": 0.0003, "dropout": 0.05, "rnn1": 32, "rnn2": 64, "conv_filters": 0, "kernel": 0, "bn": false}</t>
  </si>
  <si>
    <t>Macro + Sentiment||LSTM||lb=30||shift=1</t>
  </si>
  <si>
    <t>Macro Only||CNN-LSTM||lb=30||shift=1</t>
  </si>
  <si>
    <t>Macro Only||CNN-GRU||lb=30||shift=1</t>
  </si>
  <si>
    <t>Macro + Event + Sentiment (Indirect)||LSTM||lb=90||shift=1</t>
  </si>
  <si>
    <t>{"lr": 0.0003, "dropout": 0.05, "rnn1": 128, "rnn2": 24, "conv_filters": 0, "kernel": 0, "bn": false}</t>
  </si>
  <si>
    <t>Macro Only||CNN-GRU||lb=5||shift=1</t>
  </si>
  <si>
    <t>Macro + Sentiment (Direct)||CNN-LSTM||lb=10||shift=1</t>
  </si>
  <si>
    <t>{"lr": 0.0003, "dropout": 0.2, "rnn1": 96, "rnn2": 16, "conv_filters": 96, "kernel": 3, "bn": true}</t>
  </si>
  <si>
    <t>Macro + Event + Sentiment (Indirect)||CNN-LSTM||lb=10||shift=1</t>
  </si>
  <si>
    <t>{"lr": 0.0001, "dropout": 0.15, "rnn1": 128, "rnn2": 48, "conv_filters": 32, "kernel": 2, "bn": false}</t>
  </si>
  <si>
    <t>Macro + Sentiment (Both)||CNN-GRU||lb=10||shift=1</t>
  </si>
  <si>
    <t>{"lr": 0.0001, "dropout": 0.15, "rnn1": 96, "rnn2": 48, "conv_filters": 32, "kernel": 3, "bn": true}</t>
  </si>
  <si>
    <t>Macro + Sentiment (Both)||CNN-LSTM||lb=60||shift=1</t>
  </si>
  <si>
    <t>{"lr": 0.0003, "dropout": 0.05, "rnn1": 48, "rnn2": 32, "conv_filters": 96, "kernel": 2, "bn": true}</t>
  </si>
  <si>
    <t>Macro + Sentiment||CNN-GRU||lb=30||shift=1</t>
  </si>
  <si>
    <t>Macro + Event + Sentiment (Direct)||CNN-GRU||lb=60||shift=1</t>
  </si>
  <si>
    <t>{"lr": 0.0005, "dropout": 0.15, "rnn1": 64, "rnn2": 64, "conv_filters": 64, "kernel": 3, "bn": true}</t>
  </si>
  <si>
    <t>Macro + Event + Sentiment (Both)||CNN-GRU||lb=90||shift=1</t>
  </si>
  <si>
    <t>{"lr": 0.0005, "dropout": 0.1, "rnn1": 64, "rnn2": 64, "conv_filters": 64, "kernel": 3, "bn": true}</t>
  </si>
  <si>
    <t>Macro + Event||LSTM||lb=10||shift=1</t>
  </si>
  <si>
    <t>Macro + Event + Sentiment (Direct)||CNN-GRU||lb=20||shift=1</t>
  </si>
  <si>
    <t>{"lr": 0.0005, "dropout": 0.15, "rnn1": 32, "rnn2": 16, "conv_filters": 96, "kernel": 3, "bn": true}</t>
  </si>
  <si>
    <t>Macro + Event + Sentiment (Both)||CNN-GRU||lb=10||shift=1</t>
  </si>
  <si>
    <t>{"lr": 0.0003, "dropout": 0.1, "rnn1": 64, "rnn2": 32, "conv_filters": 64, "kernel": 3, "bn": false}</t>
  </si>
  <si>
    <t>Macro + Sentiment (Indirect)||LSTM||lb=60||shift=1</t>
  </si>
  <si>
    <t>{"lr": 0.0005, "dropout": 0.15, "rnn1": 32, "rnn2": 64, "conv_filters": 0, "kernel": 0, "bn": false}</t>
  </si>
  <si>
    <t>Macro + Sentiment (Indirect)||CNN-LSTM||lb=20||shift=1</t>
  </si>
  <si>
    <t>{"lr": 0.0005, "dropout": 0.1, "rnn1": 32, "rnn2": 24, "conv_filters": 96, "kernel": 3, "bn": true}</t>
  </si>
  <si>
    <t>Macro + Event||GRU||lb=5||shift=1</t>
  </si>
  <si>
    <t>Macro + Event + Sentiment (Direct)||GRU||lb=20||shift=1</t>
  </si>
  <si>
    <t>Macro + Event + Sentiment (Indirect)||CNN-LSTM||lb=30||shift=1</t>
  </si>
  <si>
    <t>{"lr": 0.0003, "dropout": 0.1, "rnn1": 48, "rnn2": 64, "conv_filters": 64, "kernel": 5, "bn": false}</t>
  </si>
  <si>
    <t>Macro + Sentiment||LSTM||lb=5||shift=1</t>
  </si>
  <si>
    <t>Macro + Event + Sentiment (Direct)||CNN-LSTM||lb=20||shift=1</t>
  </si>
  <si>
    <t>{"lr": 0.001, "dropout": 0.05, "rnn1": 128, "rnn2": 48, "conv_filters": 96, "kernel": 2, "bn": true}</t>
  </si>
  <si>
    <t>Macro + Sentiment (Direct)||CNN-LSTM||lb=60||shift=1</t>
  </si>
  <si>
    <t>{"lr": 0.0001, "dropout": 0.2, "rnn1": 32, "rnn2": 64, "conv_filters": 32, "kernel": 3, "bn": false}</t>
  </si>
  <si>
    <t>Macro Only||CNN-LSTM||lb=20||shift=1</t>
  </si>
  <si>
    <t>Macro + Sentiment (Direct)||CNN-LSTM||lb=30||shift=1</t>
  </si>
  <si>
    <t>{"lr": 0.0001, "dropout": 0.05, "rnn1": 48, "rnn2": 32, "conv_filters": 32, "kernel": 3, "bn": true}</t>
  </si>
  <si>
    <t>Macro + Sentiment (Both)||CNN-LSTM||lb=30||shift=1</t>
  </si>
  <si>
    <t>{"lr": 0.0003, "dropout": 0.15, "rnn1": 64, "rnn2": 16, "conv_filters": 32, "kernel": 3, "bn": true}</t>
  </si>
  <si>
    <t>Macro + Sentiment (Indirect)||LSTM||lb=10||shift=1</t>
  </si>
  <si>
    <t>{"lr": 0.0005, "dropout": 0.15, "rnn1": 32, "rnn2": 32, "conv_filters": 0, "kernel": 0, "bn": false}</t>
  </si>
  <si>
    <t>Macro + Sentiment (Direct)||GRU||lb=90||shift=1</t>
  </si>
  <si>
    <t>{"lr": 0.001, "dropout": 0.05, "rnn1": 64, "rnn2": 48, "conv_filters": 0, "kernel": 0, "bn": false}</t>
  </si>
  <si>
    <t>Macro + Sentiment (Both)||CNN-LSTM||lb=5||shift=1</t>
  </si>
  <si>
    <t>{"lr": 0.0001, "dropout": 0.1, "rnn1": 32, "rnn2": 16, "conv_filters": 96, "kernel": 3, "bn": true}</t>
  </si>
  <si>
    <t>Macro + Event + Sentiment (Direct)||CNN-LSTM||lb=5||shift=1</t>
  </si>
  <si>
    <t>{"lr": 0.0003, "dropout": 0.1, "rnn1": 32, "rnn2": 64, "conv_filters": 96, "kernel": 3, "bn": false}</t>
  </si>
  <si>
    <t>Macro + Event + Sentiment (Both)||LSTM||lb=20||shift=1</t>
  </si>
  <si>
    <t>Macro + Sentiment (Both)||LSTM||lb=60||shift=1</t>
  </si>
  <si>
    <t>{"lr": 0.001, "dropout": 0.15, "rnn1": 32, "rnn2": 32, "conv_filters": 0, "kernel": 0, "bn": false}</t>
  </si>
  <si>
    <t>Macro Only||GRU||lb=10||shift=1</t>
  </si>
  <si>
    <t>Macro + Sentiment||GRU||lb=30||shift=1</t>
  </si>
  <si>
    <t>Macro + Event + Sentiment (Indirect)||CNN-LSTM||lb=5||shift=1</t>
  </si>
  <si>
    <t>{"lr": 0.0005, "dropout": 0.05, "rnn1": 32, "rnn2": 32, "conv_filters": 32, "kernel": 2, "bn": false}</t>
  </si>
  <si>
    <t>Macro + Sentiment (Both)||LSTM||lb=5||shift=1</t>
  </si>
  <si>
    <t>{"lr": 0.0001, "dropout": 0.1, "rnn1": 96, "rnn2": 48, "conv_filters": 0, "kernel": 0, "bn": false}</t>
  </si>
  <si>
    <t>Macro + Event + Sentiment (Indirect)||CNN-GRU||lb=90||shift=1</t>
  </si>
  <si>
    <t>{"lr": 0.001, "dropout": 0.05, "rnn1": 128, "rnn2": 16, "conv_filters": 96, "kernel": 5, "bn": false}</t>
  </si>
  <si>
    <t>Macro + Event + Sentiment (Both)||CNN-LSTM||lb=20||shift=1</t>
  </si>
  <si>
    <t>{"lr": 0.0005, "dropout": 0.2, "rnn1": 96, "rnn2": 24, "conv_filters": 32, "kernel": 2, "bn": false}</t>
  </si>
  <si>
    <t>Macro + Sentiment||CNN-LSTM||lb=30||shift=1</t>
  </si>
  <si>
    <t>Macro + Sentiment (Direct)||CNN-LSTM||lb=5||shift=1</t>
  </si>
  <si>
    <t>{"lr": 0.001, "dropout": 0.15, "rnn1": 48, "rnn2": 48, "conv_filters": 96, "kernel": 5, "bn": true}</t>
  </si>
  <si>
    <t>Macro + Sentiment||CNN-LSTM||lb=5||shift=1</t>
  </si>
  <si>
    <t>Macro + Sentiment (Indirect)||LSTM||lb=20||shift=1</t>
  </si>
  <si>
    <t>{"lr": 0.0003, "dropout": 0.05, "rnn1": 32, "rnn2": 32, "conv_filters": 0, "kernel": 0, "bn": false}</t>
  </si>
  <si>
    <t>Macro + Event + Sentiment (Both)||CNN-GRU||lb=30||shift=1</t>
  </si>
  <si>
    <t>{"lr": 0.0005, "dropout": 0.1, "rnn1": 128, "rnn2": 48, "conv_filters": 32, "kernel": 3, "bn": false}</t>
  </si>
  <si>
    <t>Macro + Event + Sentiment (Direct)||CNN-GRU||lb=90||shift=1</t>
  </si>
  <si>
    <t>{"lr": 0.001, "dropout": 0.1, "rnn1": 96, "rnn2": 64, "conv_filters": 64, "kernel": 5, "bn": false}</t>
  </si>
  <si>
    <t>Macro Only||LSTM||lb=10||shift=1</t>
  </si>
  <si>
    <t>Macro + Event + Sentiment (Indirect)||LSTM||lb=20||shift=1</t>
  </si>
  <si>
    <t>{"lr": 0.0003, "dropout": 0.15, "rnn1": 32, "rnn2": 32, "conv_filters": 0, "kernel": 0, "bn": false}</t>
  </si>
  <si>
    <t>Macro + Event + Sentiment (Indirect)||LSTM||lb=5||shift=1</t>
  </si>
  <si>
    <t>{"lr": 0.0001, "dropout": 0.15, "rnn1": 64, "rnn2": 32, "conv_filters": 0, "kernel": 0, "bn": false}</t>
  </si>
  <si>
    <t>Macro + Event + Sentiment (Direct)||LSTM||lb=30||shift=1</t>
  </si>
  <si>
    <t>{"lr": 0.0001, "dropout": 0.1, "rnn1": 48, "rnn2": 32, "conv_filters": 0, "kernel": 0, "bn": false}</t>
  </si>
  <si>
    <t>Macro + Event + Sentiment (Direct)||LSTM||lb=90||shift=1</t>
  </si>
  <si>
    <t>Macro + Event + Sentiment (Direct)||LSTM||lb=10||shift=1</t>
  </si>
  <si>
    <t>{"lr": 0.0003, "dropout": 0.1, "rnn1": 96, "rnn2": 48, "conv_filters": 0, "kernel": 0, "bn": false}</t>
  </si>
  <si>
    <t>Macro + Event + Sentiment (Indirect)||LSTM||lb=10||shift=1</t>
  </si>
  <si>
    <t>{"lr": 0.0003, "dropout": 0.15, "rnn1": 32, "rnn2": 48, "conv_filters": 0, "kernel": 0, "bn": false}</t>
  </si>
  <si>
    <t>Macro + Event||LSTM||lb=5||shift=1</t>
  </si>
  <si>
    <t>Macro + Event + Sentiment (Indirect)||GRU||lb=5||shift=1</t>
  </si>
  <si>
    <t>{"lr": 0.0005, "dropout": 0.2, "rnn1": 64, "rnn2": 64, "conv_filters": 0, "kernel": 0, "bn": false}</t>
  </si>
  <si>
    <t>Macro + Sentiment (Indirect)||CNN-GRU||lb=60||shift=1</t>
  </si>
  <si>
    <t>{"lr": 0.0001, "dropout": 0.2, "rnn1": 32, "rnn2": 64, "conv_filters": 32, "kernel": 2, "bn": false}</t>
  </si>
  <si>
    <t>Macro + Event||CNN-GRU||lb=10||shift=1</t>
  </si>
  <si>
    <t>Macro + Sentiment (Direct)||CNN-GRU||lb=10||shift=1</t>
  </si>
  <si>
    <t>{"lr": 0.0001, "dropout": 0.2, "rnn1": 48, "rnn2": 24, "conv_filters": 32, "kernel": 3, "bn": false}</t>
  </si>
  <si>
    <t>Macro + Event + Sentiment (Both)||GRU||lb=90||shift=1</t>
  </si>
  <si>
    <t>{"lr": 0.0003, "dropout": 0.05, "rnn1": 64, "rnn2": 48, "conv_filters": 0, "kernel": 0, "bn": false}</t>
  </si>
  <si>
    <t>Macro + Sentiment (Both)||GRU||lb=30||shift=1</t>
  </si>
  <si>
    <t>{"lr": 0.0001, "dropout": 0.15, "rnn1": 96, "rnn2": 24, "conv_filters": 0, "kernel": 0, "bn": false}</t>
  </si>
  <si>
    <t>Macro Only||CNN-GRU||lb=90||shift=1</t>
  </si>
  <si>
    <t>Macro + Event + Sentiment (Direct)||LSTM||lb=5||shift=1</t>
  </si>
  <si>
    <t>Macro + Event + Sentiment (Direct)||CNN-LSTM||lb=90||shift=1</t>
  </si>
  <si>
    <t>{"lr": 0.0003, "dropout": 0.05, "rnn1": 64, "rnn2": 48, "conv_filters": 96, "kernel": 2, "bn": true}</t>
  </si>
  <si>
    <t>Macro Only||GRU||lb=90||shift=1</t>
  </si>
  <si>
    <t>Macro + Sentiment (Indirect)||CNN-LSTM||lb=10||shift=1</t>
  </si>
  <si>
    <t>{"lr": 0.0005, "dropout": 0.05, "rnn1": 32, "rnn2": 64, "conv_filters": 32, "kernel": 3, "bn": true}</t>
  </si>
  <si>
    <t>Macro + Event + Sentiment (Both)||CNN-LSTM||lb=5||shift=1</t>
  </si>
  <si>
    <t>{"lr": 0.0001, "dropout": 0.2, "rnn1": 96, "rnn2": 16, "conv_filters": 32, "kernel": 5, "bn": false}</t>
  </si>
  <si>
    <t>Macro + Sentiment (Both)||CNN-LSTM||lb=10||shift=1</t>
  </si>
  <si>
    <t>{"lr": 0.0003, "dropout": 0.1, "rnn1": 32, "rnn2": 48, "conv_filters": 32, "kernel": 2, "bn": true}</t>
  </si>
  <si>
    <t>Macro + Event||CNN-LSTM||lb=5||shift=1</t>
  </si>
  <si>
    <t>Macro + Event + Sentiment (Direct)||GRU||lb=90||shift=1</t>
  </si>
  <si>
    <t>{"lr": 0.0003, "dropout": 0.2, "rnn1": 128, "rnn2": 64, "conv_filters": 0, "kernel": 0, "bn": false}</t>
  </si>
  <si>
    <t>Macro + Sentiment (Both)||LSTM||lb=30||shift=1</t>
  </si>
  <si>
    <t>{"lr": 0.001, "dropout": 0.05, "rnn1": 32, "rnn2": 48, "conv_filters": 0, "kernel": 0, "bn": false}</t>
  </si>
  <si>
    <t>Macro + Event + Sentiment (Direct)||CNN-LSTM||lb=10||shift=1</t>
  </si>
  <si>
    <t>{"lr": 0.0003, "dropout": 0.1, "rnn1": 128, "rnn2": 16, "conv_filters": 32, "kernel": 5, "bn": true}</t>
  </si>
  <si>
    <t>Macro + Sentiment (Both)||CNN-LSTM||lb=90||shift=1</t>
  </si>
  <si>
    <t>{"lr": 0.001, "dropout": 0.05, "rnn1": 96, "rnn2": 24, "conv_filters": 96, "kernel": 2, "bn": false}</t>
  </si>
  <si>
    <t>Macro + Sentiment||CNN-GRU||lb=5||shift=1</t>
  </si>
  <si>
    <t>Macro + Sentiment||GRU||lb=90||shift=1</t>
  </si>
  <si>
    <t>Macro + Sentiment (Indirect)||LSTM||lb=90||shift=1</t>
  </si>
  <si>
    <t>{"lr": 0.001, "dropout": 0.1, "rnn1": 48, "rnn2": 48, "conv_filters": 0, "kernel": 0, "bn": false}</t>
  </si>
  <si>
    <t>Macro + Sentiment (Direct)||LSTM||lb=5||shift=1</t>
  </si>
  <si>
    <t>{"lr": 0.0001, "dropout": 0.2, "rnn1": 32, "rnn2": 48, "conv_filters": 0, "kernel": 0, "bn": false}</t>
  </si>
  <si>
    <t>Macro Only||GRU||lb=20||shift=1</t>
  </si>
  <si>
    <t>Macro + Sentiment (Indirect)||GRU||lb=20||shift=1</t>
  </si>
  <si>
    <t>{"lr": 0.0005, "dropout": 0.2, "rnn1": 48, "rnn2": 32, "conv_filters": 0, "kernel": 0, "bn": false}</t>
  </si>
  <si>
    <t>Macro + Sentiment||LSTM||lb=20||shift=1</t>
  </si>
  <si>
    <t>Macro Only||CNN-LSTM||lb=10||shift=1</t>
  </si>
  <si>
    <t>Macro + Sentiment (Indirect)||CNN-LSTM||lb=60||shift=1</t>
  </si>
  <si>
    <t>{"lr": 0.001, "dropout": 0.15, "rnn1": 128, "rnn2": 64, "conv_filters": 96, "kernel": 5, "bn": true}</t>
  </si>
  <si>
    <t>Macro + Event + Sentiment (Direct)||CNN-LSTM||lb=30||shift=1</t>
  </si>
  <si>
    <t>{"lr": 0.001, "dropout": 0.15, "rnn1": 96, "rnn2": 48, "conv_filters": 32, "kernel": 3, "bn": false}</t>
  </si>
  <si>
    <t>Macro + Sentiment (Indirect)||GRU||lb=5||shift=1</t>
  </si>
  <si>
    <t>{"lr": 0.001, "dropout": 0.15, "rnn1": 64, "rnn2": 48, "conv_filters": 0, "kernel": 0, "bn": false}</t>
  </si>
  <si>
    <t>Macro + Sentiment (Both)||LSTM||lb=10||shift=1</t>
  </si>
  <si>
    <t>{"lr": 0.0005, "dropout": 0.2, "rnn1": 48, "rnn2": 24, "conv_filters": 0, "kernel": 0, "bn": false}</t>
  </si>
  <si>
    <t>Macro + Event + Sentiment (Indirect)||CNN-GRU||lb=5||shift=1</t>
  </si>
  <si>
    <t>{"lr": 0.001, "dropout": 0.05, "rnn1": 32, "rnn2": 32, "conv_filters": 32, "kernel": 5, "bn": false}</t>
  </si>
  <si>
    <t>Macro + Sentiment||LSTM||lb=60||shift=1</t>
  </si>
  <si>
    <t>Macro + Sentiment (Indirect)||GRU||lb=90||shift=1</t>
  </si>
  <si>
    <t>{"lr": 0.0005, "dropout": 0.2, "rnn1": 48, "rnn2": 64, "conv_filters": 0, "kernel": 0, "bn": false}</t>
  </si>
  <si>
    <t>Macro + Sentiment||LSTM||lb=10||shift=1</t>
  </si>
  <si>
    <t>Macro + Sentiment (Direct)||CNN-GRU||lb=90||shift=1</t>
  </si>
  <si>
    <t>{"lr": 0.0003, "dropout": 0.1, "rnn1": 128, "rnn2": 64, "conv_filters": 64, "kernel": 5, "bn": true}</t>
  </si>
  <si>
    <t>Macro + Sentiment (Both)||CNN-GRU||lb=60||shift=1</t>
  </si>
  <si>
    <t>{"lr": 0.0003, "dropout": 0.2, "rnn1": 96, "rnn2": 64, "conv_filters": 32, "kernel": 2, "bn": false}</t>
  </si>
  <si>
    <t>Macro + Event + Sentiment (Both)||LSTM||lb=60||shift=1</t>
  </si>
  <si>
    <t>Macro + Sentiment (Direct)||CNN-GRU||lb=5||shift=1</t>
  </si>
  <si>
    <t>{"lr": 0.0003, "dropout": 0.15, "rnn1": 48, "rnn2": 24, "conv_filters": 64, "kernel": 5, "bn": true}</t>
  </si>
  <si>
    <t>Macro + Event + Sentiment (Indirect)||CNN-LSTM||lb=60||shift=1</t>
  </si>
  <si>
    <t>{"lr": 0.0001, "dropout": 0.1, "rnn1": 128, "rnn2": 24, "conv_filters": 32, "kernel": 3, "bn": false}</t>
  </si>
  <si>
    <t>Macro + Event||GRU||lb=10||shift=1</t>
  </si>
  <si>
    <t>Macro Only||GRU||lb=5||shift=1</t>
  </si>
  <si>
    <t>Macro + Event + Sentiment (Direct)||CNN-GRU||lb=10||shift=1</t>
  </si>
  <si>
    <t>{"lr": 0.0003, "dropout": 0.2, "rnn1": 128, "rnn2": 16, "conv_filters": 32, "kernel": 2, "bn": true}</t>
  </si>
  <si>
    <t>Macro + Sentiment (Indirect)||GRU||lb=10||shift=1</t>
  </si>
  <si>
    <t>{"lr": 0.001, "dropout": 0.1, "rnn1": 32, "rnn2": 16, "conv_filters": 0, "kernel": 0, "bn": false}</t>
  </si>
  <si>
    <t>Macro + Sentiment (Indirect)||CNN-LSTM||lb=90||shift=1</t>
  </si>
  <si>
    <t>{"lr": 0.0005, "dropout": 0.1, "rnn1": 48, "rnn2": 32, "conv_filters": 64, "kernel": 3, "bn": true}</t>
  </si>
  <si>
    <t>Macro + Sentiment (Direct)||GRU||lb=10||shift=1</t>
  </si>
  <si>
    <t>{"lr": 0.0001, "dropout": 0.15, "rnn1": 48, "rnn2": 64, "conv_filters": 0, "kernel": 0, "bn": false}</t>
  </si>
  <si>
    <t>Macro + Event + Sentiment (Both)||LSTM||lb=30||shift=1</t>
  </si>
  <si>
    <t>{"lr": 0.0001, "dropout": 0.05, "rnn1": 128, "rnn2": 32, "conv_filters": 0, "kernel": 0, "bn": false}</t>
  </si>
  <si>
    <t>Macro + Sentiment (Direct)||LSTM||lb=10||shift=1</t>
  </si>
  <si>
    <t>{"lr": 0.001, "dropout": 0.2, "rnn1": 32, "rnn2": 48, "conv_filters": 0, "kernel": 0, "bn": false}</t>
  </si>
  <si>
    <t>Macro Only||LSTM||lb=90||shift=1</t>
  </si>
  <si>
    <t>Macro + Sentiment||CNN-LSTM||lb=20||shift=1</t>
  </si>
  <si>
    <t>Macro + Sentiment (Both)||GRU||lb=10||shift=1</t>
  </si>
  <si>
    <t>{"lr": 0.0001, "dropout": 0.2, "rnn1": 96, "rnn2": 24, "conv_filters": 0, "kernel": 0, "bn": false}</t>
  </si>
  <si>
    <t>Macro + Sentiment (Both)||LSTM||lb=90||shift=1</t>
  </si>
  <si>
    <t>{"lr": 0.0003, "dropout": 0.15, "rnn1": 96, "rnn2": 32, "conv_filters": 0, "kernel": 0, "bn": false}</t>
  </si>
  <si>
    <t>Macro Only||LSTM||lb=60||shift=1</t>
  </si>
  <si>
    <t>Macro + Sentiment||CNN-LSTM||lb=10||shift=1</t>
  </si>
  <si>
    <t>Macro + Event + Sentiment (Direct)||GRU||lb=10||shift=1</t>
  </si>
  <si>
    <t>Macro + Sentiment (Indirect)||GRU||lb=60||shift=1</t>
  </si>
  <si>
    <t>{"lr": 0.0001, "dropout": 0.15, "rnn1": 96, "rnn2": 32, "conv_filters": 0, "kernel": 0, "bn": false}</t>
  </si>
  <si>
    <t>Macro + Event||CNN-LSTM||lb=10||shift=1</t>
  </si>
  <si>
    <t>Macro + Event + Sentiment (Both)||CNN-LSTM||lb=60||shift=1</t>
  </si>
  <si>
    <t>{"lr": 0.0003, "dropout": 0.15, "rnn1": 96, "rnn2": 16, "conv_filters": 32, "kernel": 5, "bn": true}</t>
  </si>
  <si>
    <t>Macro + Sentiment (Both)||GRU||lb=60||shift=1</t>
  </si>
  <si>
    <t>Macro + Event||CNN-LSTM||lb=30||shift=1</t>
  </si>
  <si>
    <t>Macro + Sentiment (Direct)||GRU||lb=30||shift=1</t>
  </si>
  <si>
    <t>{"lr": 0.0001, "dropout": 0.2, "rnn1": 48, "rnn2": 64, "conv_filters": 0, "kernel": 0, "bn": false}</t>
  </si>
  <si>
    <t>Macro Only||CNN-GRU||lb=20||shift=1</t>
  </si>
  <si>
    <t>Macro + Event||LSTM||lb=60||shift=1</t>
  </si>
  <si>
    <t>Macro + Sentiment (Direct)||CNN-LSTM||lb=90||shift=1</t>
  </si>
  <si>
    <t>{"lr": 0.001, "dropout": 0.15, "rnn1": 96, "rnn2": 64, "conv_filters": 96, "kernel": 5, "bn": true}</t>
  </si>
  <si>
    <t>Macro + Sentiment||GRU||lb=5||shift=1</t>
  </si>
  <si>
    <t>Macro + Event + Sentiment (Both)||GRU||lb=60||shift=1</t>
  </si>
  <si>
    <t>{"lr": 0.001, "dropout": 0.05, "rnn1": 64, "rnn2": 24, "conv_filters": 0, "kernel": 0, "bn": false}</t>
  </si>
  <si>
    <t>Macro + Event||GRU||lb=20||shift=1</t>
  </si>
  <si>
    <t>Macro + Sentiment (Both)||CNN-GRU||lb=20||shift=1</t>
  </si>
  <si>
    <t>{"lr": 0.0005, "dropout": 0.05, "rnn1": 32, "rnn2": 24, "conv_filters": 96, "kernel": 2, "bn": true}</t>
  </si>
  <si>
    <t>Macro + Sentiment (Direct)||CNN-GRU||lb=30||shift=1</t>
  </si>
  <si>
    <t>{"lr": 0.001, "dropout": 0.05, "rnn1": 128, "rnn2": 16, "conv_filters": 64, "kernel": 5, "bn": true}</t>
  </si>
  <si>
    <t>Macro + Sentiment (Direct)||LSTM||lb=60||shift=1</t>
  </si>
  <si>
    <t>{"lr": 0.0003, "dropout": 0.2, "rnn1": 64, "rnn2": 64, "conv_filters": 0, "kernel": 0, "bn": false}</t>
  </si>
  <si>
    <t>Macro + Event + Sentiment (Indirect)||GRU||lb=90||shift=1</t>
  </si>
  <si>
    <t>Macro + Event + Sentiment (Indirect)||GRU||lb=30||shift=1</t>
  </si>
  <si>
    <t>{"lr": 0.0001, "dropout": 0.2, "rnn1": 64, "rnn2": 32, "conv_filters": 0, "kernel": 0, "bn": false}</t>
  </si>
  <si>
    <t>Macro + Sentiment||GRU||lb=60||shift=1</t>
  </si>
  <si>
    <t>Macro + Event + Sentiment (Both)||GRU||lb=20||shift=1</t>
  </si>
  <si>
    <t>{"lr": 0.001, "dropout": 0.2, "rnn1": 96, "rnn2": 48, "conv_filters": 0, "kernel": 0, "bn": false}</t>
  </si>
  <si>
    <t>Macro + Event + Sentiment (Both)||CNN-GRU||lb=60||shift=1</t>
  </si>
  <si>
    <t>{"lr": 0.0001, "dropout": 0.1, "rnn1": 64, "rnn2": 64, "conv_filters": 64, "kernel": 3, "bn": true}</t>
  </si>
  <si>
    <t>Macro + Event + Sentiment (Indirect)||CNN-GRU||lb=60||shift=1</t>
  </si>
  <si>
    <t>{"lr": 0.0005, "dropout": 0.1, "rnn1": 32, "rnn2": 16, "conv_filters": 96, "kernel": 3, "bn": true}</t>
  </si>
  <si>
    <t>Macro + Event||LSTM||lb=30||shift=1</t>
  </si>
  <si>
    <t>Macro + Sentiment (Direct)||GRU||lb=5||shift=1</t>
  </si>
  <si>
    <t>{"lr": 0.0005, "dropout": 0.2, "rnn1": 32, "rnn2": 48, "conv_filters": 0, "kernel": 0, "bn": false}</t>
  </si>
  <si>
    <t>Macro + Event||GRU||lb=30||shift=1</t>
  </si>
  <si>
    <t>Macro + Sentiment (Direct)||GRU||lb=20||shift=1</t>
  </si>
  <si>
    <t>{"lr": 0.0005, "dropout": 0.2, "rnn1": 64, "rnn2": 24, "conv_filters": 0, "kernel": 0, "bn": false}</t>
  </si>
  <si>
    <t>Macro Only||CNN-GRU||lb=60||shift=1</t>
  </si>
  <si>
    <t>Macro + Event + Sentiment (Direct)||GRU||lb=30||shift=1</t>
  </si>
  <si>
    <t>{"lr": 0.0005, "dropout": 0.1, "rnn1": 64, "rnn2": 48, "conv_filters": 0, "kernel": 0, "bn": false}</t>
  </si>
  <si>
    <t>Macro + Sentiment||CNN-LSTM||lb=60||shift=1</t>
  </si>
  <si>
    <t>Macro + Sentiment (Direct)||GRU||lb=60||shift=1</t>
  </si>
  <si>
    <t>{"lr": 0.0001, "dropout": 0.05, "rnn1": 48, "rnn2": 64, "conv_filters": 0, "kernel": 0, "bn": false}</t>
  </si>
  <si>
    <t>Macro + Sentiment (Direct)||CNN-GRU||lb=60||shift=1</t>
  </si>
  <si>
    <t>{"lr": 0.0001, "dropout": 0.15, "rnn1": 96, "rnn2": 32, "conv_filters": 32, "kernel": 2, "bn": false}</t>
  </si>
  <si>
    <t>Macro Only||GRU||lb=30||shift=1</t>
  </si>
  <si>
    <t>Macro + Event||CNN-GRU||lb=60||shift=1</t>
  </si>
  <si>
    <t>Macro + Sentiment (Both)||GRU||lb=90||shift=1</t>
  </si>
  <si>
    <t>{"lr": 0.0005, "dropout": 0.2, "rnn1": 64, "rnn2": 32, "conv_filters": 0, "kernel": 0, "bn": false}</t>
  </si>
  <si>
    <t>Macro + Sentiment||CNN-GRU||lb=90||shift=1</t>
  </si>
  <si>
    <t>Macro + Sentiment (Both)||GRU||lb=5||shift=1</t>
  </si>
  <si>
    <t>{"lr": 0.001, "dropout": 0.2, "rnn1": 64, "rnn2": 32, "conv_filters": 0, "kernel": 0, "bn": false}</t>
  </si>
  <si>
    <t>Macro + Event||CNN-GRU||lb=30||shift=1</t>
  </si>
  <si>
    <t>Macro + Event + Sentiment (Both)||GRU||lb=10||shift=1</t>
  </si>
  <si>
    <t>{"lr": 0.0003, "dropout": 0.2, "rnn1": 96, "rnn2": 48, "conv_filters": 0, "kernel": 0, "bn": false}</t>
  </si>
  <si>
    <t>Macro + Event + Sentiment (Indirect)||LSTM||lb=60||shift=1</t>
  </si>
  <si>
    <t>{"lr": 0.0005, "dropout": 0.15, "rnn1": 32, "rnn2": 48, "conv_filters": 0, "kernel": 0, "bn": false}</t>
  </si>
  <si>
    <t>Macro Only||GRU||lb=60||shift=1</t>
  </si>
  <si>
    <t>Macro Only||CNN-LSTM||lb=5||shift=1</t>
  </si>
  <si>
    <t>Macro + Sentiment (Direct)||CNN-GRU||lb=20||shift=1</t>
  </si>
  <si>
    <t>{"lr": 0.0005, "dropout": 0.1, "rnn1": 96, "rnn2": 64, "conv_filters": 64, "kernel": 2, "bn": true}</t>
  </si>
  <si>
    <t>Macro + Sentiment (Indirect)||CNN-GRU||lb=30||shift=1</t>
  </si>
  <si>
    <t>{"lr": 0.0001, "dropout": 0.15, "rnn1": 64, "rnn2": 32, "conv_filters": 96, "kernel": 2, "bn": false}</t>
  </si>
  <si>
    <t>Macro + Event + Sentiment (Direct)||GRU||lb=5||shift=1</t>
  </si>
  <si>
    <t>{"lr": 0.0005, "dropout": 0.05, "rnn1": 32, "rnn2": 48, "conv_filters": 0, "kernel": 0, "bn": false}</t>
  </si>
  <si>
    <t>Macro + Sentiment (Both)||GRU||lb=20||shift=1</t>
  </si>
  <si>
    <t>{"lr": 0.0001, "dropout": 0.1, "rnn1": 32, "rnn2": 48, "conv_filters": 0, "kernel": 0, "bn": false}</t>
  </si>
  <si>
    <t>Macro + Sentiment||GRU||lb=20||shift=1</t>
  </si>
  <si>
    <t>Lookback</t>
    <phoneticPr fontId="1" type="noConversion"/>
  </si>
  <si>
    <t>Model</t>
    <phoneticPr fontId="1" type="noConversion"/>
  </si>
  <si>
    <t>Feature Case</t>
    <phoneticPr fontId="1" type="noConversion"/>
  </si>
  <si>
    <t>Feature Case (Order)</t>
    <phoneticPr fontId="1" type="noConversion"/>
  </si>
  <si>
    <t>Radar Chart</t>
    <phoneticPr fontId="1" type="noConversion"/>
  </si>
  <si>
    <t>Best Model</t>
    <phoneticPr fontId="1" type="noConversion"/>
  </si>
  <si>
    <t>Best Feature Case</t>
    <phoneticPr fontId="1" type="noConversion"/>
  </si>
  <si>
    <t>Feature Case</t>
    <phoneticPr fontId="1" type="noConversion"/>
  </si>
  <si>
    <t>Scaled Sum</t>
    <phoneticPr fontId="1" type="noConversion"/>
  </si>
  <si>
    <t>Scaled Sum</t>
    <phoneticPr fontId="1" type="noConversion"/>
  </si>
  <si>
    <t>Best Lookback</t>
    <phoneticPr fontId="1" type="noConversion"/>
  </si>
  <si>
    <t>USD_KRW 종가</t>
  </si>
  <si>
    <t>USD_KRW 시가</t>
  </si>
  <si>
    <t>KOSPI 종가</t>
  </si>
  <si>
    <t>KOSPI 거래량</t>
  </si>
  <si>
    <t>KOSDAQ 종가</t>
  </si>
  <si>
    <t>KOSDAQ 거래량</t>
  </si>
  <si>
    <t>WTI Price</t>
  </si>
  <si>
    <t>XAU Price</t>
  </si>
  <si>
    <t>DJI 종가</t>
  </si>
  <si>
    <t>DJI 거래량</t>
  </si>
  <si>
    <t>SP500 종가</t>
  </si>
  <si>
    <t>M1</t>
  </si>
  <si>
    <t>M2</t>
  </si>
  <si>
    <t>CPI</t>
  </si>
  <si>
    <t>PPI</t>
  </si>
  <si>
    <t>ksvkospi 종가</t>
  </si>
  <si>
    <t>미국달러선물인버스</t>
  </si>
  <si>
    <t>usd_jpy</t>
  </si>
  <si>
    <t>usd_cny</t>
  </si>
  <si>
    <t>us10y</t>
  </si>
  <si>
    <t>copper</t>
  </si>
  <si>
    <t>aluminum</t>
  </si>
  <si>
    <t>vix</t>
  </si>
  <si>
    <t>move</t>
  </si>
  <si>
    <t>ovx</t>
  </si>
  <si>
    <t>한국 정책금리</t>
  </si>
  <si>
    <t>미국 정책금리</t>
  </si>
  <si>
    <t>경상수지</t>
  </si>
  <si>
    <t>nickel_price</t>
  </si>
  <si>
    <t>count</t>
  </si>
  <si>
    <t>mean</t>
  </si>
  <si>
    <t>std</t>
  </si>
  <si>
    <t>min</t>
  </si>
  <si>
    <t>max</t>
  </si>
  <si>
    <t>RandomWalk</t>
  </si>
  <si>
    <t>SARIMA</t>
  </si>
  <si>
    <t>XGBoost</t>
  </si>
  <si>
    <t>RandomForest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</si>
</sst>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4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2" fillId="0" borderId="0" xfId="0" applyNumberFormat="1" applyFont="1">
      <alignment vertical="center"/>
    </xf>
    <xf numFmtId="176" fontId="3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5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vertical="center" wrapText="1"/>
    </xf>
    <xf numFmtId="11" fontId="6" fillId="0" borderId="5" xfId="0" applyNumberFormat="1" applyFont="1" applyBorder="1" applyAlignment="1">
      <alignment vertical="center" wrapText="1"/>
    </xf>
    <xf numFmtId="9" fontId="5" fillId="0" borderId="5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/>
    <xf numFmtId="176" fontId="0" fillId="0" borderId="1" xfId="0" applyNumberFormat="1" applyBorder="1" applyAlignment="1"/>
    <xf numFmtId="0" fontId="0" fillId="0" borderId="1" xfId="0" applyBorder="1" applyAlignment="1"/>
    <xf numFmtId="176" fontId="7" fillId="0" borderId="1" xfId="0" applyNumberFormat="1" applyFont="1" applyBorder="1" applyAlignment="1"/>
    <xf numFmtId="176" fontId="3" fillId="0" borderId="1" xfId="0" applyNumberFormat="1" applyFont="1" applyBorder="1" applyAlignment="1"/>
  </cellXfs>
  <cellStyles count="1">
    <cellStyle name="표준" xfId="0" builtinId="0"/>
  </cellStyles>
  <dxfs count="1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A754-2062-4F72-8815-E09A9D231867}">
  <dimension ref="A1:E5"/>
  <sheetViews>
    <sheetView workbookViewId="0">
      <selection activeCell="I10" sqref="I10"/>
    </sheetView>
  </sheetViews>
  <sheetFormatPr defaultRowHeight="16.899999999999999" x14ac:dyDescent="0.6"/>
  <cols>
    <col min="1" max="1" width="13.0625" style="10" bestFit="1" customWidth="1"/>
    <col min="2" max="4" width="8.25" style="10" bestFit="1" customWidth="1"/>
    <col min="5" max="5" width="9.25" style="10" bestFit="1" customWidth="1"/>
    <col min="6" max="16384" width="9" style="10"/>
  </cols>
  <sheetData>
    <row r="1" spans="1:5" x14ac:dyDescent="0.6">
      <c r="A1" s="26" t="s">
        <v>46</v>
      </c>
      <c r="B1" s="26" t="s">
        <v>45</v>
      </c>
      <c r="C1" s="26"/>
      <c r="D1" s="26"/>
      <c r="E1" s="26" t="s">
        <v>33</v>
      </c>
    </row>
    <row r="2" spans="1:5" x14ac:dyDescent="0.6">
      <c r="A2" s="26"/>
      <c r="B2" s="1" t="s">
        <v>28</v>
      </c>
      <c r="C2" s="1" t="s">
        <v>29</v>
      </c>
      <c r="D2" s="1" t="s">
        <v>30</v>
      </c>
      <c r="E2" s="26"/>
    </row>
    <row r="3" spans="1:5" ht="33.75" x14ac:dyDescent="0.6">
      <c r="A3" s="1" t="s">
        <v>31</v>
      </c>
      <c r="B3" s="11" t="s">
        <v>35</v>
      </c>
      <c r="C3" s="11" t="s">
        <v>36</v>
      </c>
      <c r="D3" s="11" t="s">
        <v>37</v>
      </c>
      <c r="E3" s="12" t="s">
        <v>38</v>
      </c>
    </row>
    <row r="4" spans="1:5" ht="33.75" x14ac:dyDescent="0.6">
      <c r="A4" s="1" t="s">
        <v>32</v>
      </c>
      <c r="B4" s="11" t="s">
        <v>39</v>
      </c>
      <c r="C4" s="11" t="s">
        <v>40</v>
      </c>
      <c r="D4" s="11" t="s">
        <v>41</v>
      </c>
      <c r="E4" s="11" t="s">
        <v>42</v>
      </c>
    </row>
    <row r="5" spans="1:5" ht="33.75" x14ac:dyDescent="0.6">
      <c r="A5" s="1" t="s">
        <v>44</v>
      </c>
      <c r="B5" s="1" t="s">
        <v>34</v>
      </c>
      <c r="C5" s="1" t="s">
        <v>34</v>
      </c>
      <c r="D5" s="1" t="s">
        <v>34</v>
      </c>
      <c r="E5" s="11" t="s">
        <v>43</v>
      </c>
    </row>
  </sheetData>
  <mergeCells count="3">
    <mergeCell ref="B1:D1"/>
    <mergeCell ref="E1:E2"/>
    <mergeCell ref="A1:A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CF9-AD96-40C9-BE9B-65B4E38096DC}">
  <dimension ref="A1:AD9"/>
  <sheetViews>
    <sheetView workbookViewId="0">
      <selection sqref="A1:XFD1048576"/>
    </sheetView>
  </sheetViews>
  <sheetFormatPr defaultRowHeight="16.899999999999999" x14ac:dyDescent="0.6"/>
  <sheetData>
    <row r="1" spans="1:30" ht="31.5" x14ac:dyDescent="0.6">
      <c r="A1" s="22"/>
      <c r="B1" s="22" t="s">
        <v>535</v>
      </c>
      <c r="C1" s="22" t="s">
        <v>536</v>
      </c>
      <c r="D1" s="22" t="s">
        <v>537</v>
      </c>
      <c r="E1" s="22" t="s">
        <v>538</v>
      </c>
      <c r="F1" s="22" t="s">
        <v>539</v>
      </c>
      <c r="G1" s="22" t="s">
        <v>540</v>
      </c>
      <c r="H1" s="22" t="s">
        <v>541</v>
      </c>
      <c r="I1" s="22" t="s">
        <v>542</v>
      </c>
      <c r="J1" s="22" t="s">
        <v>543</v>
      </c>
      <c r="K1" s="22" t="s">
        <v>544</v>
      </c>
      <c r="L1" s="22" t="s">
        <v>545</v>
      </c>
      <c r="M1" s="22" t="s">
        <v>546</v>
      </c>
      <c r="N1" s="22" t="s">
        <v>547</v>
      </c>
      <c r="O1" s="22" t="s">
        <v>548</v>
      </c>
      <c r="P1" s="22" t="s">
        <v>549</v>
      </c>
      <c r="Q1" s="22" t="s">
        <v>550</v>
      </c>
      <c r="R1" s="22" t="s">
        <v>551</v>
      </c>
      <c r="S1" s="22" t="s">
        <v>552</v>
      </c>
      <c r="T1" s="22" t="s">
        <v>553</v>
      </c>
      <c r="U1" s="22" t="s">
        <v>554</v>
      </c>
      <c r="V1" s="22" t="s">
        <v>555</v>
      </c>
      <c r="W1" s="22" t="s">
        <v>556</v>
      </c>
      <c r="X1" s="22" t="s">
        <v>557</v>
      </c>
      <c r="Y1" s="22" t="s">
        <v>558</v>
      </c>
      <c r="Z1" s="22" t="s">
        <v>559</v>
      </c>
      <c r="AA1" s="22" t="s">
        <v>560</v>
      </c>
      <c r="AB1" s="22" t="s">
        <v>561</v>
      </c>
      <c r="AC1" s="22" t="s">
        <v>562</v>
      </c>
      <c r="AD1" s="22" t="s">
        <v>563</v>
      </c>
    </row>
    <row r="2" spans="1:30" x14ac:dyDescent="0.6">
      <c r="A2" s="22" t="s">
        <v>564</v>
      </c>
      <c r="B2" s="23">
        <v>1186</v>
      </c>
      <c r="C2" s="23">
        <v>1186</v>
      </c>
      <c r="D2" s="23">
        <v>1186</v>
      </c>
      <c r="E2" s="24">
        <v>1186</v>
      </c>
      <c r="F2" s="23">
        <v>1186</v>
      </c>
      <c r="G2" s="24">
        <v>1186</v>
      </c>
      <c r="H2" s="23">
        <v>1186</v>
      </c>
      <c r="I2" s="23">
        <v>1186</v>
      </c>
      <c r="J2" s="23">
        <v>1186</v>
      </c>
      <c r="K2" s="24">
        <v>1186</v>
      </c>
      <c r="L2" s="23">
        <v>1186</v>
      </c>
      <c r="M2" s="23">
        <v>1186</v>
      </c>
      <c r="N2" s="23">
        <v>1186</v>
      </c>
      <c r="O2" s="23">
        <v>1186</v>
      </c>
      <c r="P2" s="23">
        <v>1186</v>
      </c>
      <c r="Q2" s="23">
        <v>1186</v>
      </c>
      <c r="R2" s="23">
        <v>1186</v>
      </c>
      <c r="S2" s="23">
        <v>1186</v>
      </c>
      <c r="T2" s="23">
        <v>1186</v>
      </c>
      <c r="U2" s="23">
        <v>1186</v>
      </c>
      <c r="V2" s="23">
        <v>1186</v>
      </c>
      <c r="W2" s="23">
        <v>1186</v>
      </c>
      <c r="X2" s="23">
        <v>1186</v>
      </c>
      <c r="Y2" s="23">
        <v>1186</v>
      </c>
      <c r="Z2" s="23">
        <v>1186</v>
      </c>
      <c r="AA2" s="23">
        <v>1186</v>
      </c>
      <c r="AB2" s="23">
        <v>1186</v>
      </c>
      <c r="AC2" s="23">
        <v>1186</v>
      </c>
      <c r="AD2" s="23">
        <v>1186</v>
      </c>
    </row>
    <row r="3" spans="1:30" x14ac:dyDescent="0.6">
      <c r="A3" s="22" t="s">
        <v>565</v>
      </c>
      <c r="B3" s="23">
        <v>1256.282968</v>
      </c>
      <c r="C3" s="23">
        <v>1256.633221</v>
      </c>
      <c r="D3" s="23">
        <v>2596.0734400000001</v>
      </c>
      <c r="E3" s="24">
        <v>713186700</v>
      </c>
      <c r="F3" s="23">
        <v>841.16011800000001</v>
      </c>
      <c r="G3" s="24">
        <v>1306049000</v>
      </c>
      <c r="H3" s="23">
        <v>69.533439999999999</v>
      </c>
      <c r="I3" s="23">
        <v>1937.514081</v>
      </c>
      <c r="J3" s="23">
        <v>33603.138786000003</v>
      </c>
      <c r="K3" s="24">
        <v>368743200</v>
      </c>
      <c r="L3" s="23">
        <v>4250.1796709999999</v>
      </c>
      <c r="M3" s="23">
        <v>1205.2178570000001</v>
      </c>
      <c r="N3" s="23">
        <v>3564.9784549999999</v>
      </c>
      <c r="O3" s="23">
        <v>2.7704049999999998</v>
      </c>
      <c r="P3" s="23">
        <v>3.5202360000000001</v>
      </c>
      <c r="Q3" s="23">
        <v>20.305084000000001</v>
      </c>
      <c r="R3" s="23">
        <v>7820.4426640000001</v>
      </c>
      <c r="S3" s="23">
        <v>127.855599</v>
      </c>
      <c r="T3" s="23">
        <v>6.8672630000000003</v>
      </c>
      <c r="U3" s="23">
        <v>0.26776899999999998</v>
      </c>
      <c r="V3" s="23">
        <v>3.8209360000000001</v>
      </c>
      <c r="W3" s="23">
        <v>2313.5467960000001</v>
      </c>
      <c r="X3" s="23">
        <v>21.438034999999999</v>
      </c>
      <c r="Y3" s="23">
        <v>93.222091000000006</v>
      </c>
      <c r="Z3" s="23">
        <v>44.723179000000002</v>
      </c>
      <c r="AA3" s="23">
        <v>2.0358350000000001</v>
      </c>
      <c r="AB3" s="23">
        <v>2.6045530000000001</v>
      </c>
      <c r="AC3" s="23">
        <v>5.1232860000000002</v>
      </c>
      <c r="AD3" s="23">
        <v>27.092645000000001</v>
      </c>
    </row>
    <row r="4" spans="1:30" x14ac:dyDescent="0.6">
      <c r="A4" s="22" t="s">
        <v>566</v>
      </c>
      <c r="B4" s="23">
        <v>93.743223</v>
      </c>
      <c r="C4" s="23">
        <v>93.787299000000004</v>
      </c>
      <c r="D4" s="23">
        <v>339.28225099999997</v>
      </c>
      <c r="E4" s="24">
        <v>355485100</v>
      </c>
      <c r="F4" s="23">
        <v>114.428855</v>
      </c>
      <c r="G4" s="24">
        <v>521040900</v>
      </c>
      <c r="H4" s="23">
        <v>23.291944999999998</v>
      </c>
      <c r="I4" s="23">
        <v>263.59060899999997</v>
      </c>
      <c r="J4" s="23">
        <v>4657.7889500000001</v>
      </c>
      <c r="K4" s="24">
        <v>112875600</v>
      </c>
      <c r="L4" s="23">
        <v>764.02193799999998</v>
      </c>
      <c r="M4" s="23">
        <v>119.92907599999999</v>
      </c>
      <c r="N4" s="23">
        <v>356.67435899999998</v>
      </c>
      <c r="O4" s="23">
        <v>1.7111179999999999</v>
      </c>
      <c r="P4" s="23">
        <v>3.7040280000000001</v>
      </c>
      <c r="Q4" s="23">
        <v>6.6047669999999998</v>
      </c>
      <c r="R4" s="23">
        <v>1478.855268</v>
      </c>
      <c r="S4" s="23">
        <v>18.424688</v>
      </c>
      <c r="T4" s="23">
        <v>0.31852799999999998</v>
      </c>
      <c r="U4" s="23">
        <v>0.13967099999999999</v>
      </c>
      <c r="V4" s="23">
        <v>0.63115900000000003</v>
      </c>
      <c r="W4" s="23">
        <v>420.71979800000003</v>
      </c>
      <c r="X4" s="23">
        <v>8.3682239999999997</v>
      </c>
      <c r="Y4" s="23">
        <v>32.113382000000001</v>
      </c>
      <c r="Z4" s="23">
        <v>24.293873000000001</v>
      </c>
      <c r="AA4" s="23">
        <v>1.3060160000000001</v>
      </c>
      <c r="AB4" s="23">
        <v>2.318343</v>
      </c>
      <c r="AC4" s="23">
        <v>4.1215229999999998</v>
      </c>
      <c r="AD4" s="23">
        <v>6.3718810000000001</v>
      </c>
    </row>
    <row r="5" spans="1:30" x14ac:dyDescent="0.6">
      <c r="A5" s="22" t="s">
        <v>567</v>
      </c>
      <c r="B5" s="23">
        <v>1083.53</v>
      </c>
      <c r="C5" s="23">
        <v>1083.8699999999999</v>
      </c>
      <c r="D5" s="23">
        <v>1457.64</v>
      </c>
      <c r="E5" s="24">
        <v>824510</v>
      </c>
      <c r="F5" s="23">
        <v>428.35</v>
      </c>
      <c r="G5" s="24">
        <v>619620000</v>
      </c>
      <c r="H5" s="23">
        <v>7.79</v>
      </c>
      <c r="I5" s="23">
        <v>1471</v>
      </c>
      <c r="J5" s="23">
        <v>18591.93</v>
      </c>
      <c r="K5" s="24">
        <v>117040000</v>
      </c>
      <c r="L5" s="23">
        <v>2237.4</v>
      </c>
      <c r="M5" s="23">
        <v>889.58360000000005</v>
      </c>
      <c r="N5" s="23">
        <v>2875.9288000000001</v>
      </c>
      <c r="O5" s="23">
        <v>-0.3</v>
      </c>
      <c r="P5" s="23">
        <v>-1.8</v>
      </c>
      <c r="Q5" s="23">
        <v>11.73</v>
      </c>
      <c r="R5" s="23">
        <v>5050</v>
      </c>
      <c r="S5" s="23">
        <v>102.67800099999999</v>
      </c>
      <c r="T5" s="23">
        <v>6.3114999999999997</v>
      </c>
      <c r="U5" s="23">
        <v>4.99E-2</v>
      </c>
      <c r="V5" s="23">
        <v>2.1194999999999999</v>
      </c>
      <c r="W5" s="23">
        <v>1452</v>
      </c>
      <c r="X5" s="23">
        <v>11.86</v>
      </c>
      <c r="Y5" s="23">
        <v>36.619999</v>
      </c>
      <c r="Z5" s="23">
        <v>23.73</v>
      </c>
      <c r="AA5" s="23">
        <v>0.5</v>
      </c>
      <c r="AB5" s="23">
        <v>0.25</v>
      </c>
      <c r="AC5" s="23">
        <v>-4.2050000000000001</v>
      </c>
      <c r="AD5" s="23">
        <v>14.66863</v>
      </c>
    </row>
    <row r="6" spans="1:30" x14ac:dyDescent="0.6">
      <c r="A6" s="25">
        <v>0.25</v>
      </c>
      <c r="B6" s="23">
        <v>1181.8225</v>
      </c>
      <c r="C6" s="23">
        <v>1182.46</v>
      </c>
      <c r="D6" s="23">
        <v>2399.31</v>
      </c>
      <c r="E6" s="24">
        <v>462902500</v>
      </c>
      <c r="F6" s="23">
        <v>762.18499999999995</v>
      </c>
      <c r="G6" s="24">
        <v>952470000</v>
      </c>
      <c r="H6" s="23">
        <v>62.09</v>
      </c>
      <c r="I6" s="23">
        <v>1778.3074999999999</v>
      </c>
      <c r="J6" s="23">
        <v>31022.087500000001</v>
      </c>
      <c r="K6" s="24">
        <v>301605000</v>
      </c>
      <c r="L6" s="23">
        <v>3810.15</v>
      </c>
      <c r="M6" s="23">
        <v>1179.4340999999999</v>
      </c>
      <c r="N6" s="23">
        <v>3237.4166</v>
      </c>
      <c r="O6" s="23">
        <v>1.3</v>
      </c>
      <c r="P6" s="23">
        <v>0.7</v>
      </c>
      <c r="Q6" s="23">
        <v>16.5625</v>
      </c>
      <c r="R6" s="23">
        <v>6510</v>
      </c>
      <c r="S6" s="23">
        <v>109.376251</v>
      </c>
      <c r="T6" s="23">
        <v>6.522125</v>
      </c>
      <c r="U6" s="23">
        <v>0.14149999999999999</v>
      </c>
      <c r="V6" s="23">
        <v>3.5529999999999999</v>
      </c>
      <c r="W6" s="23">
        <v>2126</v>
      </c>
      <c r="X6" s="23">
        <v>15.855</v>
      </c>
      <c r="Y6" s="23">
        <v>61.209999000000003</v>
      </c>
      <c r="Z6" s="23">
        <v>34.279998999999997</v>
      </c>
      <c r="AA6" s="23">
        <v>0.5</v>
      </c>
      <c r="AB6" s="23">
        <v>0.25</v>
      </c>
      <c r="AC6" s="23">
        <v>1.9419999999999999</v>
      </c>
      <c r="AD6" s="23">
        <v>23.218098000000001</v>
      </c>
    </row>
    <row r="7" spans="1:30" x14ac:dyDescent="0.6">
      <c r="A7" s="25">
        <v>0.5</v>
      </c>
      <c r="B7" s="23">
        <v>1265.6099999999999</v>
      </c>
      <c r="C7" s="23">
        <v>1266.325</v>
      </c>
      <c r="D7" s="23">
        <v>2568.48</v>
      </c>
      <c r="E7" s="24">
        <v>613765000</v>
      </c>
      <c r="F7" s="23">
        <v>847.505</v>
      </c>
      <c r="G7" s="24">
        <v>1170000000</v>
      </c>
      <c r="H7" s="23">
        <v>73.734999999999999</v>
      </c>
      <c r="I7" s="23">
        <v>1870.39</v>
      </c>
      <c r="J7" s="23">
        <v>33913.620000000003</v>
      </c>
      <c r="K7" s="24">
        <v>343325000</v>
      </c>
      <c r="L7" s="23">
        <v>4200.01</v>
      </c>
      <c r="M7" s="23">
        <v>1217.7488000000001</v>
      </c>
      <c r="N7" s="23">
        <v>3675.4263000000001</v>
      </c>
      <c r="O7" s="23">
        <v>2.7</v>
      </c>
      <c r="P7" s="23">
        <v>1.9</v>
      </c>
      <c r="Q7" s="23">
        <v>18.38</v>
      </c>
      <c r="R7" s="23">
        <v>7637.5</v>
      </c>
      <c r="S7" s="23">
        <v>130.802505</v>
      </c>
      <c r="T7" s="23">
        <v>6.9441499999999996</v>
      </c>
      <c r="U7" s="23">
        <v>0.29149999999999998</v>
      </c>
      <c r="V7" s="23">
        <v>3.8995000000000002</v>
      </c>
      <c r="W7" s="23">
        <v>2302.5</v>
      </c>
      <c r="X7" s="23">
        <v>19.629999000000002</v>
      </c>
      <c r="Y7" s="23">
        <v>98.260002</v>
      </c>
      <c r="Z7" s="23">
        <v>39.004998999999998</v>
      </c>
      <c r="AA7" s="23">
        <v>1.75</v>
      </c>
      <c r="AB7" s="23">
        <v>1.75</v>
      </c>
      <c r="AC7" s="23">
        <v>6.0730000000000004</v>
      </c>
      <c r="AD7" s="23">
        <v>28.4</v>
      </c>
    </row>
    <row r="8" spans="1:30" x14ac:dyDescent="0.6">
      <c r="A8" s="25">
        <v>0.75</v>
      </c>
      <c r="B8" s="23">
        <v>1333.02</v>
      </c>
      <c r="C8" s="23">
        <v>1333.395</v>
      </c>
      <c r="D8" s="23">
        <v>2758.6374999999998</v>
      </c>
      <c r="E8" s="24">
        <v>866202500</v>
      </c>
      <c r="F8" s="23">
        <v>919.41250000000002</v>
      </c>
      <c r="G8" s="24">
        <v>1500000000</v>
      </c>
      <c r="H8" s="23">
        <v>82.03</v>
      </c>
      <c r="I8" s="23">
        <v>1985.4549999999999</v>
      </c>
      <c r="J8" s="23">
        <v>35627.822500000002</v>
      </c>
      <c r="K8" s="24">
        <v>402165000</v>
      </c>
      <c r="L8" s="23">
        <v>4591.0150000000003</v>
      </c>
      <c r="M8" s="23">
        <v>1290.6261999999999</v>
      </c>
      <c r="N8" s="23">
        <v>3817.9153000000001</v>
      </c>
      <c r="O8" s="23">
        <v>3.7</v>
      </c>
      <c r="P8" s="23">
        <v>7.375</v>
      </c>
      <c r="Q8" s="23">
        <v>22.414999999999999</v>
      </c>
      <c r="R8" s="23">
        <v>9010</v>
      </c>
      <c r="S8" s="23">
        <v>145.34099599999999</v>
      </c>
      <c r="T8" s="23">
        <v>7.1455000000000002</v>
      </c>
      <c r="U8" s="23">
        <v>0.40100000000000002</v>
      </c>
      <c r="V8" s="23">
        <v>4.2887500000000003</v>
      </c>
      <c r="W8" s="23">
        <v>2534.125</v>
      </c>
      <c r="X8" s="23">
        <v>25.022500999999998</v>
      </c>
      <c r="Y8" s="23">
        <v>119.404999</v>
      </c>
      <c r="Z8" s="23">
        <v>47.484999999999999</v>
      </c>
      <c r="AA8" s="23">
        <v>3.5</v>
      </c>
      <c r="AB8" s="23">
        <v>5.25</v>
      </c>
      <c r="AC8" s="23">
        <v>7.3869999999999996</v>
      </c>
      <c r="AD8" s="23">
        <v>28.739625</v>
      </c>
    </row>
    <row r="9" spans="1:30" x14ac:dyDescent="0.6">
      <c r="A9" s="22" t="s">
        <v>568</v>
      </c>
      <c r="B9" s="23">
        <v>1472.5</v>
      </c>
      <c r="C9" s="23">
        <v>1471.1</v>
      </c>
      <c r="D9" s="23">
        <v>3305.21</v>
      </c>
      <c r="E9" s="24">
        <v>3460000000</v>
      </c>
      <c r="F9" s="23">
        <v>1060</v>
      </c>
      <c r="G9" s="24">
        <v>5070000000</v>
      </c>
      <c r="H9" s="23">
        <v>126.47</v>
      </c>
      <c r="I9" s="23">
        <v>2786.19</v>
      </c>
      <c r="J9" s="23">
        <v>45014.04</v>
      </c>
      <c r="K9" s="24">
        <v>1220000000</v>
      </c>
      <c r="L9" s="23">
        <v>6090.27</v>
      </c>
      <c r="M9" s="23">
        <v>1371.9209000000001</v>
      </c>
      <c r="N9" s="23">
        <v>4110.7790000000005</v>
      </c>
      <c r="O9" s="23">
        <v>6.3</v>
      </c>
      <c r="P9" s="23">
        <v>10</v>
      </c>
      <c r="Q9" s="23">
        <v>69.239999999999995</v>
      </c>
      <c r="R9" s="23">
        <v>10775</v>
      </c>
      <c r="S9" s="23">
        <v>161.60699500000001</v>
      </c>
      <c r="T9" s="23">
        <v>7.3277999999999999</v>
      </c>
      <c r="U9" s="23">
        <v>0.49880000000000002</v>
      </c>
      <c r="V9" s="23">
        <v>5.1189999999999998</v>
      </c>
      <c r="W9" s="23">
        <v>3873</v>
      </c>
      <c r="X9" s="23">
        <v>82.690002000000007</v>
      </c>
      <c r="Y9" s="23">
        <v>182.63999899999999</v>
      </c>
      <c r="Z9" s="23">
        <v>325.14999399999999</v>
      </c>
      <c r="AA9" s="23">
        <v>3.5</v>
      </c>
      <c r="AB9" s="23">
        <v>5.5</v>
      </c>
      <c r="AC9" s="23">
        <v>13.096</v>
      </c>
      <c r="AD9" s="23">
        <v>67.5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831A9-1CE7-48A8-9FBB-9EEC2D4069AF}">
  <dimension ref="A1:C16"/>
  <sheetViews>
    <sheetView workbookViewId="0">
      <selection activeCell="E22" sqref="E22"/>
    </sheetView>
  </sheetViews>
  <sheetFormatPr defaultRowHeight="16.899999999999999" x14ac:dyDescent="0.6"/>
  <cols>
    <col min="1" max="1" width="21.75" bestFit="1" customWidth="1"/>
    <col min="2" max="2" width="22.625" bestFit="1" customWidth="1"/>
    <col min="3" max="3" width="21.3125" bestFit="1" customWidth="1"/>
  </cols>
  <sheetData>
    <row r="1" spans="1:3" x14ac:dyDescent="0.6">
      <c r="A1" s="6" t="s">
        <v>47</v>
      </c>
      <c r="B1" s="6" t="s">
        <v>48</v>
      </c>
      <c r="C1" s="6" t="s">
        <v>62</v>
      </c>
    </row>
    <row r="2" spans="1:3" x14ac:dyDescent="0.6">
      <c r="A2" s="6" t="s">
        <v>49</v>
      </c>
      <c r="B2" s="6" t="s">
        <v>50</v>
      </c>
      <c r="C2" s="6">
        <v>5</v>
      </c>
    </row>
    <row r="3" spans="1:3" x14ac:dyDescent="0.6">
      <c r="A3" s="6"/>
      <c r="B3" s="6" t="s">
        <v>51</v>
      </c>
      <c r="C3" s="6" t="s">
        <v>52</v>
      </c>
    </row>
    <row r="4" spans="1:3" x14ac:dyDescent="0.6">
      <c r="A4" s="6"/>
      <c r="B4" s="6" t="s">
        <v>53</v>
      </c>
      <c r="C4" s="6" t="s">
        <v>54</v>
      </c>
    </row>
    <row r="5" spans="1:3" x14ac:dyDescent="0.6">
      <c r="A5" s="6"/>
      <c r="B5" s="6" t="s">
        <v>65</v>
      </c>
      <c r="C5" s="6" t="s">
        <v>66</v>
      </c>
    </row>
    <row r="6" spans="1:3" x14ac:dyDescent="0.6">
      <c r="A6" s="6"/>
      <c r="B6" s="6" t="s">
        <v>55</v>
      </c>
      <c r="C6" s="6" t="s">
        <v>63</v>
      </c>
    </row>
    <row r="7" spans="1:3" x14ac:dyDescent="0.6">
      <c r="A7" s="6"/>
      <c r="B7" s="6" t="s">
        <v>64</v>
      </c>
      <c r="C7" s="6">
        <v>0.1</v>
      </c>
    </row>
    <row r="8" spans="1:3" x14ac:dyDescent="0.6">
      <c r="A8" s="6"/>
      <c r="B8" s="6" t="s">
        <v>56</v>
      </c>
      <c r="C8" s="6">
        <v>1</v>
      </c>
    </row>
    <row r="9" spans="1:3" x14ac:dyDescent="0.6">
      <c r="A9" s="6" t="s">
        <v>21</v>
      </c>
      <c r="B9" s="6" t="s">
        <v>74</v>
      </c>
      <c r="C9" s="6" t="s">
        <v>75</v>
      </c>
    </row>
    <row r="10" spans="1:3" x14ac:dyDescent="0.6">
      <c r="A10" s="6" t="s">
        <v>9</v>
      </c>
      <c r="B10" s="6" t="s">
        <v>74</v>
      </c>
      <c r="C10" s="6" t="s">
        <v>75</v>
      </c>
    </row>
    <row r="11" spans="1:3" x14ac:dyDescent="0.6">
      <c r="A11" s="6" t="s">
        <v>67</v>
      </c>
      <c r="B11" s="6" t="s">
        <v>57</v>
      </c>
      <c r="C11" s="6" t="s">
        <v>68</v>
      </c>
    </row>
    <row r="12" spans="1:3" x14ac:dyDescent="0.6">
      <c r="A12" s="6"/>
      <c r="B12" s="6" t="s">
        <v>58</v>
      </c>
      <c r="C12" s="6" t="s">
        <v>73</v>
      </c>
    </row>
    <row r="13" spans="1:3" x14ac:dyDescent="0.6">
      <c r="A13" s="6"/>
      <c r="B13" s="6" t="s">
        <v>71</v>
      </c>
      <c r="C13" s="6" t="s">
        <v>72</v>
      </c>
    </row>
    <row r="14" spans="1:3" x14ac:dyDescent="0.6">
      <c r="A14" s="6"/>
      <c r="B14" s="6" t="s">
        <v>59</v>
      </c>
      <c r="C14" s="6" t="s">
        <v>60</v>
      </c>
    </row>
    <row r="15" spans="1:3" x14ac:dyDescent="0.6">
      <c r="A15" s="6"/>
      <c r="B15" s="6" t="s">
        <v>61</v>
      </c>
      <c r="C15" s="6" t="s">
        <v>70</v>
      </c>
    </row>
    <row r="16" spans="1:3" x14ac:dyDescent="0.6">
      <c r="A16" s="6"/>
      <c r="B16" s="6" t="s">
        <v>69</v>
      </c>
      <c r="C16" s="6" t="s">
        <v>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DF55-BC70-4A0A-9CA9-2BA0BB9862A4}">
  <dimension ref="A1:P217"/>
  <sheetViews>
    <sheetView workbookViewId="0">
      <selection activeCell="D17" sqref="D17"/>
    </sheetView>
  </sheetViews>
  <sheetFormatPr defaultRowHeight="16.899999999999999" x14ac:dyDescent="0.6"/>
  <cols>
    <col min="1" max="1" width="11" bestFit="1" customWidth="1"/>
    <col min="2" max="2" width="8.875" bestFit="1" customWidth="1"/>
    <col min="3" max="3" width="18" bestFit="1" customWidth="1"/>
    <col min="4" max="4" width="29.375" customWidth="1"/>
    <col min="5" max="5" width="6.8125" bestFit="1" customWidth="1"/>
    <col min="6" max="6" width="84.5625" bestFit="1" customWidth="1"/>
    <col min="7" max="7" width="15" bestFit="1" customWidth="1"/>
    <col min="8" max="8" width="14" bestFit="1" customWidth="1"/>
    <col min="9" max="9" width="15.125" bestFit="1" customWidth="1"/>
    <col min="10" max="10" width="13.3125" bestFit="1" customWidth="1"/>
    <col min="11" max="13" width="12.3125" bestFit="1" customWidth="1"/>
    <col min="14" max="14" width="12.5" bestFit="1" customWidth="1"/>
    <col min="15" max="15" width="13.625" bestFit="1" customWidth="1"/>
    <col min="16" max="16" width="81.5625" bestFit="1" customWidth="1"/>
  </cols>
  <sheetData>
    <row r="1" spans="1:16" x14ac:dyDescent="0.6">
      <c r="A1" t="s">
        <v>165</v>
      </c>
      <c r="B1" t="s">
        <v>524</v>
      </c>
      <c r="C1" t="s">
        <v>525</v>
      </c>
      <c r="D1" t="s">
        <v>526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84</v>
      </c>
      <c r="N1" t="s">
        <v>85</v>
      </c>
      <c r="O1" t="s">
        <v>86</v>
      </c>
      <c r="P1" t="s">
        <v>87</v>
      </c>
    </row>
    <row r="2" spans="1:16" x14ac:dyDescent="0.6">
      <c r="A2" t="s">
        <v>166</v>
      </c>
      <c r="B2">
        <v>30</v>
      </c>
      <c r="C2" t="s">
        <v>99</v>
      </c>
      <c r="D2" t="s">
        <v>167</v>
      </c>
      <c r="E2">
        <v>1</v>
      </c>
      <c r="F2" t="s">
        <v>168</v>
      </c>
      <c r="G2">
        <v>8.8887060302505407</v>
      </c>
      <c r="H2">
        <v>7.1435608731487097</v>
      </c>
      <c r="I2">
        <v>0.54573747711099696</v>
      </c>
      <c r="J2">
        <v>7.04562420401286</v>
      </c>
      <c r="K2">
        <v>5.3802638377958099</v>
      </c>
      <c r="L2">
        <v>0.39367135259531599</v>
      </c>
      <c r="M2">
        <v>0.26660521487424998</v>
      </c>
      <c r="N2">
        <v>4.06304931640625</v>
      </c>
      <c r="O2">
        <v>0.29501393343237797</v>
      </c>
      <c r="P2" t="s">
        <v>93</v>
      </c>
    </row>
    <row r="3" spans="1:16" x14ac:dyDescent="0.6">
      <c r="A3" t="s">
        <v>169</v>
      </c>
      <c r="B3">
        <v>90</v>
      </c>
      <c r="C3" t="s">
        <v>6</v>
      </c>
      <c r="D3" t="s">
        <v>88</v>
      </c>
      <c r="E3">
        <v>1</v>
      </c>
      <c r="F3" t="s">
        <v>158</v>
      </c>
      <c r="G3" s="13">
        <v>7.0132860566650796</v>
      </c>
      <c r="H3">
        <v>5.5050973603219697</v>
      </c>
      <c r="I3" s="13">
        <v>0.42918796578950502</v>
      </c>
      <c r="J3" s="13">
        <v>7.6388015764852497</v>
      </c>
      <c r="K3" s="13">
        <v>5.8700829074807297</v>
      </c>
      <c r="L3" s="13">
        <v>0.42678540174651503</v>
      </c>
      <c r="M3">
        <v>0.30990582236091596</v>
      </c>
      <c r="N3">
        <v>4.2069091796875</v>
      </c>
      <c r="O3" s="13">
        <v>0.30388860369993198</v>
      </c>
      <c r="P3" t="s">
        <v>114</v>
      </c>
    </row>
    <row r="4" spans="1:16" x14ac:dyDescent="0.6">
      <c r="A4" t="s">
        <v>170</v>
      </c>
      <c r="B4">
        <v>30</v>
      </c>
      <c r="C4" t="s">
        <v>6</v>
      </c>
      <c r="D4" t="s">
        <v>171</v>
      </c>
      <c r="E4">
        <v>1</v>
      </c>
      <c r="F4" t="s">
        <v>172</v>
      </c>
      <c r="G4">
        <v>8.9077577555965899</v>
      </c>
      <c r="H4">
        <v>7.1829900974180596</v>
      </c>
      <c r="I4">
        <v>0.54882396242190701</v>
      </c>
      <c r="J4">
        <v>7.31181621001579</v>
      </c>
      <c r="K4">
        <v>5.5585795282160104</v>
      </c>
      <c r="L4">
        <v>0.40722401236324002</v>
      </c>
      <c r="M4">
        <v>0.28836570171804504</v>
      </c>
      <c r="N4">
        <v>4.23223876953125</v>
      </c>
      <c r="O4">
        <v>0.31374622886001402</v>
      </c>
      <c r="P4" t="s">
        <v>93</v>
      </c>
    </row>
    <row r="5" spans="1:16" x14ac:dyDescent="0.6">
      <c r="A5" t="s">
        <v>173</v>
      </c>
      <c r="B5">
        <v>20</v>
      </c>
      <c r="C5" t="s">
        <v>92</v>
      </c>
      <c r="D5" t="s">
        <v>174</v>
      </c>
      <c r="E5">
        <v>1</v>
      </c>
      <c r="F5" t="s">
        <v>175</v>
      </c>
      <c r="G5">
        <v>8.6993705423883796</v>
      </c>
      <c r="H5">
        <v>6.9774592953264802</v>
      </c>
      <c r="I5">
        <v>0.53243475144414898</v>
      </c>
      <c r="J5">
        <v>6.9285879278242097</v>
      </c>
      <c r="K5">
        <v>5.3191567880135997</v>
      </c>
      <c r="L5">
        <v>0.38953560993286401</v>
      </c>
      <c r="M5">
        <v>0.25792474914487701</v>
      </c>
      <c r="N5">
        <v>4.25201416015625</v>
      </c>
      <c r="O5">
        <v>0.30999250690810998</v>
      </c>
      <c r="P5" t="s">
        <v>90</v>
      </c>
    </row>
    <row r="6" spans="1:16" x14ac:dyDescent="0.6">
      <c r="A6" t="s">
        <v>189</v>
      </c>
      <c r="B6">
        <v>5</v>
      </c>
      <c r="C6" t="s">
        <v>99</v>
      </c>
      <c r="D6" t="s">
        <v>8</v>
      </c>
      <c r="E6">
        <v>1</v>
      </c>
      <c r="F6" t="s">
        <v>125</v>
      </c>
      <c r="G6">
        <v>8.7029510000000005</v>
      </c>
      <c r="H6">
        <v>6.9362820000000003</v>
      </c>
      <c r="I6">
        <v>0.52915000000000001</v>
      </c>
      <c r="J6">
        <v>7.2173910000000001</v>
      </c>
      <c r="K6">
        <v>5.4710340000000004</v>
      </c>
      <c r="L6">
        <v>0.40113599999999999</v>
      </c>
      <c r="M6">
        <v>0.28079999999999999</v>
      </c>
      <c r="N6">
        <v>4.3646240000000001</v>
      </c>
      <c r="O6">
        <v>0.32753700000000002</v>
      </c>
      <c r="P6" t="s">
        <v>90</v>
      </c>
    </row>
    <row r="7" spans="1:16" x14ac:dyDescent="0.6">
      <c r="A7" t="s">
        <v>179</v>
      </c>
      <c r="B7">
        <v>90</v>
      </c>
      <c r="C7" t="s">
        <v>6</v>
      </c>
      <c r="D7" t="s">
        <v>8</v>
      </c>
      <c r="E7">
        <v>1</v>
      </c>
      <c r="F7" t="s">
        <v>130</v>
      </c>
      <c r="G7" s="13">
        <v>7.1958020834312499</v>
      </c>
      <c r="H7" s="13">
        <v>5.6418420040246202</v>
      </c>
      <c r="I7" s="13">
        <v>0.43988792502686003</v>
      </c>
      <c r="J7" s="13">
        <v>7.2547915348356202</v>
      </c>
      <c r="K7" s="13">
        <v>5.5410415440389498</v>
      </c>
      <c r="L7" s="13">
        <v>0.40317481381355702</v>
      </c>
      <c r="M7">
        <v>0.28035698350448901</v>
      </c>
      <c r="N7">
        <v>4.28924560546875</v>
      </c>
      <c r="O7" s="13">
        <v>0.31656264755650998</v>
      </c>
      <c r="P7" t="s">
        <v>114</v>
      </c>
    </row>
    <row r="8" spans="1:16" x14ac:dyDescent="0.6">
      <c r="A8" t="s">
        <v>180</v>
      </c>
      <c r="B8">
        <v>20</v>
      </c>
      <c r="C8" t="s">
        <v>6</v>
      </c>
      <c r="D8" t="s">
        <v>181</v>
      </c>
      <c r="E8">
        <v>1</v>
      </c>
      <c r="F8" t="s">
        <v>182</v>
      </c>
      <c r="G8">
        <v>8.6919481031903398</v>
      </c>
      <c r="H8">
        <v>6.9749787469654096</v>
      </c>
      <c r="I8">
        <v>0.53229183688583204</v>
      </c>
      <c r="J8">
        <v>6.9435927074542096</v>
      </c>
      <c r="K8">
        <v>5.3097110324435697</v>
      </c>
      <c r="L8">
        <v>0.388974237218702</v>
      </c>
      <c r="M8">
        <v>0.259175430080338</v>
      </c>
      <c r="N8">
        <v>4.29132080078125</v>
      </c>
      <c r="O8">
        <v>0.31725101469900602</v>
      </c>
      <c r="P8" t="s">
        <v>90</v>
      </c>
    </row>
    <row r="9" spans="1:16" x14ac:dyDescent="0.6">
      <c r="A9" t="s">
        <v>183</v>
      </c>
      <c r="B9">
        <v>20</v>
      </c>
      <c r="C9" t="s">
        <v>9</v>
      </c>
      <c r="D9" t="s">
        <v>184</v>
      </c>
      <c r="E9">
        <v>1</v>
      </c>
      <c r="F9" t="s">
        <v>185</v>
      </c>
      <c r="G9">
        <v>8.7967645429101999</v>
      </c>
      <c r="H9">
        <v>6.9863437350143798</v>
      </c>
      <c r="I9">
        <v>0.53331587639113998</v>
      </c>
      <c r="J9">
        <v>7.0997707377708101</v>
      </c>
      <c r="K9">
        <v>5.4280830665870896</v>
      </c>
      <c r="L9">
        <v>0.39721298316679299</v>
      </c>
      <c r="M9">
        <v>0.27024348260411502</v>
      </c>
      <c r="N9">
        <v>4.31646728515625</v>
      </c>
      <c r="O9">
        <v>0.31541016535418598</v>
      </c>
      <c r="P9" t="s">
        <v>90</v>
      </c>
    </row>
    <row r="10" spans="1:16" x14ac:dyDescent="0.6">
      <c r="A10" t="s">
        <v>186</v>
      </c>
      <c r="B10">
        <v>20</v>
      </c>
      <c r="C10" t="s">
        <v>92</v>
      </c>
      <c r="D10" t="s">
        <v>8</v>
      </c>
      <c r="E10">
        <v>1</v>
      </c>
      <c r="F10" t="s">
        <v>95</v>
      </c>
      <c r="G10">
        <v>8.6638490000000008</v>
      </c>
      <c r="H10">
        <v>6.9750420000000002</v>
      </c>
      <c r="I10">
        <v>0.53221399999999996</v>
      </c>
      <c r="J10">
        <v>6.9888719999999998</v>
      </c>
      <c r="K10">
        <v>5.4186059999999996</v>
      </c>
      <c r="L10">
        <v>0.39645900000000001</v>
      </c>
      <c r="M10">
        <v>0.26180000000000003</v>
      </c>
      <c r="N10">
        <v>4.3173830000000004</v>
      </c>
      <c r="O10">
        <v>0.32121499999999997</v>
      </c>
      <c r="P10" t="s">
        <v>90</v>
      </c>
    </row>
    <row r="11" spans="1:16" x14ac:dyDescent="0.6">
      <c r="A11" t="s">
        <v>198</v>
      </c>
      <c r="B11">
        <v>5</v>
      </c>
      <c r="C11" t="s">
        <v>99</v>
      </c>
      <c r="D11" t="s">
        <v>167</v>
      </c>
      <c r="E11">
        <v>1</v>
      </c>
      <c r="F11" t="s">
        <v>199</v>
      </c>
      <c r="G11">
        <v>8.7247911563475409</v>
      </c>
      <c r="H11">
        <v>6.9525431970287599</v>
      </c>
      <c r="I11">
        <v>0.53056051307756702</v>
      </c>
      <c r="J11">
        <v>7.1365300338064896</v>
      </c>
      <c r="K11">
        <v>5.4294058399283003</v>
      </c>
      <c r="L11">
        <v>0.398458369097</v>
      </c>
      <c r="M11">
        <v>0.27521844113273503</v>
      </c>
      <c r="N11">
        <v>4.3968505859375</v>
      </c>
      <c r="O11">
        <v>0.321973645147895</v>
      </c>
      <c r="P11" t="s">
        <v>90</v>
      </c>
    </row>
    <row r="12" spans="1:16" x14ac:dyDescent="0.6">
      <c r="A12" t="s">
        <v>187</v>
      </c>
      <c r="B12">
        <v>90</v>
      </c>
      <c r="C12" t="s">
        <v>6</v>
      </c>
      <c r="D12" t="s">
        <v>177</v>
      </c>
      <c r="E12">
        <v>1</v>
      </c>
      <c r="F12" t="s">
        <v>188</v>
      </c>
      <c r="G12">
        <v>6.9105950210049798</v>
      </c>
      <c r="H12">
        <v>5.4315999348958304</v>
      </c>
      <c r="I12">
        <v>0.42392873153274102</v>
      </c>
      <c r="J12">
        <v>7.3706308774525597</v>
      </c>
      <c r="K12">
        <v>5.6304655728274797</v>
      </c>
      <c r="L12">
        <v>0.40968825201776299</v>
      </c>
      <c r="M12">
        <v>0.28937258874844596</v>
      </c>
      <c r="N12">
        <v>4.3602294921875</v>
      </c>
      <c r="O12">
        <v>0.32195832956184001</v>
      </c>
      <c r="P12" t="s">
        <v>114</v>
      </c>
    </row>
    <row r="13" spans="1:16" x14ac:dyDescent="0.6">
      <c r="A13" t="s">
        <v>218</v>
      </c>
      <c r="B13">
        <v>5</v>
      </c>
      <c r="C13" t="s">
        <v>99</v>
      </c>
      <c r="D13" t="s">
        <v>171</v>
      </c>
      <c r="E13">
        <v>1</v>
      </c>
      <c r="F13" t="s">
        <v>219</v>
      </c>
      <c r="G13">
        <v>8.7459571522012993</v>
      </c>
      <c r="H13">
        <v>6.9909401451087598</v>
      </c>
      <c r="I13">
        <v>0.53336153850328205</v>
      </c>
      <c r="J13">
        <v>7.14886393737555</v>
      </c>
      <c r="K13">
        <v>5.4371781782670396</v>
      </c>
      <c r="L13">
        <v>0.399022550841937</v>
      </c>
      <c r="M13">
        <v>0.27624827482195097</v>
      </c>
      <c r="N13">
        <v>4.427978515625</v>
      </c>
      <c r="O13">
        <v>0.3327080725596</v>
      </c>
      <c r="P13" t="s">
        <v>90</v>
      </c>
    </row>
    <row r="14" spans="1:16" x14ac:dyDescent="0.6">
      <c r="A14" t="s">
        <v>267</v>
      </c>
      <c r="B14">
        <v>5</v>
      </c>
      <c r="C14" t="s">
        <v>99</v>
      </c>
      <c r="D14" t="s">
        <v>174</v>
      </c>
      <c r="E14">
        <v>1</v>
      </c>
      <c r="F14" t="s">
        <v>268</v>
      </c>
      <c r="G14">
        <v>8.7156108936474102</v>
      </c>
      <c r="H14">
        <v>6.9706504056346503</v>
      </c>
      <c r="I14">
        <v>0.53188635258721395</v>
      </c>
      <c r="J14">
        <v>7.0922195035267599</v>
      </c>
      <c r="K14">
        <v>5.3916216433306197</v>
      </c>
      <c r="L14">
        <v>0.39572528994735801</v>
      </c>
      <c r="M14">
        <v>0.27181047538282599</v>
      </c>
      <c r="N14">
        <v>4.5201416015625</v>
      </c>
      <c r="O14">
        <v>0.32848809443545401</v>
      </c>
      <c r="P14" t="s">
        <v>90</v>
      </c>
    </row>
    <row r="15" spans="1:16" x14ac:dyDescent="0.6">
      <c r="A15" t="s">
        <v>190</v>
      </c>
      <c r="B15">
        <v>90</v>
      </c>
      <c r="C15" t="s">
        <v>9</v>
      </c>
      <c r="D15" t="s">
        <v>8</v>
      </c>
      <c r="E15">
        <v>1</v>
      </c>
      <c r="F15" t="s">
        <v>139</v>
      </c>
      <c r="G15" s="13">
        <v>6.96366010782336</v>
      </c>
      <c r="H15" s="13">
        <v>5.5858117305871202</v>
      </c>
      <c r="I15" s="13">
        <v>0.436744165825657</v>
      </c>
      <c r="J15" s="13">
        <v>7.3328223195886002</v>
      </c>
      <c r="K15" s="13">
        <v>5.6326327389233697</v>
      </c>
      <c r="L15" s="13">
        <v>0.40964829381471402</v>
      </c>
      <c r="M15">
        <v>0.28613758622900298</v>
      </c>
      <c r="N15">
        <v>4.36944580078125</v>
      </c>
      <c r="O15" s="13">
        <v>0.31713756380722002</v>
      </c>
      <c r="P15" t="s">
        <v>114</v>
      </c>
    </row>
    <row r="16" spans="1:16" x14ac:dyDescent="0.6">
      <c r="A16" t="s">
        <v>191</v>
      </c>
      <c r="B16">
        <v>10</v>
      </c>
      <c r="C16" t="s">
        <v>6</v>
      </c>
      <c r="D16" t="s">
        <v>177</v>
      </c>
      <c r="E16">
        <v>1</v>
      </c>
      <c r="F16" t="s">
        <v>192</v>
      </c>
      <c r="G16">
        <v>8.7163307150693594</v>
      </c>
      <c r="H16">
        <v>6.9551772495919897</v>
      </c>
      <c r="I16">
        <v>0.530428879387005</v>
      </c>
      <c r="J16">
        <v>7.1317229132935198</v>
      </c>
      <c r="K16">
        <v>5.4402314582757096</v>
      </c>
      <c r="L16">
        <v>0.399151392242516</v>
      </c>
      <c r="M16">
        <v>0.27480635247247498</v>
      </c>
      <c r="N16">
        <v>4.38189697265625</v>
      </c>
      <c r="O16">
        <v>0.320802489526541</v>
      </c>
      <c r="P16" t="s">
        <v>90</v>
      </c>
    </row>
    <row r="17" spans="1:16" x14ac:dyDescent="0.6">
      <c r="A17" t="s">
        <v>193</v>
      </c>
      <c r="B17">
        <v>20</v>
      </c>
      <c r="C17" t="s">
        <v>6</v>
      </c>
      <c r="D17" t="s">
        <v>7</v>
      </c>
      <c r="E17">
        <v>1</v>
      </c>
      <c r="F17" t="s">
        <v>91</v>
      </c>
      <c r="G17">
        <v>8.7130313918846696</v>
      </c>
      <c r="H17" s="13">
        <v>6.9552887626316204</v>
      </c>
      <c r="I17" s="13">
        <v>0.53077105769889898</v>
      </c>
      <c r="J17" s="13">
        <v>6.9281274884322803</v>
      </c>
      <c r="K17" s="13">
        <v>5.3343183729383599</v>
      </c>
      <c r="L17" s="13">
        <v>0.390580985948002</v>
      </c>
      <c r="M17">
        <v>0.25781232054696102</v>
      </c>
      <c r="N17">
        <v>4.38385009765625</v>
      </c>
      <c r="O17">
        <v>0.31687311333132101</v>
      </c>
      <c r="P17" t="s">
        <v>90</v>
      </c>
    </row>
    <row r="18" spans="1:16" x14ac:dyDescent="0.6">
      <c r="A18" t="s">
        <v>194</v>
      </c>
      <c r="B18">
        <v>60</v>
      </c>
      <c r="C18" t="s">
        <v>9</v>
      </c>
      <c r="D18" t="s">
        <v>184</v>
      </c>
      <c r="E18">
        <v>1</v>
      </c>
      <c r="F18" t="s">
        <v>195</v>
      </c>
      <c r="G18">
        <v>8.4774442974748201</v>
      </c>
      <c r="H18">
        <v>6.7612931806962502</v>
      </c>
      <c r="I18">
        <v>0.52289222824330195</v>
      </c>
      <c r="J18">
        <v>7.5078361106533196</v>
      </c>
      <c r="K18">
        <v>5.7300026633522698</v>
      </c>
      <c r="L18">
        <v>0.41750456334581398</v>
      </c>
      <c r="M18">
        <v>0.30042021607433</v>
      </c>
      <c r="N18">
        <v>4.38726806640625</v>
      </c>
      <c r="O18">
        <v>0.31816177918743699</v>
      </c>
      <c r="P18" t="s">
        <v>135</v>
      </c>
    </row>
    <row r="19" spans="1:16" x14ac:dyDescent="0.6">
      <c r="A19" t="s">
        <v>196</v>
      </c>
      <c r="B19">
        <v>30</v>
      </c>
      <c r="C19" t="s">
        <v>92</v>
      </c>
      <c r="D19" t="s">
        <v>177</v>
      </c>
      <c r="E19">
        <v>1</v>
      </c>
      <c r="F19" t="s">
        <v>197</v>
      </c>
      <c r="G19">
        <v>8.8781353372892404</v>
      </c>
      <c r="H19">
        <v>7.1046166448055699</v>
      </c>
      <c r="I19">
        <v>0.54276926811327897</v>
      </c>
      <c r="J19">
        <v>7.4298276872247104</v>
      </c>
      <c r="K19">
        <v>5.6015613148513301</v>
      </c>
      <c r="L19">
        <v>0.41004964274956102</v>
      </c>
      <c r="M19">
        <v>0.29682844096282301</v>
      </c>
      <c r="N19">
        <v>4.3900146484375</v>
      </c>
      <c r="O19">
        <v>0.324335943906358</v>
      </c>
      <c r="P19" t="s">
        <v>93</v>
      </c>
    </row>
    <row r="20" spans="1:16" x14ac:dyDescent="0.6">
      <c r="A20" t="s">
        <v>276</v>
      </c>
      <c r="B20">
        <v>5</v>
      </c>
      <c r="C20" t="s">
        <v>99</v>
      </c>
      <c r="D20" t="s">
        <v>177</v>
      </c>
      <c r="E20">
        <v>1</v>
      </c>
      <c r="F20" t="s">
        <v>277</v>
      </c>
      <c r="G20">
        <v>8.7351186054149892</v>
      </c>
      <c r="H20">
        <v>7.0069993531001904</v>
      </c>
      <c r="I20">
        <v>0.53452790223188795</v>
      </c>
      <c r="J20">
        <v>7.2457837160154996</v>
      </c>
      <c r="K20">
        <v>5.5456035663555197</v>
      </c>
      <c r="L20">
        <v>0.40650269275370299</v>
      </c>
      <c r="M20">
        <v>0.282809736509259</v>
      </c>
      <c r="N20">
        <v>4.5252685546875</v>
      </c>
      <c r="O20">
        <v>0.329299401626026</v>
      </c>
      <c r="P20" t="s">
        <v>90</v>
      </c>
    </row>
    <row r="21" spans="1:16" x14ac:dyDescent="0.6">
      <c r="A21" t="s">
        <v>200</v>
      </c>
      <c r="B21">
        <v>10</v>
      </c>
      <c r="C21" t="s">
        <v>99</v>
      </c>
      <c r="D21" t="s">
        <v>88</v>
      </c>
      <c r="E21">
        <v>1</v>
      </c>
      <c r="F21" t="s">
        <v>106</v>
      </c>
      <c r="G21">
        <v>8.659948</v>
      </c>
      <c r="H21">
        <v>6.9043580000000002</v>
      </c>
      <c r="I21">
        <v>0.52632100000000004</v>
      </c>
      <c r="J21">
        <v>7.0888549999999997</v>
      </c>
      <c r="K21">
        <v>5.4254749999999996</v>
      </c>
      <c r="L21">
        <v>0.39750799999999997</v>
      </c>
      <c r="M21">
        <v>0.27039999999999997</v>
      </c>
      <c r="N21">
        <v>4.3987429999999996</v>
      </c>
      <c r="O21">
        <v>0.32528800000000002</v>
      </c>
      <c r="P21" t="s">
        <v>90</v>
      </c>
    </row>
    <row r="22" spans="1:16" x14ac:dyDescent="0.6">
      <c r="A22" t="s">
        <v>201</v>
      </c>
      <c r="B22">
        <v>60</v>
      </c>
      <c r="C22" t="s">
        <v>9</v>
      </c>
      <c r="D22" t="s">
        <v>167</v>
      </c>
      <c r="E22">
        <v>1</v>
      </c>
      <c r="F22" t="s">
        <v>202</v>
      </c>
      <c r="G22">
        <v>8.6561489691669493</v>
      </c>
      <c r="H22">
        <v>6.9674649919782299</v>
      </c>
      <c r="I22">
        <v>0.53894274840005196</v>
      </c>
      <c r="J22">
        <v>7.4323322313487399</v>
      </c>
      <c r="K22">
        <v>5.6471321799538297</v>
      </c>
      <c r="L22">
        <v>0.41171675758454002</v>
      </c>
      <c r="M22">
        <v>0.295457442909631</v>
      </c>
      <c r="N22">
        <v>4.39886474609375</v>
      </c>
      <c r="O22">
        <v>0.310713147748022</v>
      </c>
      <c r="P22" t="s">
        <v>135</v>
      </c>
    </row>
    <row r="23" spans="1:16" x14ac:dyDescent="0.6">
      <c r="A23" t="s">
        <v>285</v>
      </c>
      <c r="B23">
        <v>5</v>
      </c>
      <c r="C23" t="s">
        <v>99</v>
      </c>
      <c r="D23" t="s">
        <v>7</v>
      </c>
      <c r="E23">
        <v>1</v>
      </c>
      <c r="F23" t="s">
        <v>118</v>
      </c>
      <c r="G23">
        <v>8.6862169999999992</v>
      </c>
      <c r="H23">
        <v>7.0010690000000002</v>
      </c>
      <c r="I23">
        <v>0.53403500000000004</v>
      </c>
      <c r="J23">
        <v>7.1601179999999998</v>
      </c>
      <c r="K23">
        <v>5.4565830000000002</v>
      </c>
      <c r="L23">
        <v>0.40040500000000001</v>
      </c>
      <c r="M23">
        <v>0.2772</v>
      </c>
      <c r="N23">
        <v>4.5373539999999997</v>
      </c>
      <c r="O23">
        <v>0.32225999999999999</v>
      </c>
      <c r="P23" t="s">
        <v>90</v>
      </c>
    </row>
    <row r="24" spans="1:16" x14ac:dyDescent="0.6">
      <c r="A24" t="s">
        <v>205</v>
      </c>
      <c r="B24">
        <v>10</v>
      </c>
      <c r="C24" t="s">
        <v>99</v>
      </c>
      <c r="D24" t="s">
        <v>7</v>
      </c>
      <c r="E24">
        <v>1</v>
      </c>
      <c r="F24" t="s">
        <v>136</v>
      </c>
      <c r="G24">
        <v>8.6307679999999998</v>
      </c>
      <c r="H24">
        <v>6.9221069999999996</v>
      </c>
      <c r="I24">
        <v>0.527922</v>
      </c>
      <c r="J24">
        <v>7.2915239999999999</v>
      </c>
      <c r="K24">
        <v>5.5767559999999996</v>
      </c>
      <c r="L24">
        <v>0.40916400000000003</v>
      </c>
      <c r="M24">
        <v>0.28720000000000001</v>
      </c>
      <c r="N24">
        <v>4.4080810000000001</v>
      </c>
      <c r="O24">
        <v>0.32418999999999998</v>
      </c>
      <c r="P24" t="s">
        <v>90</v>
      </c>
    </row>
    <row r="25" spans="1:16" x14ac:dyDescent="0.6">
      <c r="A25" t="s">
        <v>206</v>
      </c>
      <c r="B25">
        <v>90</v>
      </c>
      <c r="C25" t="s">
        <v>99</v>
      </c>
      <c r="D25" t="s">
        <v>171</v>
      </c>
      <c r="E25">
        <v>1</v>
      </c>
      <c r="F25" t="s">
        <v>207</v>
      </c>
      <c r="G25">
        <v>6.96678343044149</v>
      </c>
      <c r="H25">
        <v>5.49688720703125</v>
      </c>
      <c r="I25">
        <v>0.42840943443761598</v>
      </c>
      <c r="J25">
        <v>7.2289853856030604</v>
      </c>
      <c r="K25">
        <v>5.5359931841288503</v>
      </c>
      <c r="L25">
        <v>0.40285466636586098</v>
      </c>
      <c r="M25">
        <v>0.27868094154237</v>
      </c>
      <c r="N25">
        <v>4.40869140625</v>
      </c>
      <c r="O25">
        <v>0.318150252554734</v>
      </c>
      <c r="P25" t="s">
        <v>114</v>
      </c>
    </row>
    <row r="26" spans="1:16" x14ac:dyDescent="0.6">
      <c r="A26" t="s">
        <v>208</v>
      </c>
      <c r="B26">
        <v>90</v>
      </c>
      <c r="C26" t="s">
        <v>92</v>
      </c>
      <c r="D26" t="s">
        <v>8</v>
      </c>
      <c r="E26">
        <v>1</v>
      </c>
      <c r="F26" t="s">
        <v>160</v>
      </c>
      <c r="G26">
        <v>6.9823729999999999</v>
      </c>
      <c r="H26">
        <v>5.4585850000000002</v>
      </c>
      <c r="I26">
        <v>0.42615500000000001</v>
      </c>
      <c r="J26">
        <v>7.8758290000000004</v>
      </c>
      <c r="K26">
        <v>5.987158</v>
      </c>
      <c r="L26">
        <v>0.43723400000000001</v>
      </c>
      <c r="M26">
        <v>0.33429999999999999</v>
      </c>
      <c r="N26">
        <v>4.4137570000000004</v>
      </c>
      <c r="O26">
        <v>0.31723600000000002</v>
      </c>
      <c r="P26" t="s">
        <v>114</v>
      </c>
    </row>
    <row r="27" spans="1:16" x14ac:dyDescent="0.6">
      <c r="A27" t="s">
        <v>209</v>
      </c>
      <c r="B27">
        <v>20</v>
      </c>
      <c r="C27" t="s">
        <v>99</v>
      </c>
      <c r="D27" t="s">
        <v>210</v>
      </c>
      <c r="E27">
        <v>1</v>
      </c>
      <c r="F27" t="s">
        <v>211</v>
      </c>
      <c r="G27">
        <v>8.7100883473392301</v>
      </c>
      <c r="H27">
        <v>7.0094398635122701</v>
      </c>
      <c r="I27">
        <v>0.53512031280584305</v>
      </c>
      <c r="J27">
        <v>6.8747985261939704</v>
      </c>
      <c r="K27">
        <v>5.3039641203703702</v>
      </c>
      <c r="L27">
        <v>0.38824872459356102</v>
      </c>
      <c r="M27">
        <v>0.25359787741442003</v>
      </c>
      <c r="N27">
        <v>4.4156494140625</v>
      </c>
      <c r="O27">
        <v>0.32047466514452699</v>
      </c>
      <c r="P27" t="s">
        <v>90</v>
      </c>
    </row>
    <row r="28" spans="1:16" x14ac:dyDescent="0.6">
      <c r="A28" t="s">
        <v>212</v>
      </c>
      <c r="B28">
        <v>10</v>
      </c>
      <c r="C28" t="s">
        <v>92</v>
      </c>
      <c r="D28" t="s">
        <v>177</v>
      </c>
      <c r="E28">
        <v>1</v>
      </c>
      <c r="F28" t="s">
        <v>213</v>
      </c>
      <c r="G28">
        <v>8.7362216556952195</v>
      </c>
      <c r="H28">
        <v>7.0352588037919404</v>
      </c>
      <c r="I28">
        <v>0.53662371910331497</v>
      </c>
      <c r="J28">
        <v>7.1431431075978802</v>
      </c>
      <c r="K28">
        <v>5.5197159758711196</v>
      </c>
      <c r="L28">
        <v>0.40412142626686098</v>
      </c>
      <c r="M28">
        <v>0.27378740682967301</v>
      </c>
      <c r="N28">
        <v>4.41717529296875</v>
      </c>
      <c r="O28">
        <v>0.32674482651939801</v>
      </c>
      <c r="P28" t="s">
        <v>90</v>
      </c>
    </row>
    <row r="29" spans="1:16" x14ac:dyDescent="0.6">
      <c r="A29" t="s">
        <v>214</v>
      </c>
      <c r="B29">
        <v>30</v>
      </c>
      <c r="C29" t="s">
        <v>6</v>
      </c>
      <c r="D29" t="s">
        <v>181</v>
      </c>
      <c r="E29">
        <v>1</v>
      </c>
      <c r="F29" t="s">
        <v>215</v>
      </c>
      <c r="G29">
        <v>8.88119547143293</v>
      </c>
      <c r="H29">
        <v>7.1739417125037699</v>
      </c>
      <c r="I29">
        <v>0.54824016182711499</v>
      </c>
      <c r="J29">
        <v>7.16134862043317</v>
      </c>
      <c r="K29">
        <v>5.4657379446677696</v>
      </c>
      <c r="L29">
        <v>0.39960011205711199</v>
      </c>
      <c r="M29">
        <v>0.27464741652158503</v>
      </c>
      <c r="N29">
        <v>4.4232177734375</v>
      </c>
      <c r="O29">
        <v>0.32861493987000201</v>
      </c>
      <c r="P29" t="s">
        <v>93</v>
      </c>
    </row>
    <row r="30" spans="1:16" x14ac:dyDescent="0.6">
      <c r="A30" t="s">
        <v>216</v>
      </c>
      <c r="B30">
        <v>20</v>
      </c>
      <c r="C30" t="s">
        <v>92</v>
      </c>
      <c r="D30" t="s">
        <v>181</v>
      </c>
      <c r="E30">
        <v>1</v>
      </c>
      <c r="F30" t="s">
        <v>217</v>
      </c>
      <c r="G30">
        <v>8.7174169468631</v>
      </c>
      <c r="H30">
        <v>6.9989352018936799</v>
      </c>
      <c r="I30">
        <v>0.53406374156202696</v>
      </c>
      <c r="J30">
        <v>6.9520980264162597</v>
      </c>
      <c r="K30">
        <v>5.3379471390335604</v>
      </c>
      <c r="L30">
        <v>0.39084732281409901</v>
      </c>
      <c r="M30">
        <v>0.25962339982994898</v>
      </c>
      <c r="N30">
        <v>4.426025390625</v>
      </c>
      <c r="O30">
        <v>0.32643863680408203</v>
      </c>
      <c r="P30" t="s">
        <v>90</v>
      </c>
    </row>
    <row r="31" spans="1:16" x14ac:dyDescent="0.6">
      <c r="A31" t="s">
        <v>397</v>
      </c>
      <c r="B31">
        <v>5</v>
      </c>
      <c r="C31" t="s">
        <v>99</v>
      </c>
      <c r="D31" t="s">
        <v>88</v>
      </c>
      <c r="E31">
        <v>1</v>
      </c>
      <c r="F31" t="s">
        <v>144</v>
      </c>
      <c r="G31">
        <v>8.7276670000000003</v>
      </c>
      <c r="H31">
        <v>6.9826040000000003</v>
      </c>
      <c r="I31">
        <v>0.53261700000000001</v>
      </c>
      <c r="J31">
        <v>7.3812639999999998</v>
      </c>
      <c r="K31">
        <v>5.6595329999999997</v>
      </c>
      <c r="L31">
        <v>0.414576</v>
      </c>
      <c r="M31">
        <v>0.29289999999999999</v>
      </c>
      <c r="N31">
        <v>4.6522220000000001</v>
      </c>
      <c r="O31">
        <v>0.335337</v>
      </c>
      <c r="P31" t="s">
        <v>90</v>
      </c>
    </row>
    <row r="32" spans="1:16" x14ac:dyDescent="0.6">
      <c r="A32" t="s">
        <v>220</v>
      </c>
      <c r="B32">
        <v>20</v>
      </c>
      <c r="C32" t="s">
        <v>6</v>
      </c>
      <c r="D32" t="s">
        <v>8</v>
      </c>
      <c r="E32">
        <v>1</v>
      </c>
      <c r="F32" t="s">
        <v>120</v>
      </c>
      <c r="G32" s="13">
        <v>8.7212095813586199</v>
      </c>
      <c r="H32">
        <v>6.9902521704164</v>
      </c>
      <c r="I32">
        <v>0.533626616661943</v>
      </c>
      <c r="J32">
        <v>7.1777958405386597</v>
      </c>
      <c r="K32" s="13">
        <v>5.4973658808955399</v>
      </c>
      <c r="L32" s="13">
        <v>0.402926704755806</v>
      </c>
      <c r="M32">
        <v>0.27791071598327999</v>
      </c>
      <c r="N32">
        <v>4.43603515625</v>
      </c>
      <c r="O32" s="13">
        <v>0.32673135791585201</v>
      </c>
      <c r="P32" t="s">
        <v>90</v>
      </c>
    </row>
    <row r="33" spans="1:16" x14ac:dyDescent="0.6">
      <c r="A33" t="s">
        <v>223</v>
      </c>
      <c r="B33">
        <v>20</v>
      </c>
      <c r="C33" t="s">
        <v>6</v>
      </c>
      <c r="D33" t="s">
        <v>174</v>
      </c>
      <c r="E33">
        <v>1</v>
      </c>
      <c r="F33" t="s">
        <v>224</v>
      </c>
      <c r="G33">
        <v>8.7913129222236197</v>
      </c>
      <c r="H33">
        <v>7.04863629743571</v>
      </c>
      <c r="I33">
        <v>0.53808511665544301</v>
      </c>
      <c r="J33">
        <v>6.9747408758165603</v>
      </c>
      <c r="K33">
        <v>5.3762438738787601</v>
      </c>
      <c r="L33">
        <v>0.39363596302541798</v>
      </c>
      <c r="M33">
        <v>0.26134295523631901</v>
      </c>
      <c r="N33">
        <v>4.43780517578125</v>
      </c>
      <c r="O33">
        <v>0.32400996650654401</v>
      </c>
      <c r="P33" t="s">
        <v>90</v>
      </c>
    </row>
    <row r="34" spans="1:16" x14ac:dyDescent="0.6">
      <c r="A34" t="s">
        <v>225</v>
      </c>
      <c r="B34">
        <v>90</v>
      </c>
      <c r="C34" t="s">
        <v>6</v>
      </c>
      <c r="D34" t="s">
        <v>181</v>
      </c>
      <c r="E34">
        <v>1</v>
      </c>
      <c r="F34" t="s">
        <v>226</v>
      </c>
      <c r="G34">
        <v>6.9684478409376496</v>
      </c>
      <c r="H34">
        <v>5.5361494584516997</v>
      </c>
      <c r="I34">
        <v>0.43131612528741298</v>
      </c>
      <c r="J34">
        <v>7.25330241816713</v>
      </c>
      <c r="K34">
        <v>5.4647233518835598</v>
      </c>
      <c r="L34">
        <v>0.397966677529559</v>
      </c>
      <c r="M34">
        <v>0.28086431755179897</v>
      </c>
      <c r="N34">
        <v>4.4476318359375</v>
      </c>
      <c r="O34">
        <v>0.32151564280713602</v>
      </c>
      <c r="P34" t="s">
        <v>114</v>
      </c>
    </row>
    <row r="35" spans="1:16" x14ac:dyDescent="0.6">
      <c r="A35" t="s">
        <v>227</v>
      </c>
      <c r="B35">
        <v>30</v>
      </c>
      <c r="C35" t="s">
        <v>9</v>
      </c>
      <c r="D35" t="s">
        <v>171</v>
      </c>
      <c r="E35">
        <v>1</v>
      </c>
      <c r="F35" t="s">
        <v>228</v>
      </c>
      <c r="G35">
        <v>8.9645053356849296</v>
      </c>
      <c r="H35">
        <v>7.21503775093713</v>
      </c>
      <c r="I35">
        <v>0.551246822654197</v>
      </c>
      <c r="J35">
        <v>7.5494601922749904</v>
      </c>
      <c r="K35">
        <v>5.7602390918916804</v>
      </c>
      <c r="L35">
        <v>0.42193719397275498</v>
      </c>
      <c r="M35">
        <v>0.30704520414636399</v>
      </c>
      <c r="N35">
        <v>4.45001220703125</v>
      </c>
      <c r="O35">
        <v>0.32860352095671902</v>
      </c>
      <c r="P35" t="s">
        <v>93</v>
      </c>
    </row>
    <row r="36" spans="1:16" x14ac:dyDescent="0.6">
      <c r="A36" t="s">
        <v>229</v>
      </c>
      <c r="B36">
        <v>90</v>
      </c>
      <c r="C36" t="s">
        <v>92</v>
      </c>
      <c r="D36" t="s">
        <v>88</v>
      </c>
      <c r="E36">
        <v>1</v>
      </c>
      <c r="F36" t="s">
        <v>128</v>
      </c>
      <c r="G36">
        <v>7.0145809999999997</v>
      </c>
      <c r="H36">
        <v>5.5760540000000001</v>
      </c>
      <c r="I36">
        <v>0.435255</v>
      </c>
      <c r="J36">
        <v>7.2275549999999997</v>
      </c>
      <c r="K36">
        <v>5.5137689999999999</v>
      </c>
      <c r="L36">
        <v>0.40135700000000002</v>
      </c>
      <c r="M36">
        <v>0.27850000000000003</v>
      </c>
      <c r="N36">
        <v>4.4532470000000002</v>
      </c>
      <c r="O36">
        <v>0.32051600000000002</v>
      </c>
      <c r="P36" t="s">
        <v>114</v>
      </c>
    </row>
    <row r="37" spans="1:16" x14ac:dyDescent="0.6">
      <c r="A37" t="s">
        <v>230</v>
      </c>
      <c r="B37">
        <v>20</v>
      </c>
      <c r="C37" t="s">
        <v>99</v>
      </c>
      <c r="D37" t="s">
        <v>171</v>
      </c>
      <c r="E37">
        <v>1</v>
      </c>
      <c r="F37" t="s">
        <v>231</v>
      </c>
      <c r="G37">
        <v>8.6969041203063</v>
      </c>
      <c r="H37">
        <v>7.0400768387348096</v>
      </c>
      <c r="I37">
        <v>0.537478758215439</v>
      </c>
      <c r="J37">
        <v>6.96605526634516</v>
      </c>
      <c r="K37">
        <v>5.3270828812210604</v>
      </c>
      <c r="L37">
        <v>0.39003821670113398</v>
      </c>
      <c r="M37">
        <v>0.26092077600993496</v>
      </c>
      <c r="N37">
        <v>4.456787109375</v>
      </c>
      <c r="O37">
        <v>0.33384280235031599</v>
      </c>
      <c r="P37" t="s">
        <v>90</v>
      </c>
    </row>
    <row r="38" spans="1:16" x14ac:dyDescent="0.6">
      <c r="A38" t="s">
        <v>232</v>
      </c>
      <c r="B38">
        <v>30</v>
      </c>
      <c r="C38" t="s">
        <v>99</v>
      </c>
      <c r="D38" t="s">
        <v>184</v>
      </c>
      <c r="E38">
        <v>1</v>
      </c>
      <c r="F38" t="s">
        <v>233</v>
      </c>
      <c r="G38">
        <v>8.9599132368622705</v>
      </c>
      <c r="H38">
        <v>7.2110308108959398</v>
      </c>
      <c r="I38">
        <v>0.55100601705768304</v>
      </c>
      <c r="J38">
        <v>7.0746923752344202</v>
      </c>
      <c r="K38">
        <v>5.4036343768962301</v>
      </c>
      <c r="L38">
        <v>0.39516464047175898</v>
      </c>
      <c r="M38">
        <v>0.26837916375609</v>
      </c>
      <c r="N38">
        <v>4.46380615234375</v>
      </c>
      <c r="O38">
        <v>0.32595539820685598</v>
      </c>
      <c r="P38" t="s">
        <v>93</v>
      </c>
    </row>
    <row r="39" spans="1:16" x14ac:dyDescent="0.6">
      <c r="A39" t="s">
        <v>234</v>
      </c>
      <c r="B39">
        <v>90</v>
      </c>
      <c r="C39" t="s">
        <v>99</v>
      </c>
      <c r="D39" t="s">
        <v>8</v>
      </c>
      <c r="E39">
        <v>1</v>
      </c>
      <c r="F39" t="s">
        <v>126</v>
      </c>
      <c r="G39">
        <v>6.9404859999999999</v>
      </c>
      <c r="H39">
        <v>5.3550909999999998</v>
      </c>
      <c r="I39">
        <v>0.417993</v>
      </c>
      <c r="J39">
        <v>7.2208379999999996</v>
      </c>
      <c r="K39">
        <v>5.5475659999999998</v>
      </c>
      <c r="L39">
        <v>0.40374199999999999</v>
      </c>
      <c r="M39">
        <v>0.27789999999999998</v>
      </c>
      <c r="N39">
        <v>4.4656370000000001</v>
      </c>
      <c r="O39">
        <v>0.32366</v>
      </c>
      <c r="P39" t="s">
        <v>114</v>
      </c>
    </row>
    <row r="40" spans="1:16" x14ac:dyDescent="0.6">
      <c r="A40" t="s">
        <v>235</v>
      </c>
      <c r="B40">
        <v>90</v>
      </c>
      <c r="C40" t="s">
        <v>92</v>
      </c>
      <c r="D40" t="s">
        <v>7</v>
      </c>
      <c r="E40">
        <v>1</v>
      </c>
      <c r="F40" t="s">
        <v>113</v>
      </c>
      <c r="G40">
        <v>6.9550789999999996</v>
      </c>
      <c r="H40">
        <v>5.5282980000000004</v>
      </c>
      <c r="I40">
        <v>0.43144399999999999</v>
      </c>
      <c r="J40">
        <v>7.1349489999999998</v>
      </c>
      <c r="K40">
        <v>5.4568960000000004</v>
      </c>
      <c r="L40">
        <v>0.397374</v>
      </c>
      <c r="M40">
        <v>0.27160000000000001</v>
      </c>
      <c r="N40">
        <v>4.4688720000000002</v>
      </c>
      <c r="O40">
        <v>0.32714700000000002</v>
      </c>
      <c r="P40" t="s">
        <v>114</v>
      </c>
    </row>
    <row r="41" spans="1:16" x14ac:dyDescent="0.6">
      <c r="A41" t="s">
        <v>236</v>
      </c>
      <c r="B41">
        <v>60</v>
      </c>
      <c r="C41" t="s">
        <v>92</v>
      </c>
      <c r="D41" t="s">
        <v>167</v>
      </c>
      <c r="E41">
        <v>1</v>
      </c>
      <c r="F41" t="s">
        <v>237</v>
      </c>
      <c r="G41">
        <v>8.4234848228421804</v>
      </c>
      <c r="H41">
        <v>6.8762642996651699</v>
      </c>
      <c r="I41">
        <v>0.53171512207902205</v>
      </c>
      <c r="J41">
        <v>7.4105862167040399</v>
      </c>
      <c r="K41">
        <v>5.7145420421253501</v>
      </c>
      <c r="L41">
        <v>0.41594271941254002</v>
      </c>
      <c r="M41">
        <v>0.29231740512652599</v>
      </c>
      <c r="N41">
        <v>4.47119140625</v>
      </c>
      <c r="O41">
        <v>0.33018144868187999</v>
      </c>
      <c r="P41" t="s">
        <v>135</v>
      </c>
    </row>
    <row r="42" spans="1:16" x14ac:dyDescent="0.6">
      <c r="A42" t="s">
        <v>238</v>
      </c>
      <c r="B42">
        <v>20</v>
      </c>
      <c r="C42" t="s">
        <v>6</v>
      </c>
      <c r="D42" t="s">
        <v>167</v>
      </c>
      <c r="E42">
        <v>1</v>
      </c>
      <c r="F42" t="s">
        <v>239</v>
      </c>
      <c r="G42">
        <v>8.73956223564279</v>
      </c>
      <c r="H42">
        <v>7.0514969301345696</v>
      </c>
      <c r="I42">
        <v>0.53834291266406198</v>
      </c>
      <c r="J42">
        <v>6.9094331881194302</v>
      </c>
      <c r="K42">
        <v>5.3485276963975696</v>
      </c>
      <c r="L42">
        <v>0.39119348551821298</v>
      </c>
      <c r="M42">
        <v>0.25553018850190301</v>
      </c>
      <c r="N42">
        <v>4.47320556640625</v>
      </c>
      <c r="O42">
        <v>0.33340449798418897</v>
      </c>
      <c r="P42" t="s">
        <v>90</v>
      </c>
    </row>
    <row r="43" spans="1:16" x14ac:dyDescent="0.6">
      <c r="A43" t="s">
        <v>240</v>
      </c>
      <c r="B43">
        <v>60</v>
      </c>
      <c r="C43" t="s">
        <v>6</v>
      </c>
      <c r="D43" t="s">
        <v>167</v>
      </c>
      <c r="E43">
        <v>1</v>
      </c>
      <c r="F43" t="s">
        <v>241</v>
      </c>
      <c r="G43">
        <v>8.4845097797249007</v>
      </c>
      <c r="H43">
        <v>6.8333948156335804</v>
      </c>
      <c r="I43">
        <v>0.52829673005314504</v>
      </c>
      <c r="J43">
        <v>7.7816613534227503</v>
      </c>
      <c r="K43">
        <v>5.9491840709339403</v>
      </c>
      <c r="L43">
        <v>0.43443104377874298</v>
      </c>
      <c r="M43">
        <v>0.32546652773861301</v>
      </c>
      <c r="N43">
        <v>4.474609375</v>
      </c>
      <c r="O43">
        <v>0.32742282546845097</v>
      </c>
      <c r="P43" t="s">
        <v>135</v>
      </c>
    </row>
    <row r="44" spans="1:16" x14ac:dyDescent="0.6">
      <c r="A44" t="s">
        <v>242</v>
      </c>
      <c r="B44">
        <v>30</v>
      </c>
      <c r="C44" t="s">
        <v>6</v>
      </c>
      <c r="D44" t="s">
        <v>7</v>
      </c>
      <c r="E44">
        <v>1</v>
      </c>
      <c r="F44" t="s">
        <v>102</v>
      </c>
      <c r="G44" s="13">
        <v>8.8823086150320698</v>
      </c>
      <c r="H44" s="13">
        <v>7.1348947151254603</v>
      </c>
      <c r="I44" s="13">
        <v>0.54528725498835795</v>
      </c>
      <c r="J44" s="13">
        <v>7.0741044869479301</v>
      </c>
      <c r="K44" s="13">
        <v>5.39117490898058</v>
      </c>
      <c r="L44" s="13">
        <v>0.39437584931035502</v>
      </c>
      <c r="M44">
        <v>0.26864105538190697</v>
      </c>
      <c r="N44">
        <v>4.47637939453125</v>
      </c>
      <c r="O44" s="13">
        <v>0.31870420142372202</v>
      </c>
      <c r="P44" t="s">
        <v>93</v>
      </c>
    </row>
    <row r="45" spans="1:16" x14ac:dyDescent="0.6">
      <c r="A45" t="s">
        <v>243</v>
      </c>
      <c r="B45">
        <v>20</v>
      </c>
      <c r="C45" t="s">
        <v>99</v>
      </c>
      <c r="D45" t="s">
        <v>8</v>
      </c>
      <c r="E45">
        <v>1</v>
      </c>
      <c r="F45" t="s">
        <v>127</v>
      </c>
      <c r="G45">
        <v>8.7377050000000001</v>
      </c>
      <c r="H45">
        <v>6.9227350000000003</v>
      </c>
      <c r="I45">
        <v>0.528366</v>
      </c>
      <c r="J45">
        <v>7.224634</v>
      </c>
      <c r="K45">
        <v>5.581995</v>
      </c>
      <c r="L45">
        <v>0.40810000000000002</v>
      </c>
      <c r="M45">
        <v>0.27929999999999999</v>
      </c>
      <c r="N45">
        <v>4.4867549999999996</v>
      </c>
      <c r="O45">
        <v>0.32525700000000002</v>
      </c>
      <c r="P45" t="s">
        <v>90</v>
      </c>
    </row>
    <row r="46" spans="1:16" x14ac:dyDescent="0.6">
      <c r="A46" t="s">
        <v>244</v>
      </c>
      <c r="B46">
        <v>60</v>
      </c>
      <c r="C46" t="s">
        <v>99</v>
      </c>
      <c r="D46" t="s">
        <v>88</v>
      </c>
      <c r="E46">
        <v>1</v>
      </c>
      <c r="F46" t="s">
        <v>150</v>
      </c>
      <c r="G46">
        <v>8.3870319999999996</v>
      </c>
      <c r="H46">
        <v>6.8625210000000001</v>
      </c>
      <c r="I46">
        <v>0.53032900000000005</v>
      </c>
      <c r="J46">
        <v>7.4794070000000001</v>
      </c>
      <c r="K46">
        <v>5.6867190000000001</v>
      </c>
      <c r="L46">
        <v>0.41473599999999999</v>
      </c>
      <c r="M46">
        <v>0.2994</v>
      </c>
      <c r="N46">
        <v>4.4887079999999999</v>
      </c>
      <c r="O46">
        <v>0.33013799999999999</v>
      </c>
      <c r="P46" t="s">
        <v>135</v>
      </c>
    </row>
    <row r="47" spans="1:16" x14ac:dyDescent="0.6">
      <c r="A47" t="s">
        <v>245</v>
      </c>
      <c r="B47">
        <v>10</v>
      </c>
      <c r="C47" t="s">
        <v>99</v>
      </c>
      <c r="D47" t="s">
        <v>171</v>
      </c>
      <c r="E47">
        <v>1</v>
      </c>
      <c r="F47" t="s">
        <v>246</v>
      </c>
      <c r="G47">
        <v>8.7973791230451095</v>
      </c>
      <c r="H47">
        <v>6.9661100223592998</v>
      </c>
      <c r="I47">
        <v>0.53128192014350994</v>
      </c>
      <c r="J47">
        <v>7.1364558498293302</v>
      </c>
      <c r="K47">
        <v>5.4772344268528697</v>
      </c>
      <c r="L47">
        <v>0.40156658145480401</v>
      </c>
      <c r="M47">
        <v>0.27440496856316204</v>
      </c>
      <c r="N47">
        <v>4.4888916015625</v>
      </c>
      <c r="O47">
        <v>0.32502688811716302</v>
      </c>
      <c r="P47" t="s">
        <v>90</v>
      </c>
    </row>
    <row r="48" spans="1:16" x14ac:dyDescent="0.6">
      <c r="A48" t="s">
        <v>247</v>
      </c>
      <c r="B48">
        <v>10</v>
      </c>
      <c r="C48" t="s">
        <v>9</v>
      </c>
      <c r="D48" t="s">
        <v>88</v>
      </c>
      <c r="E48">
        <v>1</v>
      </c>
      <c r="F48" t="s">
        <v>98</v>
      </c>
      <c r="G48" s="13">
        <v>8.8035537469052798</v>
      </c>
      <c r="H48" s="13">
        <v>7.0949205309377303</v>
      </c>
      <c r="I48" s="13">
        <v>0.54150261559254398</v>
      </c>
      <c r="J48" s="13">
        <v>7.0142449105703699</v>
      </c>
      <c r="K48" s="13">
        <v>5.3826164313122202</v>
      </c>
      <c r="L48" s="13">
        <v>0.394732501653973</v>
      </c>
      <c r="M48">
        <v>0.26525875391023002</v>
      </c>
      <c r="N48">
        <v>4.49322509765625</v>
      </c>
      <c r="O48" s="13">
        <v>0.33505722785023201</v>
      </c>
      <c r="P48" t="s">
        <v>90</v>
      </c>
    </row>
    <row r="49" spans="1:16" x14ac:dyDescent="0.6">
      <c r="A49" t="s">
        <v>248</v>
      </c>
      <c r="B49">
        <v>10</v>
      </c>
      <c r="C49" t="s">
        <v>9</v>
      </c>
      <c r="D49" t="s">
        <v>184</v>
      </c>
      <c r="E49">
        <v>1</v>
      </c>
      <c r="F49" t="s">
        <v>185</v>
      </c>
      <c r="G49">
        <v>8.7751240824947292</v>
      </c>
      <c r="H49">
        <v>7.00674120872808</v>
      </c>
      <c r="I49">
        <v>0.53425735359302196</v>
      </c>
      <c r="J49">
        <v>7.20176695322552</v>
      </c>
      <c r="K49">
        <v>5.50022955700359</v>
      </c>
      <c r="L49">
        <v>0.40295960123583902</v>
      </c>
      <c r="M49">
        <v>0.278693409149886</v>
      </c>
      <c r="N49">
        <v>4.4947509765625</v>
      </c>
      <c r="O49">
        <v>0.32732746862628498</v>
      </c>
      <c r="P49" t="s">
        <v>90</v>
      </c>
    </row>
    <row r="50" spans="1:16" x14ac:dyDescent="0.6">
      <c r="A50" t="s">
        <v>249</v>
      </c>
      <c r="B50">
        <v>60</v>
      </c>
      <c r="C50" t="s">
        <v>92</v>
      </c>
      <c r="D50" t="s">
        <v>7</v>
      </c>
      <c r="E50">
        <v>1</v>
      </c>
      <c r="F50" t="s">
        <v>134</v>
      </c>
      <c r="G50">
        <v>8.4138420000000007</v>
      </c>
      <c r="H50">
        <v>6.8743990000000004</v>
      </c>
      <c r="I50">
        <v>0.53144800000000003</v>
      </c>
      <c r="J50">
        <v>7.2754630000000002</v>
      </c>
      <c r="K50">
        <v>5.5962430000000003</v>
      </c>
      <c r="L50">
        <v>0.40754000000000001</v>
      </c>
      <c r="M50">
        <v>0.28189999999999998</v>
      </c>
      <c r="N50">
        <v>4.4950559999999999</v>
      </c>
      <c r="O50">
        <v>0.33418700000000001</v>
      </c>
      <c r="P50" t="s">
        <v>135</v>
      </c>
    </row>
    <row r="51" spans="1:16" x14ac:dyDescent="0.6">
      <c r="A51" t="s">
        <v>250</v>
      </c>
      <c r="B51">
        <v>90</v>
      </c>
      <c r="C51" t="s">
        <v>99</v>
      </c>
      <c r="D51" t="s">
        <v>174</v>
      </c>
      <c r="E51">
        <v>1</v>
      </c>
      <c r="F51" t="s">
        <v>251</v>
      </c>
      <c r="G51">
        <v>6.9039978543747802</v>
      </c>
      <c r="H51">
        <v>5.5073815548058702</v>
      </c>
      <c r="I51">
        <v>0.429648682147038</v>
      </c>
      <c r="J51">
        <v>7.25942579966366</v>
      </c>
      <c r="K51">
        <v>5.5426719351990501</v>
      </c>
      <c r="L51">
        <v>0.40314418100601201</v>
      </c>
      <c r="M51">
        <v>0.28020475115933202</v>
      </c>
      <c r="N51">
        <v>4.49603271484375</v>
      </c>
      <c r="O51">
        <v>0.32887792502687402</v>
      </c>
      <c r="P51" t="s">
        <v>114</v>
      </c>
    </row>
    <row r="52" spans="1:16" x14ac:dyDescent="0.6">
      <c r="A52" t="s">
        <v>252</v>
      </c>
      <c r="B52">
        <v>30</v>
      </c>
      <c r="C52" t="s">
        <v>92</v>
      </c>
      <c r="D52" t="s">
        <v>171</v>
      </c>
      <c r="E52">
        <v>1</v>
      </c>
      <c r="F52" t="s">
        <v>253</v>
      </c>
      <c r="G52">
        <v>8.8551178953347396</v>
      </c>
      <c r="H52">
        <v>7.1247838487937898</v>
      </c>
      <c r="I52">
        <v>0.54428592920526997</v>
      </c>
      <c r="J52">
        <v>7.1621247613176102</v>
      </c>
      <c r="K52">
        <v>5.5567585472921701</v>
      </c>
      <c r="L52">
        <v>0.40637251245662498</v>
      </c>
      <c r="M52">
        <v>0.27511767742896198</v>
      </c>
      <c r="N52">
        <v>4.49969482421875</v>
      </c>
      <c r="O52">
        <v>0.32721326169611298</v>
      </c>
      <c r="P52" t="s">
        <v>93</v>
      </c>
    </row>
    <row r="53" spans="1:16" x14ac:dyDescent="0.6">
      <c r="A53" t="s">
        <v>254</v>
      </c>
      <c r="B53">
        <v>30</v>
      </c>
      <c r="C53" t="s">
        <v>6</v>
      </c>
      <c r="D53" t="s">
        <v>184</v>
      </c>
      <c r="E53">
        <v>1</v>
      </c>
      <c r="F53" t="s">
        <v>255</v>
      </c>
      <c r="G53">
        <v>8.9185876639425299</v>
      </c>
      <c r="H53">
        <v>7.1638236723595803</v>
      </c>
      <c r="I53">
        <v>0.54740665084654505</v>
      </c>
      <c r="J53">
        <v>6.9449210895727402</v>
      </c>
      <c r="K53">
        <v>5.3968339938561796</v>
      </c>
      <c r="L53">
        <v>0.39450969559335802</v>
      </c>
      <c r="M53">
        <v>0.25812409549544302</v>
      </c>
      <c r="N53">
        <v>4.5006103515625</v>
      </c>
      <c r="O53">
        <v>0.329599423447896</v>
      </c>
      <c r="P53" t="s">
        <v>93</v>
      </c>
    </row>
    <row r="54" spans="1:16" x14ac:dyDescent="0.6">
      <c r="A54" t="s">
        <v>256</v>
      </c>
      <c r="B54">
        <v>90</v>
      </c>
      <c r="C54" t="s">
        <v>92</v>
      </c>
      <c r="D54" t="s">
        <v>184</v>
      </c>
      <c r="E54">
        <v>1</v>
      </c>
      <c r="F54" t="s">
        <v>257</v>
      </c>
      <c r="G54">
        <v>6.9759734859665503</v>
      </c>
      <c r="H54">
        <v>5.5083507191051098</v>
      </c>
      <c r="I54">
        <v>0.42977070577689502</v>
      </c>
      <c r="J54">
        <v>7.4781059670419898</v>
      </c>
      <c r="K54">
        <v>5.7601468857020501</v>
      </c>
      <c r="L54">
        <v>0.41881793482940599</v>
      </c>
      <c r="M54">
        <v>0.297290778011298</v>
      </c>
      <c r="N54">
        <v>4.50250244140625</v>
      </c>
      <c r="O54">
        <v>0.32638429542382402</v>
      </c>
      <c r="P54" t="s">
        <v>114</v>
      </c>
    </row>
    <row r="55" spans="1:16" x14ac:dyDescent="0.6">
      <c r="A55" t="s">
        <v>258</v>
      </c>
      <c r="B55">
        <v>60</v>
      </c>
      <c r="C55" t="s">
        <v>92</v>
      </c>
      <c r="D55" t="s">
        <v>8</v>
      </c>
      <c r="E55">
        <v>1</v>
      </c>
      <c r="F55" t="s">
        <v>141</v>
      </c>
      <c r="G55">
        <v>8.4649870000000007</v>
      </c>
      <c r="H55">
        <v>6.9158369999999998</v>
      </c>
      <c r="I55">
        <v>0.53463700000000003</v>
      </c>
      <c r="J55">
        <v>7.3410529999999996</v>
      </c>
      <c r="K55">
        <v>5.6173570000000002</v>
      </c>
      <c r="L55">
        <v>0.40954499999999999</v>
      </c>
      <c r="M55">
        <v>0.28809999999999997</v>
      </c>
      <c r="N55">
        <v>4.5057980000000004</v>
      </c>
      <c r="O55">
        <v>0.330175</v>
      </c>
      <c r="P55" t="s">
        <v>135</v>
      </c>
    </row>
    <row r="56" spans="1:16" x14ac:dyDescent="0.6">
      <c r="A56" t="s">
        <v>259</v>
      </c>
      <c r="B56">
        <v>60</v>
      </c>
      <c r="C56" t="s">
        <v>9</v>
      </c>
      <c r="D56" t="s">
        <v>8</v>
      </c>
      <c r="E56">
        <v>1</v>
      </c>
      <c r="F56" t="s">
        <v>154</v>
      </c>
      <c r="G56" s="13">
        <v>8.2972098186660403</v>
      </c>
      <c r="H56" s="13">
        <v>6.7172210190322303</v>
      </c>
      <c r="I56" s="13">
        <v>0.51941760302013795</v>
      </c>
      <c r="J56" s="13">
        <v>7.5538931316901596</v>
      </c>
      <c r="K56" s="13">
        <v>5.7484637173739301</v>
      </c>
      <c r="L56" s="13">
        <v>0.41920186875356302</v>
      </c>
      <c r="M56">
        <v>0.30560981843080198</v>
      </c>
      <c r="N56">
        <v>4.50982666015625</v>
      </c>
      <c r="O56">
        <v>0.32744125759083598</v>
      </c>
      <c r="P56" t="s">
        <v>135</v>
      </c>
    </row>
    <row r="57" spans="1:16" x14ac:dyDescent="0.6">
      <c r="A57" t="s">
        <v>260</v>
      </c>
      <c r="B57">
        <v>20</v>
      </c>
      <c r="C57" t="s">
        <v>99</v>
      </c>
      <c r="D57" t="s">
        <v>184</v>
      </c>
      <c r="E57">
        <v>1</v>
      </c>
      <c r="F57" t="s">
        <v>261</v>
      </c>
      <c r="G57">
        <v>8.7093090934152997</v>
      </c>
      <c r="H57">
        <v>7.0535987014965604</v>
      </c>
      <c r="I57">
        <v>0.53813434703157903</v>
      </c>
      <c r="J57">
        <v>7.0615957708037298</v>
      </c>
      <c r="K57">
        <v>5.4926418728298598</v>
      </c>
      <c r="L57">
        <v>0.40174695545087202</v>
      </c>
      <c r="M57">
        <v>0.26684443350425996</v>
      </c>
      <c r="N57">
        <v>4.51336669921875</v>
      </c>
      <c r="O57">
        <v>0.335762069531989</v>
      </c>
      <c r="P57" t="s">
        <v>90</v>
      </c>
    </row>
    <row r="58" spans="1:16" x14ac:dyDescent="0.6">
      <c r="A58" t="s">
        <v>262</v>
      </c>
      <c r="B58">
        <v>20</v>
      </c>
      <c r="C58" t="s">
        <v>92</v>
      </c>
      <c r="D58" t="s">
        <v>184</v>
      </c>
      <c r="E58">
        <v>1</v>
      </c>
      <c r="F58" t="s">
        <v>263</v>
      </c>
      <c r="G58">
        <v>8.6676486743263403</v>
      </c>
      <c r="H58">
        <v>6.9470892513499498</v>
      </c>
      <c r="I58">
        <v>0.53011100934659405</v>
      </c>
      <c r="J58">
        <v>7.0743080183710898</v>
      </c>
      <c r="K58">
        <v>5.4778284143518503</v>
      </c>
      <c r="L58">
        <v>0.40065980589008998</v>
      </c>
      <c r="M58">
        <v>0.26794008720461598</v>
      </c>
      <c r="N58">
        <v>4.514892578125</v>
      </c>
      <c r="O58">
        <v>0.33447051699409902</v>
      </c>
      <c r="P58" t="s">
        <v>90</v>
      </c>
    </row>
    <row r="59" spans="1:16" x14ac:dyDescent="0.6">
      <c r="A59" t="s">
        <v>264</v>
      </c>
      <c r="B59">
        <v>90</v>
      </c>
      <c r="C59" t="s">
        <v>92</v>
      </c>
      <c r="D59" t="s">
        <v>177</v>
      </c>
      <c r="E59">
        <v>1</v>
      </c>
      <c r="F59" t="s">
        <v>265</v>
      </c>
      <c r="G59">
        <v>6.9648077654448501</v>
      </c>
      <c r="H59">
        <v>5.5270959102746202</v>
      </c>
      <c r="I59">
        <v>0.43079023863983001</v>
      </c>
      <c r="J59">
        <v>7.5670439126798703</v>
      </c>
      <c r="K59">
        <v>5.8278214964148098</v>
      </c>
      <c r="L59">
        <v>0.42337012666499602</v>
      </c>
      <c r="M59">
        <v>0.30344841242670501</v>
      </c>
      <c r="N59">
        <v>4.5177001953125</v>
      </c>
      <c r="O59">
        <v>0.33029998213330902</v>
      </c>
      <c r="P59" t="s">
        <v>114</v>
      </c>
    </row>
    <row r="60" spans="1:16" x14ac:dyDescent="0.6">
      <c r="A60" t="s">
        <v>266</v>
      </c>
      <c r="B60">
        <v>20</v>
      </c>
      <c r="C60" t="s">
        <v>99</v>
      </c>
      <c r="D60" t="s">
        <v>88</v>
      </c>
      <c r="E60">
        <v>1</v>
      </c>
      <c r="F60" t="s">
        <v>101</v>
      </c>
      <c r="G60">
        <v>8.6534899999999997</v>
      </c>
      <c r="H60">
        <v>7.0178289999999999</v>
      </c>
      <c r="I60">
        <v>0.53542100000000004</v>
      </c>
      <c r="J60">
        <v>7.072762</v>
      </c>
      <c r="K60">
        <v>5.4878910000000003</v>
      </c>
      <c r="L60">
        <v>0.401694</v>
      </c>
      <c r="M60">
        <v>0.26840000000000003</v>
      </c>
      <c r="N60">
        <v>4.5192259999999997</v>
      </c>
      <c r="O60">
        <v>0.33579300000000001</v>
      </c>
      <c r="P60" t="s">
        <v>90</v>
      </c>
    </row>
    <row r="61" spans="1:16" x14ac:dyDescent="0.6">
      <c r="A61" t="s">
        <v>416</v>
      </c>
      <c r="B61">
        <v>5</v>
      </c>
      <c r="C61" t="s">
        <v>99</v>
      </c>
      <c r="D61" t="s">
        <v>184</v>
      </c>
      <c r="E61">
        <v>1</v>
      </c>
      <c r="F61" t="s">
        <v>417</v>
      </c>
      <c r="G61">
        <v>8.72736280506615</v>
      </c>
      <c r="H61">
        <v>6.9393144815223904</v>
      </c>
      <c r="I61">
        <v>0.52955366903621204</v>
      </c>
      <c r="J61">
        <v>7.25306791124759</v>
      </c>
      <c r="K61">
        <v>5.5204914307697504</v>
      </c>
      <c r="L61">
        <v>0.40481444776612102</v>
      </c>
      <c r="M61">
        <v>0.28371624795300399</v>
      </c>
      <c r="N61">
        <v>4.6929931640625</v>
      </c>
      <c r="O61">
        <v>0.343381678549535</v>
      </c>
      <c r="P61" t="s">
        <v>90</v>
      </c>
    </row>
    <row r="62" spans="1:16" x14ac:dyDescent="0.6">
      <c r="A62" t="s">
        <v>269</v>
      </c>
      <c r="B62">
        <v>30</v>
      </c>
      <c r="C62" t="s">
        <v>99</v>
      </c>
      <c r="D62" t="s">
        <v>174</v>
      </c>
      <c r="E62">
        <v>1</v>
      </c>
      <c r="F62" t="s">
        <v>270</v>
      </c>
      <c r="G62">
        <v>9.0465831331260897</v>
      </c>
      <c r="H62">
        <v>7.2981439819849196</v>
      </c>
      <c r="I62">
        <v>0.55768695282298797</v>
      </c>
      <c r="J62">
        <v>7.2855276248303298</v>
      </c>
      <c r="K62">
        <v>5.5776900504399203</v>
      </c>
      <c r="L62">
        <v>0.408148622362841</v>
      </c>
      <c r="M62">
        <v>0.28530570667898103</v>
      </c>
      <c r="N62">
        <v>4.520751953125</v>
      </c>
      <c r="O62">
        <v>0.32368609900073497</v>
      </c>
      <c r="P62" t="s">
        <v>93</v>
      </c>
    </row>
    <row r="63" spans="1:16" x14ac:dyDescent="0.6">
      <c r="A63" t="s">
        <v>271</v>
      </c>
      <c r="B63">
        <v>10</v>
      </c>
      <c r="C63" t="s">
        <v>99</v>
      </c>
      <c r="D63" t="s">
        <v>184</v>
      </c>
      <c r="E63">
        <v>1</v>
      </c>
      <c r="F63" t="s">
        <v>272</v>
      </c>
      <c r="G63">
        <v>8.7671341515318808</v>
      </c>
      <c r="H63">
        <v>6.99640267718791</v>
      </c>
      <c r="I63">
        <v>0.53368879743952802</v>
      </c>
      <c r="J63">
        <v>7.0933020461992298</v>
      </c>
      <c r="K63">
        <v>5.4057876451880498</v>
      </c>
      <c r="L63">
        <v>0.396384793034188</v>
      </c>
      <c r="M63">
        <v>0.27127378457727097</v>
      </c>
      <c r="N63">
        <v>4.52130126953125</v>
      </c>
      <c r="O63">
        <v>0.32774827382439697</v>
      </c>
      <c r="P63" t="s">
        <v>90</v>
      </c>
    </row>
    <row r="64" spans="1:16" x14ac:dyDescent="0.6">
      <c r="A64" t="s">
        <v>427</v>
      </c>
      <c r="B64">
        <v>5</v>
      </c>
      <c r="C64" t="s">
        <v>99</v>
      </c>
      <c r="D64" t="s">
        <v>181</v>
      </c>
      <c r="E64">
        <v>1</v>
      </c>
      <c r="F64" t="s">
        <v>428</v>
      </c>
      <c r="G64">
        <v>8.7271697719243093</v>
      </c>
      <c r="H64">
        <v>7.0582875158453602</v>
      </c>
      <c r="I64">
        <v>0.53823454729656495</v>
      </c>
      <c r="J64">
        <v>7.3164643827257496</v>
      </c>
      <c r="K64">
        <v>5.5876005098417201</v>
      </c>
      <c r="L64">
        <v>0.40965368709128702</v>
      </c>
      <c r="M64">
        <v>0.28857901898050603</v>
      </c>
      <c r="N64">
        <v>4.7071533203125</v>
      </c>
      <c r="O64">
        <v>0.350443747561754</v>
      </c>
      <c r="P64" t="s">
        <v>90</v>
      </c>
    </row>
    <row r="65" spans="1:16" x14ac:dyDescent="0.6">
      <c r="A65" t="s">
        <v>273</v>
      </c>
      <c r="B65">
        <v>5</v>
      </c>
      <c r="C65" t="s">
        <v>92</v>
      </c>
      <c r="D65" t="s">
        <v>171</v>
      </c>
      <c r="E65">
        <v>1</v>
      </c>
      <c r="F65" t="s">
        <v>274</v>
      </c>
      <c r="G65">
        <v>8.73376775619451</v>
      </c>
      <c r="H65">
        <v>6.9745817782575203</v>
      </c>
      <c r="I65">
        <v>0.53212286594330205</v>
      </c>
      <c r="J65">
        <v>7.31808395842548</v>
      </c>
      <c r="K65">
        <v>5.6063993379667201</v>
      </c>
      <c r="L65">
        <v>0.41094933187583599</v>
      </c>
      <c r="M65">
        <v>0.28843989116406699</v>
      </c>
      <c r="N65">
        <v>4.5218505859375</v>
      </c>
      <c r="O65">
        <v>0.33376193248677</v>
      </c>
      <c r="P65" t="s">
        <v>90</v>
      </c>
    </row>
    <row r="66" spans="1:16" x14ac:dyDescent="0.6">
      <c r="A66" t="s">
        <v>278</v>
      </c>
      <c r="B66">
        <v>30</v>
      </c>
      <c r="C66" t="s">
        <v>9</v>
      </c>
      <c r="D66" t="s">
        <v>177</v>
      </c>
      <c r="E66">
        <v>1</v>
      </c>
      <c r="F66" t="s">
        <v>279</v>
      </c>
      <c r="G66">
        <v>8.9536093620515906</v>
      </c>
      <c r="H66">
        <v>7.1696677629039298</v>
      </c>
      <c r="I66">
        <v>0.54820028175822499</v>
      </c>
      <c r="J66">
        <v>7.0785406480977997</v>
      </c>
      <c r="K66">
        <v>5.3913911986119496</v>
      </c>
      <c r="L66">
        <v>0.394443503702266</v>
      </c>
      <c r="M66">
        <v>0.26886777306660098</v>
      </c>
      <c r="N66">
        <v>4.52740478515625</v>
      </c>
      <c r="O66">
        <v>0.32923683635846901</v>
      </c>
      <c r="P66" t="s">
        <v>93</v>
      </c>
    </row>
    <row r="67" spans="1:16" x14ac:dyDescent="0.6">
      <c r="A67" t="s">
        <v>280</v>
      </c>
      <c r="B67">
        <v>30</v>
      </c>
      <c r="C67" t="s">
        <v>6</v>
      </c>
      <c r="D67" t="s">
        <v>88</v>
      </c>
      <c r="E67">
        <v>1</v>
      </c>
      <c r="F67" t="s">
        <v>94</v>
      </c>
      <c r="G67">
        <v>8.8322457835879398</v>
      </c>
      <c r="H67" s="13">
        <v>7.1152062700815399</v>
      </c>
      <c r="I67">
        <v>0.54368540026102397</v>
      </c>
      <c r="J67" s="13">
        <v>6.9718347171281696</v>
      </c>
      <c r="K67" s="13">
        <v>5.3544643365063704</v>
      </c>
      <c r="L67" s="13">
        <v>0.39158716586970299</v>
      </c>
      <c r="M67">
        <v>0.26048837702643801</v>
      </c>
      <c r="N67">
        <v>4.52813720703125</v>
      </c>
      <c r="O67" s="13">
        <v>0.33064387364049003</v>
      </c>
      <c r="P67" t="s">
        <v>93</v>
      </c>
    </row>
    <row r="68" spans="1:16" x14ac:dyDescent="0.6">
      <c r="A68" t="s">
        <v>281</v>
      </c>
      <c r="B68">
        <v>30</v>
      </c>
      <c r="C68" t="s">
        <v>92</v>
      </c>
      <c r="D68" t="s">
        <v>7</v>
      </c>
      <c r="E68">
        <v>1</v>
      </c>
      <c r="F68" t="s">
        <v>107</v>
      </c>
      <c r="G68">
        <v>8.8445169999999997</v>
      </c>
      <c r="H68">
        <v>7.1684669999999997</v>
      </c>
      <c r="I68">
        <v>0.54779999999999995</v>
      </c>
      <c r="J68">
        <v>7.102481</v>
      </c>
      <c r="K68">
        <v>5.5047560000000004</v>
      </c>
      <c r="L68">
        <v>0.402221</v>
      </c>
      <c r="M68">
        <v>0.26960000000000001</v>
      </c>
      <c r="N68">
        <v>4.533569</v>
      </c>
      <c r="O68">
        <v>0.33159</v>
      </c>
      <c r="P68" t="s">
        <v>93</v>
      </c>
    </row>
    <row r="69" spans="1:16" x14ac:dyDescent="0.6">
      <c r="A69" t="s">
        <v>282</v>
      </c>
      <c r="B69">
        <v>30</v>
      </c>
      <c r="C69" t="s">
        <v>99</v>
      </c>
      <c r="D69" t="s">
        <v>7</v>
      </c>
      <c r="E69">
        <v>1</v>
      </c>
      <c r="F69" t="s">
        <v>133</v>
      </c>
      <c r="G69">
        <v>8.8176419999999993</v>
      </c>
      <c r="H69">
        <v>7.1333419999999998</v>
      </c>
      <c r="I69">
        <v>0.54507499999999998</v>
      </c>
      <c r="J69">
        <v>7.2696249999999996</v>
      </c>
      <c r="K69">
        <v>5.5980309999999998</v>
      </c>
      <c r="L69">
        <v>0.40990300000000002</v>
      </c>
      <c r="M69">
        <v>0.28449999999999998</v>
      </c>
      <c r="N69">
        <v>4.5358890000000001</v>
      </c>
      <c r="O69">
        <v>0.332318</v>
      </c>
      <c r="P69" t="s">
        <v>93</v>
      </c>
    </row>
    <row r="70" spans="1:16" x14ac:dyDescent="0.6">
      <c r="A70" t="s">
        <v>283</v>
      </c>
      <c r="B70">
        <v>90</v>
      </c>
      <c r="C70" t="s">
        <v>6</v>
      </c>
      <c r="D70" t="s">
        <v>184</v>
      </c>
      <c r="E70">
        <v>1</v>
      </c>
      <c r="F70" t="s">
        <v>284</v>
      </c>
      <c r="G70">
        <v>6.9900824762899099</v>
      </c>
      <c r="H70">
        <v>5.5448922821969697</v>
      </c>
      <c r="I70">
        <v>0.43208221004040598</v>
      </c>
      <c r="J70">
        <v>7.5520015170068699</v>
      </c>
      <c r="K70">
        <v>5.7659092733304798</v>
      </c>
      <c r="L70">
        <v>0.41896272071794399</v>
      </c>
      <c r="M70">
        <v>0.30249248850452704</v>
      </c>
      <c r="N70">
        <v>4.53607177734375</v>
      </c>
      <c r="O70">
        <v>0.33432554993896901</v>
      </c>
      <c r="P70" t="s">
        <v>114</v>
      </c>
    </row>
    <row r="71" spans="1:16" x14ac:dyDescent="0.6">
      <c r="A71" t="s">
        <v>326</v>
      </c>
      <c r="B71">
        <v>5</v>
      </c>
      <c r="C71" t="s">
        <v>92</v>
      </c>
      <c r="D71" t="s">
        <v>174</v>
      </c>
      <c r="E71">
        <v>1</v>
      </c>
      <c r="F71" t="s">
        <v>327</v>
      </c>
      <c r="G71">
        <v>8.7010188031686404</v>
      </c>
      <c r="H71">
        <v>6.92827637900829</v>
      </c>
      <c r="I71">
        <v>0.528763146314432</v>
      </c>
      <c r="J71">
        <v>7.1141418810141799</v>
      </c>
      <c r="K71">
        <v>5.41463374678706</v>
      </c>
      <c r="L71">
        <v>0.39730070136442702</v>
      </c>
      <c r="M71">
        <v>0.273386748032167</v>
      </c>
      <c r="N71">
        <v>4.57861328125</v>
      </c>
      <c r="O71">
        <v>0.337547252488202</v>
      </c>
      <c r="P71" t="s">
        <v>90</v>
      </c>
    </row>
    <row r="72" spans="1:16" x14ac:dyDescent="0.6">
      <c r="A72" t="s">
        <v>286</v>
      </c>
      <c r="B72">
        <v>10</v>
      </c>
      <c r="C72" t="s">
        <v>92</v>
      </c>
      <c r="D72" t="s">
        <v>181</v>
      </c>
      <c r="E72">
        <v>1</v>
      </c>
      <c r="F72" t="s">
        <v>287</v>
      </c>
      <c r="G72">
        <v>8.7417267816007804</v>
      </c>
      <c r="H72">
        <v>7.0436178354116503</v>
      </c>
      <c r="I72">
        <v>0.53711320218132896</v>
      </c>
      <c r="J72">
        <v>7.3240493936454198</v>
      </c>
      <c r="K72">
        <v>5.6368057115942998</v>
      </c>
      <c r="L72">
        <v>0.412695655369684</v>
      </c>
      <c r="M72">
        <v>0.28785570432778401</v>
      </c>
      <c r="N72">
        <v>4.53826904296875</v>
      </c>
      <c r="O72">
        <v>0.33392464952547701</v>
      </c>
      <c r="P72" t="s">
        <v>90</v>
      </c>
    </row>
    <row r="73" spans="1:16" x14ac:dyDescent="0.6">
      <c r="A73" t="s">
        <v>288</v>
      </c>
      <c r="B73">
        <v>10</v>
      </c>
      <c r="C73" t="s">
        <v>92</v>
      </c>
      <c r="D73" t="s">
        <v>184</v>
      </c>
      <c r="E73">
        <v>1</v>
      </c>
      <c r="F73" t="s">
        <v>289</v>
      </c>
      <c r="G73">
        <v>8.6892678331759594</v>
      </c>
      <c r="H73">
        <v>6.9507208546542101</v>
      </c>
      <c r="I73">
        <v>0.53019032485938</v>
      </c>
      <c r="J73">
        <v>7.1144293692079899</v>
      </c>
      <c r="K73">
        <v>5.4626734910812997</v>
      </c>
      <c r="L73">
        <v>0.40014168768384201</v>
      </c>
      <c r="M73">
        <v>0.27191211582091102</v>
      </c>
      <c r="N73">
        <v>4.538330078125</v>
      </c>
      <c r="O73">
        <v>0.33446566785680998</v>
      </c>
      <c r="P73" t="s">
        <v>90</v>
      </c>
    </row>
    <row r="74" spans="1:16" x14ac:dyDescent="0.6">
      <c r="A74" t="s">
        <v>290</v>
      </c>
      <c r="B74">
        <v>10</v>
      </c>
      <c r="C74" t="s">
        <v>99</v>
      </c>
      <c r="D74" t="s">
        <v>174</v>
      </c>
      <c r="E74">
        <v>1</v>
      </c>
      <c r="F74" t="s">
        <v>291</v>
      </c>
      <c r="G74">
        <v>8.6969158325653009</v>
      </c>
      <c r="H74">
        <v>6.9835352372619699</v>
      </c>
      <c r="I74">
        <v>0.53245905782361003</v>
      </c>
      <c r="J74">
        <v>7.1505132348518501</v>
      </c>
      <c r="K74">
        <v>5.4828005090224003</v>
      </c>
      <c r="L74">
        <v>0.40173450713105502</v>
      </c>
      <c r="M74">
        <v>0.27492379312021997</v>
      </c>
      <c r="N74">
        <v>4.5423583984375</v>
      </c>
      <c r="O74">
        <v>0.33483871097600898</v>
      </c>
      <c r="P74" t="s">
        <v>90</v>
      </c>
    </row>
    <row r="75" spans="1:16" x14ac:dyDescent="0.6">
      <c r="A75" t="s">
        <v>292</v>
      </c>
      <c r="B75">
        <v>60</v>
      </c>
      <c r="C75" t="s">
        <v>92</v>
      </c>
      <c r="D75" t="s">
        <v>174</v>
      </c>
      <c r="E75">
        <v>1</v>
      </c>
      <c r="F75" t="s">
        <v>293</v>
      </c>
      <c r="G75">
        <v>8.49040396667273</v>
      </c>
      <c r="H75">
        <v>6.8740471640785898</v>
      </c>
      <c r="I75">
        <v>0.53151831782648795</v>
      </c>
      <c r="J75">
        <v>7.2218359378050501</v>
      </c>
      <c r="K75">
        <v>5.5552395907315297</v>
      </c>
      <c r="L75">
        <v>0.40468382117809298</v>
      </c>
      <c r="M75">
        <v>0.27811566327297099</v>
      </c>
      <c r="N75">
        <v>4.5439453125</v>
      </c>
      <c r="O75">
        <v>0.32296682360331902</v>
      </c>
      <c r="P75" t="s">
        <v>135</v>
      </c>
    </row>
    <row r="76" spans="1:16" x14ac:dyDescent="0.6">
      <c r="A76" t="s">
        <v>294</v>
      </c>
      <c r="B76">
        <v>30</v>
      </c>
      <c r="C76" t="s">
        <v>99</v>
      </c>
      <c r="D76" t="s">
        <v>88</v>
      </c>
      <c r="E76">
        <v>1</v>
      </c>
      <c r="F76" t="s">
        <v>122</v>
      </c>
      <c r="G76">
        <v>8.9580760000000001</v>
      </c>
      <c r="H76">
        <v>7.1996510000000002</v>
      </c>
      <c r="I76">
        <v>0.55013800000000002</v>
      </c>
      <c r="J76">
        <v>7.1920529999999996</v>
      </c>
      <c r="K76">
        <v>5.4625450000000004</v>
      </c>
      <c r="L76">
        <v>0.39982099999999998</v>
      </c>
      <c r="M76">
        <v>0.27810000000000001</v>
      </c>
      <c r="N76">
        <v>4.546265</v>
      </c>
      <c r="O76">
        <v>0.327484</v>
      </c>
      <c r="P76" t="s">
        <v>93</v>
      </c>
    </row>
    <row r="77" spans="1:16" x14ac:dyDescent="0.6">
      <c r="A77" t="s">
        <v>295</v>
      </c>
      <c r="B77">
        <v>60</v>
      </c>
      <c r="C77" t="s">
        <v>99</v>
      </c>
      <c r="D77" t="s">
        <v>167</v>
      </c>
      <c r="E77">
        <v>1</v>
      </c>
      <c r="F77" t="s">
        <v>296</v>
      </c>
      <c r="G77">
        <v>8.4716959841539907</v>
      </c>
      <c r="H77">
        <v>6.9035548954219603</v>
      </c>
      <c r="I77">
        <v>0.53369907078776402</v>
      </c>
      <c r="J77">
        <v>7.5261966030566798</v>
      </c>
      <c r="K77">
        <v>5.8170013427734304</v>
      </c>
      <c r="L77">
        <v>0.42313114491598802</v>
      </c>
      <c r="M77">
        <v>0.30075816706513203</v>
      </c>
      <c r="N77">
        <v>4.54693603515625</v>
      </c>
      <c r="O77">
        <v>0.333240543257804</v>
      </c>
      <c r="P77" t="s">
        <v>135</v>
      </c>
    </row>
    <row r="78" spans="1:16" x14ac:dyDescent="0.6">
      <c r="A78" t="s">
        <v>297</v>
      </c>
      <c r="B78">
        <v>90</v>
      </c>
      <c r="C78" t="s">
        <v>99</v>
      </c>
      <c r="D78" t="s">
        <v>177</v>
      </c>
      <c r="E78">
        <v>1</v>
      </c>
      <c r="F78" t="s">
        <v>298</v>
      </c>
      <c r="G78">
        <v>6.8478510732589397</v>
      </c>
      <c r="H78">
        <v>5.4573197798295396</v>
      </c>
      <c r="I78">
        <v>0.42557160301583902</v>
      </c>
      <c r="J78">
        <v>7.27547183561824</v>
      </c>
      <c r="K78">
        <v>5.5001103649400598</v>
      </c>
      <c r="L78">
        <v>0.40045828507755399</v>
      </c>
      <c r="M78">
        <v>0.282565962582701</v>
      </c>
      <c r="N78">
        <v>4.55108642578125</v>
      </c>
      <c r="O78">
        <v>0.33052569690646999</v>
      </c>
      <c r="P78" t="s">
        <v>114</v>
      </c>
    </row>
    <row r="79" spans="1:16" x14ac:dyDescent="0.6">
      <c r="A79" t="s">
        <v>299</v>
      </c>
      <c r="B79">
        <v>10</v>
      </c>
      <c r="C79" t="s">
        <v>6</v>
      </c>
      <c r="D79" t="s">
        <v>8</v>
      </c>
      <c r="E79">
        <v>1</v>
      </c>
      <c r="F79" t="s">
        <v>119</v>
      </c>
      <c r="G79" s="13">
        <v>8.6998498845051593</v>
      </c>
      <c r="H79" s="13">
        <v>6.9260883129919604</v>
      </c>
      <c r="I79" s="13">
        <v>0.528211974005666</v>
      </c>
      <c r="J79" s="13">
        <v>7.1650203889964903</v>
      </c>
      <c r="K79" s="13">
        <v>5.4374060166620497</v>
      </c>
      <c r="L79" s="13">
        <v>0.39856606711291298</v>
      </c>
      <c r="M79">
        <v>0.27673687531393298</v>
      </c>
      <c r="N79">
        <v>4.5518798828125</v>
      </c>
      <c r="O79" s="13">
        <v>0.340928896822143</v>
      </c>
      <c r="P79" t="s">
        <v>90</v>
      </c>
    </row>
    <row r="80" spans="1:16" x14ac:dyDescent="0.6">
      <c r="A80" t="s">
        <v>300</v>
      </c>
      <c r="B80">
        <v>20</v>
      </c>
      <c r="C80" t="s">
        <v>99</v>
      </c>
      <c r="D80" t="s">
        <v>167</v>
      </c>
      <c r="E80">
        <v>1</v>
      </c>
      <c r="F80" t="s">
        <v>301</v>
      </c>
      <c r="G80">
        <v>8.6363696308858504</v>
      </c>
      <c r="H80">
        <v>6.8875861789869202</v>
      </c>
      <c r="I80">
        <v>0.52511405477070205</v>
      </c>
      <c r="J80">
        <v>7.1612871983724</v>
      </c>
      <c r="K80">
        <v>5.4898941605179399</v>
      </c>
      <c r="L80">
        <v>0.40188889105581199</v>
      </c>
      <c r="M80">
        <v>0.27517145078420396</v>
      </c>
      <c r="N80">
        <v>4.55364990234375</v>
      </c>
      <c r="O80">
        <v>0.33393389987949201</v>
      </c>
      <c r="P80" t="s">
        <v>90</v>
      </c>
    </row>
    <row r="81" spans="1:16" x14ac:dyDescent="0.6">
      <c r="A81" t="s">
        <v>302</v>
      </c>
      <c r="B81">
        <v>10</v>
      </c>
      <c r="C81" t="s">
        <v>99</v>
      </c>
      <c r="D81" t="s">
        <v>177</v>
      </c>
      <c r="E81">
        <v>1</v>
      </c>
      <c r="F81" t="s">
        <v>303</v>
      </c>
      <c r="G81">
        <v>8.7796463880079099</v>
      </c>
      <c r="H81">
        <v>7.02080106663308</v>
      </c>
      <c r="I81">
        <v>0.535381899828684</v>
      </c>
      <c r="J81">
        <v>7.0347555566359796</v>
      </c>
      <c r="K81">
        <v>5.4116259549571302</v>
      </c>
      <c r="L81">
        <v>0.39669362694722199</v>
      </c>
      <c r="M81">
        <v>0.26633654876893803</v>
      </c>
      <c r="N81">
        <v>4.5540771484375</v>
      </c>
      <c r="O81">
        <v>0.34145180350545601</v>
      </c>
      <c r="P81" t="s">
        <v>90</v>
      </c>
    </row>
    <row r="82" spans="1:16" x14ac:dyDescent="0.6">
      <c r="A82" t="s">
        <v>304</v>
      </c>
      <c r="B82">
        <v>60</v>
      </c>
      <c r="C82" t="s">
        <v>6</v>
      </c>
      <c r="D82" t="s">
        <v>171</v>
      </c>
      <c r="E82">
        <v>1</v>
      </c>
      <c r="F82" t="s">
        <v>305</v>
      </c>
      <c r="G82">
        <v>8.4940685447783704</v>
      </c>
      <c r="H82">
        <v>6.8555690220424097</v>
      </c>
      <c r="I82">
        <v>0.53014016009416098</v>
      </c>
      <c r="J82">
        <v>7.2983879602909001</v>
      </c>
      <c r="K82">
        <v>5.5746695778586597</v>
      </c>
      <c r="L82">
        <v>0.40629008060014399</v>
      </c>
      <c r="M82">
        <v>0.28452423644074898</v>
      </c>
      <c r="N82">
        <v>4.55950927734375</v>
      </c>
      <c r="O82">
        <v>0.32931139820038002</v>
      </c>
      <c r="P82" t="s">
        <v>135</v>
      </c>
    </row>
    <row r="83" spans="1:16" x14ac:dyDescent="0.6">
      <c r="A83" t="s">
        <v>306</v>
      </c>
      <c r="B83">
        <v>20</v>
      </c>
      <c r="C83" t="s">
        <v>92</v>
      </c>
      <c r="D83" t="s">
        <v>171</v>
      </c>
      <c r="E83">
        <v>1</v>
      </c>
      <c r="F83" t="s">
        <v>307</v>
      </c>
      <c r="G83">
        <v>8.7480509366573997</v>
      </c>
      <c r="H83">
        <v>7.0606225055197003</v>
      </c>
      <c r="I83">
        <v>0.53903426797945297</v>
      </c>
      <c r="J83">
        <v>7.11102264362958</v>
      </c>
      <c r="K83">
        <v>5.5107970061125497</v>
      </c>
      <c r="L83">
        <v>0.40300740674883101</v>
      </c>
      <c r="M83">
        <v>0.27045961098927301</v>
      </c>
      <c r="N83">
        <v>4.56024169921875</v>
      </c>
      <c r="O83">
        <v>0.33683021487401099</v>
      </c>
      <c r="P83" t="s">
        <v>90</v>
      </c>
    </row>
    <row r="84" spans="1:16" x14ac:dyDescent="0.6">
      <c r="A84" t="s">
        <v>328</v>
      </c>
      <c r="B84">
        <v>5</v>
      </c>
      <c r="C84" t="s">
        <v>92</v>
      </c>
      <c r="D84" t="s">
        <v>167</v>
      </c>
      <c r="E84">
        <v>1</v>
      </c>
      <c r="F84" t="s">
        <v>329</v>
      </c>
      <c r="G84">
        <v>8.7106011131815908</v>
      </c>
      <c r="H84">
        <v>6.9257101465514497</v>
      </c>
      <c r="I84">
        <v>0.52840618990675503</v>
      </c>
      <c r="J84">
        <v>7.2003101793619901</v>
      </c>
      <c r="K84">
        <v>5.5028461935200204</v>
      </c>
      <c r="L84">
        <v>0.40349583544158601</v>
      </c>
      <c r="M84">
        <v>0.279518293146295</v>
      </c>
      <c r="N84">
        <v>4.5789794921875</v>
      </c>
      <c r="O84">
        <v>0.33384713386783299</v>
      </c>
      <c r="P84" t="s">
        <v>90</v>
      </c>
    </row>
    <row r="85" spans="1:16" x14ac:dyDescent="0.6">
      <c r="A85" t="s">
        <v>309</v>
      </c>
      <c r="B85">
        <v>20</v>
      </c>
      <c r="C85" t="s">
        <v>9</v>
      </c>
      <c r="D85" t="s">
        <v>167</v>
      </c>
      <c r="E85">
        <v>1</v>
      </c>
      <c r="F85" t="s">
        <v>222</v>
      </c>
      <c r="G85">
        <v>8.8094905218660902</v>
      </c>
      <c r="H85">
        <v>7.0368936836262099</v>
      </c>
      <c r="I85">
        <v>0.53704858585729298</v>
      </c>
      <c r="J85">
        <v>7.11096777510273</v>
      </c>
      <c r="K85">
        <v>5.4359684696903896</v>
      </c>
      <c r="L85">
        <v>0.39841509470096897</v>
      </c>
      <c r="M85">
        <v>0.27237505233505299</v>
      </c>
      <c r="N85">
        <v>4.56512451171875</v>
      </c>
      <c r="O85">
        <v>0.33613208379807002</v>
      </c>
      <c r="P85" t="s">
        <v>90</v>
      </c>
    </row>
    <row r="86" spans="1:16" x14ac:dyDescent="0.6">
      <c r="A86" t="s">
        <v>310</v>
      </c>
      <c r="B86">
        <v>30</v>
      </c>
      <c r="C86" t="s">
        <v>92</v>
      </c>
      <c r="D86" t="s">
        <v>184</v>
      </c>
      <c r="E86">
        <v>1</v>
      </c>
      <c r="F86" t="s">
        <v>311</v>
      </c>
      <c r="G86">
        <v>8.8876052006916098</v>
      </c>
      <c r="H86">
        <v>7.1266485652169598</v>
      </c>
      <c r="I86">
        <v>0.54456591613799299</v>
      </c>
      <c r="J86">
        <v>7.1172234829598802</v>
      </c>
      <c r="K86">
        <v>5.52747707922481</v>
      </c>
      <c r="L86">
        <v>0.40387515896133003</v>
      </c>
      <c r="M86">
        <v>0.27072464319089101</v>
      </c>
      <c r="N86">
        <v>4.5657958984375</v>
      </c>
      <c r="O86">
        <v>0.33906506811703802</v>
      </c>
      <c r="P86" t="s">
        <v>93</v>
      </c>
    </row>
    <row r="87" spans="1:16" x14ac:dyDescent="0.6">
      <c r="A87" t="s">
        <v>335</v>
      </c>
      <c r="B87">
        <v>5</v>
      </c>
      <c r="C87" t="s">
        <v>92</v>
      </c>
      <c r="D87" t="s">
        <v>184</v>
      </c>
      <c r="E87">
        <v>1</v>
      </c>
      <c r="F87" t="s">
        <v>336</v>
      </c>
      <c r="G87">
        <v>8.7201510159699005</v>
      </c>
      <c r="H87">
        <v>6.9923395140323201</v>
      </c>
      <c r="I87">
        <v>0.53357635086669797</v>
      </c>
      <c r="J87">
        <v>7.1642622091801202</v>
      </c>
      <c r="K87">
        <v>5.4519497429653603</v>
      </c>
      <c r="L87">
        <v>0.399856116622542</v>
      </c>
      <c r="M87">
        <v>0.27686743245772699</v>
      </c>
      <c r="N87">
        <v>4.584228515625</v>
      </c>
      <c r="O87">
        <v>0.33526829187583401</v>
      </c>
      <c r="P87" t="s">
        <v>90</v>
      </c>
    </row>
    <row r="88" spans="1:16" x14ac:dyDescent="0.6">
      <c r="A88" t="s">
        <v>313</v>
      </c>
      <c r="B88">
        <v>20</v>
      </c>
      <c r="C88" t="s">
        <v>92</v>
      </c>
      <c r="D88" t="s">
        <v>167</v>
      </c>
      <c r="E88">
        <v>1</v>
      </c>
      <c r="F88" t="s">
        <v>314</v>
      </c>
      <c r="G88">
        <v>8.7462042517339906</v>
      </c>
      <c r="H88">
        <v>7.0215200048578303</v>
      </c>
      <c r="I88">
        <v>0.53594185558896901</v>
      </c>
      <c r="J88">
        <v>7.14243675510592</v>
      </c>
      <c r="K88">
        <v>5.4602005570023104</v>
      </c>
      <c r="L88">
        <v>0.40006828213264201</v>
      </c>
      <c r="M88">
        <v>0.27479675092599704</v>
      </c>
      <c r="N88">
        <v>4.569091796875</v>
      </c>
      <c r="O88">
        <v>0.33754101867953701</v>
      </c>
      <c r="P88" t="s">
        <v>90</v>
      </c>
    </row>
    <row r="89" spans="1:16" x14ac:dyDescent="0.6">
      <c r="A89" t="s">
        <v>315</v>
      </c>
      <c r="B89">
        <v>60</v>
      </c>
      <c r="C89" t="s">
        <v>92</v>
      </c>
      <c r="D89" t="s">
        <v>181</v>
      </c>
      <c r="E89">
        <v>1</v>
      </c>
      <c r="F89" t="s">
        <v>316</v>
      </c>
      <c r="G89">
        <v>8.4018568857261702</v>
      </c>
      <c r="H89">
        <v>6.7900419968825103</v>
      </c>
      <c r="I89">
        <v>0.525017514556535</v>
      </c>
      <c r="J89">
        <v>7.2727806369377204</v>
      </c>
      <c r="K89">
        <v>5.5981438376686699</v>
      </c>
      <c r="L89">
        <v>0.40785071761014302</v>
      </c>
      <c r="M89">
        <v>0.28212038522991301</v>
      </c>
      <c r="N89">
        <v>4.57183837890625</v>
      </c>
      <c r="O89">
        <v>0.32702967170194602</v>
      </c>
      <c r="P89" t="s">
        <v>135</v>
      </c>
    </row>
    <row r="90" spans="1:16" x14ac:dyDescent="0.6">
      <c r="A90" t="s">
        <v>317</v>
      </c>
      <c r="B90">
        <v>20</v>
      </c>
      <c r="C90" t="s">
        <v>92</v>
      </c>
      <c r="D90" t="s">
        <v>7</v>
      </c>
      <c r="E90">
        <v>1</v>
      </c>
      <c r="F90" t="s">
        <v>96</v>
      </c>
      <c r="G90">
        <v>8.6380149999999993</v>
      </c>
      <c r="H90">
        <v>6.9175190000000004</v>
      </c>
      <c r="I90">
        <v>0.52787499999999998</v>
      </c>
      <c r="J90">
        <v>6.9952860000000001</v>
      </c>
      <c r="K90">
        <v>5.434768</v>
      </c>
      <c r="L90">
        <v>0.39750799999999997</v>
      </c>
      <c r="M90">
        <v>0.26189999999999997</v>
      </c>
      <c r="N90">
        <v>4.5741579999999997</v>
      </c>
      <c r="O90">
        <v>0.33750200000000002</v>
      </c>
      <c r="P90" t="s">
        <v>90</v>
      </c>
    </row>
    <row r="91" spans="1:16" x14ac:dyDescent="0.6">
      <c r="A91" t="s">
        <v>318</v>
      </c>
      <c r="B91">
        <v>30</v>
      </c>
      <c r="C91" t="s">
        <v>92</v>
      </c>
      <c r="D91" t="s">
        <v>181</v>
      </c>
      <c r="E91">
        <v>1</v>
      </c>
      <c r="F91" t="s">
        <v>319</v>
      </c>
      <c r="G91">
        <v>8.8286384769697701</v>
      </c>
      <c r="H91">
        <v>7.1123927752444196</v>
      </c>
      <c r="I91">
        <v>0.54354837608127304</v>
      </c>
      <c r="J91">
        <v>7.0190722212188703</v>
      </c>
      <c r="K91">
        <v>5.4377097713137097</v>
      </c>
      <c r="L91">
        <v>0.39732566509155598</v>
      </c>
      <c r="M91">
        <v>0.26330249171709502</v>
      </c>
      <c r="N91">
        <v>4.574951171875</v>
      </c>
      <c r="O91">
        <v>0.33985430337163303</v>
      </c>
      <c r="P91" t="s">
        <v>93</v>
      </c>
    </row>
    <row r="92" spans="1:16" x14ac:dyDescent="0.6">
      <c r="A92" t="s">
        <v>320</v>
      </c>
      <c r="B92">
        <v>30</v>
      </c>
      <c r="C92" t="s">
        <v>92</v>
      </c>
      <c r="D92" t="s">
        <v>174</v>
      </c>
      <c r="E92">
        <v>1</v>
      </c>
      <c r="F92" t="s">
        <v>321</v>
      </c>
      <c r="G92">
        <v>8.8781800499383596</v>
      </c>
      <c r="H92">
        <v>7.0758887083215596</v>
      </c>
      <c r="I92">
        <v>0.54072546738471206</v>
      </c>
      <c r="J92">
        <v>7.1899717330638797</v>
      </c>
      <c r="K92">
        <v>5.5557754664745103</v>
      </c>
      <c r="L92">
        <v>0.40580977528451001</v>
      </c>
      <c r="M92">
        <v>0.27610018474900799</v>
      </c>
      <c r="N92">
        <v>4.5750732421875</v>
      </c>
      <c r="O92">
        <v>0.33253939713965402</v>
      </c>
      <c r="P92" t="s">
        <v>93</v>
      </c>
    </row>
    <row r="93" spans="1:16" x14ac:dyDescent="0.6">
      <c r="A93" t="s">
        <v>322</v>
      </c>
      <c r="B93">
        <v>10</v>
      </c>
      <c r="C93" t="s">
        <v>6</v>
      </c>
      <c r="D93" t="s">
        <v>171</v>
      </c>
      <c r="E93">
        <v>1</v>
      </c>
      <c r="F93" t="s">
        <v>323</v>
      </c>
      <c r="G93">
        <v>8.6859667825487197</v>
      </c>
      <c r="H93">
        <v>7.0093179878246303</v>
      </c>
      <c r="I93">
        <v>0.534257365771031</v>
      </c>
      <c r="J93">
        <v>7.1183904958475903</v>
      </c>
      <c r="K93">
        <v>5.4122206426299702</v>
      </c>
      <c r="L93">
        <v>0.39672678093519198</v>
      </c>
      <c r="M93">
        <v>0.27302164530911099</v>
      </c>
      <c r="N93">
        <v>4.5758056640625</v>
      </c>
      <c r="O93">
        <v>0.33306774829501401</v>
      </c>
      <c r="P93" t="s">
        <v>90</v>
      </c>
    </row>
    <row r="94" spans="1:16" x14ac:dyDescent="0.6">
      <c r="A94" t="s">
        <v>324</v>
      </c>
      <c r="B94">
        <v>90</v>
      </c>
      <c r="C94" t="s">
        <v>9</v>
      </c>
      <c r="D94" t="s">
        <v>181</v>
      </c>
      <c r="E94">
        <v>1</v>
      </c>
      <c r="F94" t="s">
        <v>325</v>
      </c>
      <c r="G94">
        <v>6.8540104788679903</v>
      </c>
      <c r="H94">
        <v>5.4921227657433702</v>
      </c>
      <c r="I94">
        <v>0.42855585400815499</v>
      </c>
      <c r="J94">
        <v>7.3002686812319801</v>
      </c>
      <c r="K94">
        <v>5.6132185426476804</v>
      </c>
      <c r="L94">
        <v>0.40838073431003002</v>
      </c>
      <c r="M94">
        <v>0.28381473938234897</v>
      </c>
      <c r="N94">
        <v>4.57684326171875</v>
      </c>
      <c r="O94">
        <v>0.33887917514724097</v>
      </c>
      <c r="P94" t="s">
        <v>114</v>
      </c>
    </row>
    <row r="95" spans="1:16" x14ac:dyDescent="0.6">
      <c r="A95" t="s">
        <v>344</v>
      </c>
      <c r="B95">
        <v>5</v>
      </c>
      <c r="C95" t="s">
        <v>92</v>
      </c>
      <c r="D95" t="s">
        <v>181</v>
      </c>
      <c r="E95">
        <v>1</v>
      </c>
      <c r="F95" t="s">
        <v>345</v>
      </c>
      <c r="G95">
        <v>8.7027375804305702</v>
      </c>
      <c r="H95">
        <v>6.9667092464942204</v>
      </c>
      <c r="I95">
        <v>0.531494873515858</v>
      </c>
      <c r="J95">
        <v>7.1550957418073704</v>
      </c>
      <c r="K95">
        <v>5.4251307367762402</v>
      </c>
      <c r="L95">
        <v>0.39810931920072501</v>
      </c>
      <c r="M95">
        <v>0.276606947889251</v>
      </c>
      <c r="N95">
        <v>4.591796875</v>
      </c>
      <c r="O95">
        <v>0.338867475828802</v>
      </c>
      <c r="P95" t="s">
        <v>90</v>
      </c>
    </row>
    <row r="96" spans="1:16" x14ac:dyDescent="0.6">
      <c r="A96" t="s">
        <v>346</v>
      </c>
      <c r="B96">
        <v>5</v>
      </c>
      <c r="C96" t="s">
        <v>92</v>
      </c>
      <c r="D96" t="s">
        <v>88</v>
      </c>
      <c r="E96">
        <v>1</v>
      </c>
      <c r="F96" t="s">
        <v>112</v>
      </c>
      <c r="G96">
        <v>8.7163679999999992</v>
      </c>
      <c r="H96">
        <v>6.9471379999999998</v>
      </c>
      <c r="I96">
        <v>0.53001200000000004</v>
      </c>
      <c r="J96">
        <v>7.1286649999999998</v>
      </c>
      <c r="K96">
        <v>5.4028590000000003</v>
      </c>
      <c r="L96">
        <v>0.39662399999999998</v>
      </c>
      <c r="M96">
        <v>0.27490000000000003</v>
      </c>
      <c r="N96">
        <v>4.5946040000000004</v>
      </c>
      <c r="O96">
        <v>0.33372499999999999</v>
      </c>
      <c r="P96" t="s">
        <v>90</v>
      </c>
    </row>
    <row r="97" spans="1:16" x14ac:dyDescent="0.6">
      <c r="A97" t="s">
        <v>330</v>
      </c>
      <c r="B97">
        <v>20</v>
      </c>
      <c r="C97" t="s">
        <v>6</v>
      </c>
      <c r="D97" t="s">
        <v>177</v>
      </c>
      <c r="E97">
        <v>1</v>
      </c>
      <c r="F97" t="s">
        <v>241</v>
      </c>
      <c r="G97">
        <v>8.62597069525774</v>
      </c>
      <c r="H97">
        <v>6.9867054580727501</v>
      </c>
      <c r="I97">
        <v>0.533187913773151</v>
      </c>
      <c r="J97">
        <v>7.0982164798794098</v>
      </c>
      <c r="K97">
        <v>5.4513521547670702</v>
      </c>
      <c r="L97">
        <v>0.39902484939343502</v>
      </c>
      <c r="M97">
        <v>0.27056113563087503</v>
      </c>
      <c r="N97">
        <v>4.579345703125</v>
      </c>
      <c r="O97">
        <v>0.33867770544092501</v>
      </c>
      <c r="P97" t="s">
        <v>90</v>
      </c>
    </row>
    <row r="98" spans="1:16" x14ac:dyDescent="0.6">
      <c r="A98" t="s">
        <v>331</v>
      </c>
      <c r="B98">
        <v>60</v>
      </c>
      <c r="C98" t="s">
        <v>6</v>
      </c>
      <c r="D98" t="s">
        <v>174</v>
      </c>
      <c r="E98">
        <v>1</v>
      </c>
      <c r="F98" t="s">
        <v>332</v>
      </c>
      <c r="G98">
        <v>8.4311464323307206</v>
      </c>
      <c r="H98">
        <v>6.8278109372317104</v>
      </c>
      <c r="I98">
        <v>0.52782900384500098</v>
      </c>
      <c r="J98">
        <v>7.2240690135218202</v>
      </c>
      <c r="K98">
        <v>5.5348531549627102</v>
      </c>
      <c r="L98">
        <v>0.40327618146645799</v>
      </c>
      <c r="M98">
        <v>0.27833894285856098</v>
      </c>
      <c r="N98">
        <v>4.58013916015625</v>
      </c>
      <c r="O98">
        <v>0.33618222172953</v>
      </c>
      <c r="P98" t="s">
        <v>135</v>
      </c>
    </row>
    <row r="99" spans="1:16" x14ac:dyDescent="0.6">
      <c r="A99" t="s">
        <v>333</v>
      </c>
      <c r="B99">
        <v>10</v>
      </c>
      <c r="C99" t="s">
        <v>9</v>
      </c>
      <c r="D99" t="s">
        <v>7</v>
      </c>
      <c r="E99">
        <v>1</v>
      </c>
      <c r="F99" t="s">
        <v>121</v>
      </c>
      <c r="G99" s="13">
        <v>8.7049245325305602</v>
      </c>
      <c r="H99" s="13">
        <v>6.9094022632903798</v>
      </c>
      <c r="I99" s="13">
        <v>0.52690443855720204</v>
      </c>
      <c r="J99" s="13">
        <v>7.1804869378807403</v>
      </c>
      <c r="K99" s="13">
        <v>5.4466844406802997</v>
      </c>
      <c r="L99" s="13">
        <v>0.39956306720509099</v>
      </c>
      <c r="M99">
        <v>0.27834729912177703</v>
      </c>
      <c r="N99">
        <v>4.5809326171875</v>
      </c>
      <c r="O99" s="13">
        <v>0.33484432489892202</v>
      </c>
      <c r="P99" t="s">
        <v>90</v>
      </c>
    </row>
    <row r="100" spans="1:16" x14ac:dyDescent="0.6">
      <c r="A100" t="s">
        <v>334</v>
      </c>
      <c r="B100">
        <v>30</v>
      </c>
      <c r="C100" t="s">
        <v>9</v>
      </c>
      <c r="D100" t="s">
        <v>88</v>
      </c>
      <c r="E100">
        <v>1</v>
      </c>
      <c r="F100" t="s">
        <v>137</v>
      </c>
      <c r="G100">
        <v>8.8962374999247107</v>
      </c>
      <c r="H100" s="13">
        <v>7.1862785268772296</v>
      </c>
      <c r="I100" s="13">
        <v>0.54889679437861105</v>
      </c>
      <c r="J100" s="13">
        <v>7.3052304439284397</v>
      </c>
      <c r="K100" s="13">
        <v>5.6872961544296103</v>
      </c>
      <c r="L100">
        <v>0.41507311278542303</v>
      </c>
      <c r="M100">
        <v>0.28401633670786602</v>
      </c>
      <c r="N100">
        <v>4.5816650390625</v>
      </c>
      <c r="O100" s="13">
        <v>0.33531632982638598</v>
      </c>
      <c r="P100" t="s">
        <v>93</v>
      </c>
    </row>
    <row r="101" spans="1:16" x14ac:dyDescent="0.6">
      <c r="A101" t="s">
        <v>384</v>
      </c>
      <c r="B101">
        <v>5</v>
      </c>
      <c r="C101" t="s">
        <v>92</v>
      </c>
      <c r="D101" t="s">
        <v>177</v>
      </c>
      <c r="E101">
        <v>1</v>
      </c>
      <c r="F101" t="s">
        <v>385</v>
      </c>
      <c r="G101">
        <v>8.7379989577400003</v>
      </c>
      <c r="H101">
        <v>6.9731691899754296</v>
      </c>
      <c r="I101">
        <v>0.53208160843939301</v>
      </c>
      <c r="J101">
        <v>7.1763460210166397</v>
      </c>
      <c r="K101">
        <v>5.4718112697849</v>
      </c>
      <c r="L101">
        <v>0.401332013174858</v>
      </c>
      <c r="M101">
        <v>0.27783581162850801</v>
      </c>
      <c r="N101">
        <v>4.6424560546875</v>
      </c>
      <c r="O101">
        <v>0.33895199298620399</v>
      </c>
      <c r="P101" t="s">
        <v>90</v>
      </c>
    </row>
    <row r="102" spans="1:16" x14ac:dyDescent="0.6">
      <c r="A102" t="s">
        <v>388</v>
      </c>
      <c r="B102">
        <v>5</v>
      </c>
      <c r="C102" t="s">
        <v>92</v>
      </c>
      <c r="D102" t="s">
        <v>8</v>
      </c>
      <c r="E102">
        <v>1</v>
      </c>
      <c r="F102" t="s">
        <v>117</v>
      </c>
      <c r="G102">
        <v>8.7020579999999992</v>
      </c>
      <c r="H102">
        <v>6.9538469999999997</v>
      </c>
      <c r="I102">
        <v>0.53055399999999997</v>
      </c>
      <c r="J102">
        <v>7.1516469999999996</v>
      </c>
      <c r="K102">
        <v>5.4203900000000003</v>
      </c>
      <c r="L102">
        <v>0.397868</v>
      </c>
      <c r="M102">
        <v>0.27659999999999996</v>
      </c>
      <c r="N102">
        <v>4.642944</v>
      </c>
      <c r="O102">
        <v>0.33465699999999998</v>
      </c>
      <c r="P102" t="s">
        <v>90</v>
      </c>
    </row>
    <row r="103" spans="1:16" x14ac:dyDescent="0.6">
      <c r="A103" t="s">
        <v>339</v>
      </c>
      <c r="B103">
        <v>90</v>
      </c>
      <c r="C103" t="s">
        <v>99</v>
      </c>
      <c r="D103" t="s">
        <v>184</v>
      </c>
      <c r="E103">
        <v>1</v>
      </c>
      <c r="F103" t="s">
        <v>340</v>
      </c>
      <c r="G103">
        <v>6.9923286285821904</v>
      </c>
      <c r="H103">
        <v>5.5405791311553001</v>
      </c>
      <c r="I103">
        <v>0.432063225794315</v>
      </c>
      <c r="J103">
        <v>7.4856228089276797</v>
      </c>
      <c r="K103">
        <v>5.7703765451091602</v>
      </c>
      <c r="L103">
        <v>0.41945157428680402</v>
      </c>
      <c r="M103">
        <v>0.29739613142697802</v>
      </c>
      <c r="N103">
        <v>4.5849609375</v>
      </c>
      <c r="O103">
        <v>0.331845705798479</v>
      </c>
      <c r="P103" t="s">
        <v>114</v>
      </c>
    </row>
    <row r="104" spans="1:16" x14ac:dyDescent="0.6">
      <c r="A104" t="s">
        <v>341</v>
      </c>
      <c r="B104">
        <v>20</v>
      </c>
      <c r="C104" t="s">
        <v>92</v>
      </c>
      <c r="D104" t="s">
        <v>177</v>
      </c>
      <c r="E104">
        <v>1</v>
      </c>
      <c r="F104" t="s">
        <v>342</v>
      </c>
      <c r="G104">
        <v>8.6778312930772206</v>
      </c>
      <c r="H104">
        <v>6.9673632453469603</v>
      </c>
      <c r="I104">
        <v>0.53165618109395896</v>
      </c>
      <c r="J104">
        <v>7.0545336862258701</v>
      </c>
      <c r="K104">
        <v>5.4904400860821703</v>
      </c>
      <c r="L104">
        <v>0.40153060887244801</v>
      </c>
      <c r="M104">
        <v>0.266284738251296</v>
      </c>
      <c r="N104">
        <v>4.5888671875</v>
      </c>
      <c r="O104">
        <v>0.33780606759429299</v>
      </c>
      <c r="P104" t="s">
        <v>90</v>
      </c>
    </row>
    <row r="105" spans="1:16" x14ac:dyDescent="0.6">
      <c r="A105" t="s">
        <v>343</v>
      </c>
      <c r="B105">
        <v>30</v>
      </c>
      <c r="C105" t="s">
        <v>92</v>
      </c>
      <c r="D105" t="s">
        <v>88</v>
      </c>
      <c r="E105">
        <v>1</v>
      </c>
      <c r="F105" t="s">
        <v>105</v>
      </c>
      <c r="G105">
        <v>8.8698530000000009</v>
      </c>
      <c r="H105">
        <v>7.1660959999999996</v>
      </c>
      <c r="I105">
        <v>0.54752800000000001</v>
      </c>
      <c r="J105">
        <v>7.0879009999999996</v>
      </c>
      <c r="K105">
        <v>5.4787720000000002</v>
      </c>
      <c r="L105">
        <v>0.400393</v>
      </c>
      <c r="M105">
        <v>0.26869999999999999</v>
      </c>
      <c r="N105">
        <v>4.5903320000000001</v>
      </c>
      <c r="O105">
        <v>0.33632800000000002</v>
      </c>
      <c r="P105" t="s">
        <v>93</v>
      </c>
    </row>
    <row r="106" spans="1:16" x14ac:dyDescent="0.6">
      <c r="A106" t="s">
        <v>514</v>
      </c>
      <c r="B106">
        <v>5</v>
      </c>
      <c r="C106" t="s">
        <v>92</v>
      </c>
      <c r="D106" t="s">
        <v>7</v>
      </c>
      <c r="E106">
        <v>1</v>
      </c>
      <c r="F106" t="s">
        <v>161</v>
      </c>
      <c r="G106">
        <v>8.7052849999999999</v>
      </c>
      <c r="H106">
        <v>6.9406249999999998</v>
      </c>
      <c r="I106">
        <v>0.52950699999999995</v>
      </c>
      <c r="J106">
        <v>7.942977</v>
      </c>
      <c r="K106">
        <v>6.1162039999999998</v>
      </c>
      <c r="L106">
        <v>0.44723200000000002</v>
      </c>
      <c r="M106">
        <v>0.3372</v>
      </c>
      <c r="N106">
        <v>5.09314</v>
      </c>
      <c r="O106">
        <v>0.36770399999999998</v>
      </c>
      <c r="P106" t="s">
        <v>90</v>
      </c>
    </row>
    <row r="107" spans="1:16" x14ac:dyDescent="0.6">
      <c r="A107" t="s">
        <v>176</v>
      </c>
      <c r="B107">
        <v>5</v>
      </c>
      <c r="C107" t="s">
        <v>9</v>
      </c>
      <c r="D107" t="s">
        <v>177</v>
      </c>
      <c r="E107">
        <v>1</v>
      </c>
      <c r="F107" t="s">
        <v>178</v>
      </c>
      <c r="G107">
        <v>8.7954485201332098</v>
      </c>
      <c r="H107">
        <v>7.0340671528568199</v>
      </c>
      <c r="I107">
        <v>0.53653239287976995</v>
      </c>
      <c r="J107">
        <v>7.1823392070672698</v>
      </c>
      <c r="K107">
        <v>5.4315624154491298</v>
      </c>
      <c r="L107">
        <v>0.39875422311042202</v>
      </c>
      <c r="M107">
        <v>0.279066380249964</v>
      </c>
      <c r="N107">
        <v>4.271484375</v>
      </c>
      <c r="O107">
        <v>0.31387967396660199</v>
      </c>
      <c r="P107" t="s">
        <v>90</v>
      </c>
    </row>
    <row r="108" spans="1:16" x14ac:dyDescent="0.6">
      <c r="A108" t="s">
        <v>347</v>
      </c>
      <c r="B108">
        <v>20</v>
      </c>
      <c r="C108" t="s">
        <v>6</v>
      </c>
      <c r="D108" t="s">
        <v>171</v>
      </c>
      <c r="E108">
        <v>1</v>
      </c>
      <c r="F108" t="s">
        <v>348</v>
      </c>
      <c r="G108">
        <v>8.6563440098153794</v>
      </c>
      <c r="H108">
        <v>6.9959102152558499</v>
      </c>
      <c r="I108">
        <v>0.53384571083729304</v>
      </c>
      <c r="J108">
        <v>6.9405278475153596</v>
      </c>
      <c r="K108">
        <v>5.3529685691550899</v>
      </c>
      <c r="L108">
        <v>0.391818458960002</v>
      </c>
      <c r="M108">
        <v>0.25834558266251001</v>
      </c>
      <c r="N108">
        <v>4.5950927734375</v>
      </c>
      <c r="O108">
        <v>0.33699677842472803</v>
      </c>
      <c r="P108" t="s">
        <v>90</v>
      </c>
    </row>
    <row r="109" spans="1:16" x14ac:dyDescent="0.6">
      <c r="A109" t="s">
        <v>349</v>
      </c>
      <c r="B109">
        <v>30</v>
      </c>
      <c r="C109" t="s">
        <v>99</v>
      </c>
      <c r="D109" t="s">
        <v>177</v>
      </c>
      <c r="E109">
        <v>1</v>
      </c>
      <c r="F109" t="s">
        <v>350</v>
      </c>
      <c r="G109">
        <v>8.8890903154136307</v>
      </c>
      <c r="H109">
        <v>7.1892312758103198</v>
      </c>
      <c r="I109">
        <v>0.54933692930748201</v>
      </c>
      <c r="J109">
        <v>7.0389696100155197</v>
      </c>
      <c r="K109">
        <v>5.4290623340791804</v>
      </c>
      <c r="L109">
        <v>0.39695362614912999</v>
      </c>
      <c r="M109">
        <v>0.26562296626681697</v>
      </c>
      <c r="N109">
        <v>4.595703125</v>
      </c>
      <c r="O109">
        <v>0.33182676581592102</v>
      </c>
      <c r="P109" t="s">
        <v>93</v>
      </c>
    </row>
    <row r="110" spans="1:16" x14ac:dyDescent="0.6">
      <c r="A110" t="s">
        <v>351</v>
      </c>
      <c r="B110">
        <v>90</v>
      </c>
      <c r="C110" t="s">
        <v>99</v>
      </c>
      <c r="D110" t="s">
        <v>167</v>
      </c>
      <c r="E110">
        <v>1</v>
      </c>
      <c r="F110" t="s">
        <v>352</v>
      </c>
      <c r="G110">
        <v>6.9782731030253498</v>
      </c>
      <c r="H110">
        <v>5.5843283913352204</v>
      </c>
      <c r="I110">
        <v>0.43533793074797</v>
      </c>
      <c r="J110">
        <v>7.3829863182899098</v>
      </c>
      <c r="K110">
        <v>5.6978801570526496</v>
      </c>
      <c r="L110">
        <v>0.41419384309034801</v>
      </c>
      <c r="M110">
        <v>0.28935656533454701</v>
      </c>
      <c r="N110">
        <v>4.59844970703125</v>
      </c>
      <c r="O110">
        <v>0.34079479247799399</v>
      </c>
      <c r="P110" t="s">
        <v>114</v>
      </c>
    </row>
    <row r="111" spans="1:16" x14ac:dyDescent="0.6">
      <c r="A111" t="s">
        <v>353</v>
      </c>
      <c r="B111">
        <v>10</v>
      </c>
      <c r="C111" t="s">
        <v>6</v>
      </c>
      <c r="D111" t="s">
        <v>7</v>
      </c>
      <c r="E111">
        <v>1</v>
      </c>
      <c r="F111" t="s">
        <v>132</v>
      </c>
      <c r="G111" s="13">
        <v>8.7002373541890794</v>
      </c>
      <c r="H111">
        <v>6.9711880460943396</v>
      </c>
      <c r="I111" s="13">
        <v>0.53148353868904796</v>
      </c>
      <c r="J111" s="13">
        <v>7.2635887135389696</v>
      </c>
      <c r="K111" s="13">
        <v>5.6067413060011004</v>
      </c>
      <c r="L111" s="13">
        <v>0.41041722261715402</v>
      </c>
      <c r="M111">
        <v>0.28290686131512799</v>
      </c>
      <c r="N111">
        <v>4.60052490234375</v>
      </c>
      <c r="O111" s="13">
        <v>0.34298178101701499</v>
      </c>
      <c r="P111" t="s">
        <v>90</v>
      </c>
    </row>
    <row r="112" spans="1:16" x14ac:dyDescent="0.6">
      <c r="A112" t="s">
        <v>354</v>
      </c>
      <c r="B112">
        <v>20</v>
      </c>
      <c r="C112" t="s">
        <v>6</v>
      </c>
      <c r="D112" t="s">
        <v>184</v>
      </c>
      <c r="E112">
        <v>1</v>
      </c>
      <c r="F112" t="s">
        <v>355</v>
      </c>
      <c r="G112">
        <v>8.6404812587646695</v>
      </c>
      <c r="H112">
        <v>6.9578148141846299</v>
      </c>
      <c r="I112">
        <v>0.53093684253981799</v>
      </c>
      <c r="J112">
        <v>6.9648967058183997</v>
      </c>
      <c r="K112">
        <v>5.3860321044921804</v>
      </c>
      <c r="L112">
        <v>0.39412579394716901</v>
      </c>
      <c r="M112">
        <v>0.25993715366877501</v>
      </c>
      <c r="N112">
        <v>4.601806640625</v>
      </c>
      <c r="O112">
        <v>0.340299341191103</v>
      </c>
      <c r="P112" t="s">
        <v>90</v>
      </c>
    </row>
    <row r="113" spans="1:16" x14ac:dyDescent="0.6">
      <c r="A113" t="s">
        <v>358</v>
      </c>
      <c r="B113">
        <v>30</v>
      </c>
      <c r="C113" t="s">
        <v>6</v>
      </c>
      <c r="D113" t="s">
        <v>167</v>
      </c>
      <c r="E113">
        <v>1</v>
      </c>
      <c r="F113" t="s">
        <v>359</v>
      </c>
      <c r="G113">
        <v>8.8832643768561592</v>
      </c>
      <c r="H113">
        <v>7.2110687076193196</v>
      </c>
      <c r="I113">
        <v>0.55103126799380198</v>
      </c>
      <c r="J113">
        <v>7.0867419252618697</v>
      </c>
      <c r="K113">
        <v>5.4375284435679596</v>
      </c>
      <c r="L113">
        <v>0.39761129456209099</v>
      </c>
      <c r="M113">
        <v>0.26887227627917104</v>
      </c>
      <c r="N113">
        <v>4.60833740234375</v>
      </c>
      <c r="O113">
        <v>0.33992134923824702</v>
      </c>
      <c r="P113" t="s">
        <v>93</v>
      </c>
    </row>
    <row r="114" spans="1:16" x14ac:dyDescent="0.6">
      <c r="A114" t="s">
        <v>360</v>
      </c>
      <c r="B114">
        <v>90</v>
      </c>
      <c r="C114" t="s">
        <v>6</v>
      </c>
      <c r="D114" t="s">
        <v>167</v>
      </c>
      <c r="E114">
        <v>1</v>
      </c>
      <c r="F114" t="s">
        <v>239</v>
      </c>
      <c r="G114">
        <v>6.9893201971297003</v>
      </c>
      <c r="H114">
        <v>5.5132261334043502</v>
      </c>
      <c r="I114">
        <v>0.43011161643824702</v>
      </c>
      <c r="J114">
        <v>7.3061403396874196</v>
      </c>
      <c r="K114">
        <v>5.5949656865368098</v>
      </c>
      <c r="L114">
        <v>0.40689484089529598</v>
      </c>
      <c r="M114">
        <v>0.283822174896595</v>
      </c>
      <c r="N114">
        <v>4.6087646484375</v>
      </c>
      <c r="O114">
        <v>0.34112878437538502</v>
      </c>
      <c r="P114" t="s">
        <v>114</v>
      </c>
    </row>
    <row r="115" spans="1:16" x14ac:dyDescent="0.6">
      <c r="A115" t="s">
        <v>361</v>
      </c>
      <c r="B115">
        <v>10</v>
      </c>
      <c r="C115" t="s">
        <v>6</v>
      </c>
      <c r="D115" t="s">
        <v>167</v>
      </c>
      <c r="E115">
        <v>1</v>
      </c>
      <c r="F115" t="s">
        <v>362</v>
      </c>
      <c r="G115">
        <v>8.7629513185049603</v>
      </c>
      <c r="H115">
        <v>7.0205296535117903</v>
      </c>
      <c r="I115">
        <v>0.53525075868077998</v>
      </c>
      <c r="J115">
        <v>7.0570886358482197</v>
      </c>
      <c r="K115">
        <v>5.4104095729051398</v>
      </c>
      <c r="L115">
        <v>0.39643145372688199</v>
      </c>
      <c r="M115">
        <v>0.26787085977325803</v>
      </c>
      <c r="N115">
        <v>4.61297607421875</v>
      </c>
      <c r="O115">
        <v>0.33730529614363303</v>
      </c>
      <c r="P115" t="s">
        <v>90</v>
      </c>
    </row>
    <row r="116" spans="1:16" x14ac:dyDescent="0.6">
      <c r="A116" t="s">
        <v>363</v>
      </c>
      <c r="B116">
        <v>10</v>
      </c>
      <c r="C116" t="s">
        <v>6</v>
      </c>
      <c r="D116" t="s">
        <v>184</v>
      </c>
      <c r="E116">
        <v>1</v>
      </c>
      <c r="F116" t="s">
        <v>364</v>
      </c>
      <c r="G116">
        <v>8.7251677758871509</v>
      </c>
      <c r="H116">
        <v>7.0351538794792203</v>
      </c>
      <c r="I116">
        <v>0.53629518913296803</v>
      </c>
      <c r="J116">
        <v>7.1531664457308999</v>
      </c>
      <c r="K116">
        <v>5.42493864076327</v>
      </c>
      <c r="L116">
        <v>0.39757794597645502</v>
      </c>
      <c r="M116">
        <v>0.27550402328531398</v>
      </c>
      <c r="N116">
        <v>4.613037109375</v>
      </c>
      <c r="O116">
        <v>0.33746517820618499</v>
      </c>
      <c r="P116" t="s">
        <v>90</v>
      </c>
    </row>
    <row r="117" spans="1:16" x14ac:dyDescent="0.6">
      <c r="A117" t="s">
        <v>308</v>
      </c>
      <c r="B117">
        <v>5</v>
      </c>
      <c r="C117" t="s">
        <v>9</v>
      </c>
      <c r="D117" t="s">
        <v>8</v>
      </c>
      <c r="E117">
        <v>1</v>
      </c>
      <c r="F117" t="s">
        <v>149</v>
      </c>
      <c r="G117">
        <v>8.7686811137446092</v>
      </c>
      <c r="H117" s="13">
        <v>7.10564446403641</v>
      </c>
      <c r="I117">
        <v>0.54185787204528801</v>
      </c>
      <c r="J117" s="13">
        <v>7.4566945306430696</v>
      </c>
      <c r="K117" s="13">
        <v>5.6596484163622804</v>
      </c>
      <c r="L117" s="13">
        <v>0.41482800306756601</v>
      </c>
      <c r="M117">
        <v>0.29974140145656802</v>
      </c>
      <c r="N117">
        <v>4.5623779296875</v>
      </c>
      <c r="O117" s="13">
        <v>0.33639218466642101</v>
      </c>
      <c r="P117" t="s">
        <v>90</v>
      </c>
    </row>
    <row r="118" spans="1:16" x14ac:dyDescent="0.6">
      <c r="A118" t="s">
        <v>366</v>
      </c>
      <c r="B118">
        <v>5</v>
      </c>
      <c r="C118" t="s">
        <v>9</v>
      </c>
      <c r="D118" t="s">
        <v>184</v>
      </c>
      <c r="E118">
        <v>1</v>
      </c>
      <c r="F118" t="s">
        <v>367</v>
      </c>
      <c r="G118">
        <v>8.79904595730018</v>
      </c>
      <c r="H118">
        <v>7.0300426639934397</v>
      </c>
      <c r="I118">
        <v>0.53629964514922501</v>
      </c>
      <c r="J118">
        <v>7.32452175217992</v>
      </c>
      <c r="K118">
        <v>5.5709968335700699</v>
      </c>
      <c r="L118">
        <v>0.40837718293624697</v>
      </c>
      <c r="M118">
        <v>0.289092425150067</v>
      </c>
      <c r="N118">
        <v>4.6185302734375</v>
      </c>
      <c r="O118">
        <v>0.34320772136493599</v>
      </c>
      <c r="P118" t="s">
        <v>90</v>
      </c>
    </row>
    <row r="119" spans="1:16" x14ac:dyDescent="0.6">
      <c r="A119" t="s">
        <v>368</v>
      </c>
      <c r="B119">
        <v>60</v>
      </c>
      <c r="C119" t="s">
        <v>99</v>
      </c>
      <c r="D119" t="s">
        <v>171</v>
      </c>
      <c r="E119">
        <v>1</v>
      </c>
      <c r="F119" t="s">
        <v>369</v>
      </c>
      <c r="G119">
        <v>8.4713589175148591</v>
      </c>
      <c r="H119">
        <v>6.8693348811222901</v>
      </c>
      <c r="I119">
        <v>0.53131671209533504</v>
      </c>
      <c r="J119">
        <v>7.3593117391534602</v>
      </c>
      <c r="K119">
        <v>5.70770749178799</v>
      </c>
      <c r="L119">
        <v>0.41535426094452599</v>
      </c>
      <c r="M119">
        <v>0.287788257485387</v>
      </c>
      <c r="N119">
        <v>4.62445068359375</v>
      </c>
      <c r="O119">
        <v>0.33636452091615499</v>
      </c>
      <c r="P119" t="s">
        <v>135</v>
      </c>
    </row>
    <row r="120" spans="1:16" x14ac:dyDescent="0.6">
      <c r="A120" t="s">
        <v>370</v>
      </c>
      <c r="B120">
        <v>10</v>
      </c>
      <c r="C120" t="s">
        <v>99</v>
      </c>
      <c r="D120" t="s">
        <v>8</v>
      </c>
      <c r="E120">
        <v>1</v>
      </c>
      <c r="F120" t="s">
        <v>108</v>
      </c>
      <c r="G120">
        <v>8.6456389999999992</v>
      </c>
      <c r="H120">
        <v>6.8323669999999996</v>
      </c>
      <c r="I120">
        <v>0.52072099999999999</v>
      </c>
      <c r="J120">
        <v>7.1114889999999997</v>
      </c>
      <c r="K120">
        <v>5.431991</v>
      </c>
      <c r="L120">
        <v>0.39815299999999998</v>
      </c>
      <c r="M120">
        <v>0.2722</v>
      </c>
      <c r="N120">
        <v>4.627014</v>
      </c>
      <c r="O120">
        <v>0.34491699999999997</v>
      </c>
      <c r="P120" t="s">
        <v>90</v>
      </c>
    </row>
    <row r="121" spans="1:16" x14ac:dyDescent="0.6">
      <c r="A121" t="s">
        <v>371</v>
      </c>
      <c r="B121">
        <v>10</v>
      </c>
      <c r="C121" t="s">
        <v>99</v>
      </c>
      <c r="D121" t="s">
        <v>181</v>
      </c>
      <c r="E121">
        <v>1</v>
      </c>
      <c r="F121" t="s">
        <v>372</v>
      </c>
      <c r="G121">
        <v>8.7444066450674001</v>
      </c>
      <c r="H121">
        <v>7.0166131159119196</v>
      </c>
      <c r="I121">
        <v>0.53503135592738005</v>
      </c>
      <c r="J121">
        <v>7.2158739814816801</v>
      </c>
      <c r="K121">
        <v>5.5692090059803601</v>
      </c>
      <c r="L121">
        <v>0.40756084704942902</v>
      </c>
      <c r="M121">
        <v>0.278922230648532</v>
      </c>
      <c r="N121">
        <v>4.6282958984375</v>
      </c>
      <c r="O121">
        <v>0.34074605390534402</v>
      </c>
      <c r="P121" t="s">
        <v>90</v>
      </c>
    </row>
    <row r="122" spans="1:16" x14ac:dyDescent="0.6">
      <c r="A122" t="s">
        <v>373</v>
      </c>
      <c r="B122">
        <v>90</v>
      </c>
      <c r="C122" t="s">
        <v>9</v>
      </c>
      <c r="D122" t="s">
        <v>177</v>
      </c>
      <c r="E122">
        <v>1</v>
      </c>
      <c r="F122" t="s">
        <v>374</v>
      </c>
      <c r="G122">
        <v>7.1161071875797699</v>
      </c>
      <c r="H122">
        <v>5.48372210878314</v>
      </c>
      <c r="I122">
        <v>0.42806987767764298</v>
      </c>
      <c r="J122">
        <v>7.7585138058188603</v>
      </c>
      <c r="K122">
        <v>6.0094596131207103</v>
      </c>
      <c r="L122">
        <v>0.43744283511870902</v>
      </c>
      <c r="M122">
        <v>0.32037516698767898</v>
      </c>
      <c r="N122">
        <v>4.63336181640625</v>
      </c>
      <c r="O122">
        <v>0.32960342413779697</v>
      </c>
      <c r="P122" t="s">
        <v>114</v>
      </c>
    </row>
    <row r="123" spans="1:16" x14ac:dyDescent="0.6">
      <c r="A123" t="s">
        <v>375</v>
      </c>
      <c r="B123">
        <v>30</v>
      </c>
      <c r="C123" t="s">
        <v>9</v>
      </c>
      <c r="D123" t="s">
        <v>174</v>
      </c>
      <c r="E123">
        <v>1</v>
      </c>
      <c r="F123" t="s">
        <v>376</v>
      </c>
      <c r="G123">
        <v>8.8986155270151706</v>
      </c>
      <c r="H123">
        <v>7.1844565581633697</v>
      </c>
      <c r="I123">
        <v>0.54872979038542402</v>
      </c>
      <c r="J123">
        <v>7.3205897261233801</v>
      </c>
      <c r="K123">
        <v>5.7015777884177696</v>
      </c>
      <c r="L123">
        <v>0.41610052073683601</v>
      </c>
      <c r="M123">
        <v>0.28517133306265602</v>
      </c>
      <c r="N123">
        <v>4.63372802734375</v>
      </c>
      <c r="O123">
        <v>0.33984132753114499</v>
      </c>
      <c r="P123" t="s">
        <v>93</v>
      </c>
    </row>
    <row r="124" spans="1:16" x14ac:dyDescent="0.6">
      <c r="A124" t="s">
        <v>377</v>
      </c>
      <c r="B124">
        <v>90</v>
      </c>
      <c r="C124" t="s">
        <v>99</v>
      </c>
      <c r="D124" t="s">
        <v>7</v>
      </c>
      <c r="E124">
        <v>1</v>
      </c>
      <c r="F124" t="s">
        <v>143</v>
      </c>
      <c r="G124">
        <v>6.9688939999999997</v>
      </c>
      <c r="H124">
        <v>5.5165740000000003</v>
      </c>
      <c r="I124">
        <v>0.43058000000000002</v>
      </c>
      <c r="J124">
        <v>7.3648809999999996</v>
      </c>
      <c r="K124">
        <v>5.6419259999999998</v>
      </c>
      <c r="L124">
        <v>0.41033900000000001</v>
      </c>
      <c r="M124">
        <v>0.28849999999999998</v>
      </c>
      <c r="N124">
        <v>4.6347659999999999</v>
      </c>
      <c r="O124">
        <v>0.33742</v>
      </c>
      <c r="P124" t="s">
        <v>114</v>
      </c>
    </row>
    <row r="125" spans="1:16" x14ac:dyDescent="0.6">
      <c r="A125" t="s">
        <v>412</v>
      </c>
      <c r="B125">
        <v>5</v>
      </c>
      <c r="C125" t="s">
        <v>9</v>
      </c>
      <c r="D125" t="s">
        <v>171</v>
      </c>
      <c r="E125">
        <v>1</v>
      </c>
      <c r="F125" t="s">
        <v>413</v>
      </c>
      <c r="G125">
        <v>8.8539301507731594</v>
      </c>
      <c r="H125">
        <v>7.03611180997353</v>
      </c>
      <c r="I125">
        <v>0.53661881079271101</v>
      </c>
      <c r="J125">
        <v>7.5553119917067004</v>
      </c>
      <c r="K125">
        <v>5.8581225903003196</v>
      </c>
      <c r="L125">
        <v>0.42890978603382401</v>
      </c>
      <c r="M125">
        <v>0.30639942705391204</v>
      </c>
      <c r="N125">
        <v>4.6826171875</v>
      </c>
      <c r="O125">
        <v>0.344150553041143</v>
      </c>
      <c r="P125" t="s">
        <v>90</v>
      </c>
    </row>
    <row r="126" spans="1:16" x14ac:dyDescent="0.6">
      <c r="A126" t="s">
        <v>379</v>
      </c>
      <c r="B126">
        <v>90</v>
      </c>
      <c r="C126" t="s">
        <v>92</v>
      </c>
      <c r="D126" t="s">
        <v>167</v>
      </c>
      <c r="E126">
        <v>1</v>
      </c>
      <c r="F126" t="s">
        <v>380</v>
      </c>
      <c r="G126">
        <v>6.9366745123253502</v>
      </c>
      <c r="H126">
        <v>5.5578058416193103</v>
      </c>
      <c r="I126">
        <v>0.43383743933817198</v>
      </c>
      <c r="J126">
        <v>7.2921080689461002</v>
      </c>
      <c r="K126">
        <v>5.55034647902397</v>
      </c>
      <c r="L126">
        <v>0.40400552717175803</v>
      </c>
      <c r="M126">
        <v>0.28358121502351796</v>
      </c>
      <c r="N126">
        <v>4.6378173828125</v>
      </c>
      <c r="O126">
        <v>0.33613716261034199</v>
      </c>
      <c r="P126" t="s">
        <v>114</v>
      </c>
    </row>
    <row r="127" spans="1:16" x14ac:dyDescent="0.6">
      <c r="A127" t="s">
        <v>381</v>
      </c>
      <c r="B127">
        <v>90</v>
      </c>
      <c r="C127" t="s">
        <v>9</v>
      </c>
      <c r="D127" t="s">
        <v>7</v>
      </c>
      <c r="E127">
        <v>1</v>
      </c>
      <c r="F127" t="s">
        <v>157</v>
      </c>
      <c r="G127" s="13">
        <v>6.8653947856092001</v>
      </c>
      <c r="H127" s="13">
        <v>5.4196222478693103</v>
      </c>
      <c r="I127" s="13">
        <v>0.422612175926948</v>
      </c>
      <c r="J127" s="13">
        <v>7.6237277753961603</v>
      </c>
      <c r="K127" s="13">
        <v>5.9513658497431496</v>
      </c>
      <c r="L127">
        <v>0.43191930452456301</v>
      </c>
      <c r="M127">
        <v>0.30664734052742898</v>
      </c>
      <c r="N127">
        <v>4.63812255859375</v>
      </c>
      <c r="O127" s="13">
        <v>0.33464390093780699</v>
      </c>
      <c r="P127" t="s">
        <v>114</v>
      </c>
    </row>
    <row r="128" spans="1:16" x14ac:dyDescent="0.6">
      <c r="A128" t="s">
        <v>382</v>
      </c>
      <c r="B128">
        <v>10</v>
      </c>
      <c r="C128" t="s">
        <v>92</v>
      </c>
      <c r="D128" t="s">
        <v>171</v>
      </c>
      <c r="E128">
        <v>1</v>
      </c>
      <c r="F128" t="s">
        <v>383</v>
      </c>
      <c r="G128">
        <v>8.7002416321835607</v>
      </c>
      <c r="H128">
        <v>6.9171266857854903</v>
      </c>
      <c r="I128">
        <v>0.52753113084332304</v>
      </c>
      <c r="J128">
        <v>7.0525043958054798</v>
      </c>
      <c r="K128">
        <v>5.3917528000552997</v>
      </c>
      <c r="L128">
        <v>0.39514547581331499</v>
      </c>
      <c r="M128">
        <v>0.26778474446574302</v>
      </c>
      <c r="N128">
        <v>4.6395263671875</v>
      </c>
      <c r="O128">
        <v>0.33735504092539498</v>
      </c>
      <c r="P128" t="s">
        <v>90</v>
      </c>
    </row>
    <row r="129" spans="1:16" x14ac:dyDescent="0.6">
      <c r="A129" t="s">
        <v>432</v>
      </c>
      <c r="B129">
        <v>5</v>
      </c>
      <c r="C129" t="s">
        <v>9</v>
      </c>
      <c r="D129" t="s">
        <v>7</v>
      </c>
      <c r="E129">
        <v>1</v>
      </c>
      <c r="F129" t="s">
        <v>111</v>
      </c>
      <c r="G129" s="13">
        <v>8.7253390382096292</v>
      </c>
      <c r="H129" s="13">
        <v>7.0337735848200698</v>
      </c>
      <c r="I129" s="13">
        <v>0.53622051354803102</v>
      </c>
      <c r="J129" s="13">
        <v>7.9057553230941702</v>
      </c>
      <c r="K129">
        <v>6.2034996660240802</v>
      </c>
      <c r="L129" s="13">
        <v>0.45389565388400499</v>
      </c>
      <c r="M129">
        <v>0.33435530630523297</v>
      </c>
      <c r="N129">
        <v>4.714599609375</v>
      </c>
      <c r="O129" s="13">
        <v>0.34957932121485502</v>
      </c>
      <c r="P129" t="s">
        <v>90</v>
      </c>
    </row>
    <row r="130" spans="1:16" x14ac:dyDescent="0.6">
      <c r="A130" t="s">
        <v>386</v>
      </c>
      <c r="B130">
        <v>10</v>
      </c>
      <c r="C130" t="s">
        <v>92</v>
      </c>
      <c r="D130" t="s">
        <v>174</v>
      </c>
      <c r="E130">
        <v>1</v>
      </c>
      <c r="F130" t="s">
        <v>387</v>
      </c>
      <c r="G130">
        <v>8.6939082871343096</v>
      </c>
      <c r="H130">
        <v>6.9945714383822901</v>
      </c>
      <c r="I130">
        <v>0.53323873582341197</v>
      </c>
      <c r="J130">
        <v>7.2145968803774698</v>
      </c>
      <c r="K130">
        <v>5.5742862667657596</v>
      </c>
      <c r="L130">
        <v>0.40792730383599002</v>
      </c>
      <c r="M130">
        <v>0.27885130186110502</v>
      </c>
      <c r="N130">
        <v>4.642822265625</v>
      </c>
      <c r="O130">
        <v>0.33711135341323101</v>
      </c>
      <c r="P130" t="s">
        <v>90</v>
      </c>
    </row>
    <row r="131" spans="1:16" x14ac:dyDescent="0.6">
      <c r="A131" t="s">
        <v>467</v>
      </c>
      <c r="B131">
        <v>5</v>
      </c>
      <c r="C131" t="s">
        <v>9</v>
      </c>
      <c r="D131" t="s">
        <v>88</v>
      </c>
      <c r="E131">
        <v>1</v>
      </c>
      <c r="F131" t="s">
        <v>138</v>
      </c>
      <c r="G131" s="13">
        <v>8.8351072816589795</v>
      </c>
      <c r="H131" s="13">
        <v>7.0694780103822801</v>
      </c>
      <c r="I131" s="13">
        <v>0.53956887468716797</v>
      </c>
      <c r="J131" s="13">
        <v>7.3325710918834899</v>
      </c>
      <c r="K131" s="13">
        <v>5.6081220618574097</v>
      </c>
      <c r="L131">
        <v>0.411520670803107</v>
      </c>
      <c r="M131">
        <v>0.29046865405218203</v>
      </c>
      <c r="N131">
        <v>4.8148193359375</v>
      </c>
      <c r="O131" s="13">
        <v>0.35828804138801001</v>
      </c>
      <c r="P131" t="s">
        <v>90</v>
      </c>
    </row>
    <row r="132" spans="1:16" x14ac:dyDescent="0.6">
      <c r="A132" t="s">
        <v>389</v>
      </c>
      <c r="B132">
        <v>90</v>
      </c>
      <c r="C132" t="s">
        <v>9</v>
      </c>
      <c r="D132" t="s">
        <v>167</v>
      </c>
      <c r="E132">
        <v>1</v>
      </c>
      <c r="F132" t="s">
        <v>390</v>
      </c>
      <c r="G132">
        <v>7.1019632840401297</v>
      </c>
      <c r="H132">
        <v>5.7325328480113598</v>
      </c>
      <c r="I132">
        <v>0.447586383810049</v>
      </c>
      <c r="J132">
        <v>7.6604377884602401</v>
      </c>
      <c r="K132">
        <v>5.7231328258775598</v>
      </c>
      <c r="L132">
        <v>0.41705939307897899</v>
      </c>
      <c r="M132">
        <v>0.31437827924956602</v>
      </c>
      <c r="N132">
        <v>4.64361572265625</v>
      </c>
      <c r="O132">
        <v>0.33006569205092501</v>
      </c>
      <c r="P132" t="s">
        <v>114</v>
      </c>
    </row>
    <row r="133" spans="1:16" x14ac:dyDescent="0.6">
      <c r="A133" t="s">
        <v>391</v>
      </c>
      <c r="B133">
        <v>30</v>
      </c>
      <c r="C133" t="s">
        <v>6</v>
      </c>
      <c r="D133" t="s">
        <v>174</v>
      </c>
      <c r="E133">
        <v>1</v>
      </c>
      <c r="F133" t="s">
        <v>392</v>
      </c>
      <c r="G133">
        <v>8.9526549049167308</v>
      </c>
      <c r="H133">
        <v>7.1989741987095197</v>
      </c>
      <c r="I133">
        <v>0.55005995402508301</v>
      </c>
      <c r="J133">
        <v>7.3132836038622404</v>
      </c>
      <c r="K133">
        <v>5.6368722267521196</v>
      </c>
      <c r="L133">
        <v>0.41241311872768599</v>
      </c>
      <c r="M133">
        <v>0.28748316913089</v>
      </c>
      <c r="N133">
        <v>4.64453125</v>
      </c>
      <c r="O133">
        <v>0.33701328351869497</v>
      </c>
      <c r="P133" t="s">
        <v>93</v>
      </c>
    </row>
    <row r="134" spans="1:16" x14ac:dyDescent="0.6">
      <c r="A134" t="s">
        <v>393</v>
      </c>
      <c r="B134">
        <v>10</v>
      </c>
      <c r="C134" t="s">
        <v>92</v>
      </c>
      <c r="D134" t="s">
        <v>167</v>
      </c>
      <c r="E134">
        <v>1</v>
      </c>
      <c r="F134" t="s">
        <v>394</v>
      </c>
      <c r="G134">
        <v>8.7385722848447607</v>
      </c>
      <c r="H134">
        <v>6.9592882619544199</v>
      </c>
      <c r="I134">
        <v>0.530693077211977</v>
      </c>
      <c r="J134">
        <v>7.0659314553125601</v>
      </c>
      <c r="K134">
        <v>5.4309805810978897</v>
      </c>
      <c r="L134">
        <v>0.39783717526518497</v>
      </c>
      <c r="M134">
        <v>0.26829408486026002</v>
      </c>
      <c r="N134">
        <v>4.646484375</v>
      </c>
      <c r="O134">
        <v>0.34405323508373897</v>
      </c>
      <c r="P134" t="s">
        <v>90</v>
      </c>
    </row>
    <row r="135" spans="1:16" x14ac:dyDescent="0.6">
      <c r="A135" t="s">
        <v>488</v>
      </c>
      <c r="B135">
        <v>5</v>
      </c>
      <c r="C135" t="s">
        <v>9</v>
      </c>
      <c r="D135" t="s">
        <v>181</v>
      </c>
      <c r="E135">
        <v>1</v>
      </c>
      <c r="F135" t="s">
        <v>489</v>
      </c>
      <c r="G135">
        <v>8.8131852468105496</v>
      </c>
      <c r="H135">
        <v>7.1070443724555004</v>
      </c>
      <c r="I135">
        <v>0.54216563981148902</v>
      </c>
      <c r="J135">
        <v>7.8153564668495701</v>
      </c>
      <c r="K135">
        <v>6.0984082242627098</v>
      </c>
      <c r="L135">
        <v>0.44620880016050501</v>
      </c>
      <c r="M135">
        <v>0.32665605654852503</v>
      </c>
      <c r="N135">
        <v>4.8770751953125</v>
      </c>
      <c r="O135">
        <v>0.35800665112229002</v>
      </c>
      <c r="P135" t="s">
        <v>90</v>
      </c>
    </row>
    <row r="136" spans="1:16" x14ac:dyDescent="0.6">
      <c r="A136" t="s">
        <v>395</v>
      </c>
      <c r="B136">
        <v>90</v>
      </c>
      <c r="C136" t="s">
        <v>92</v>
      </c>
      <c r="D136" t="s">
        <v>174</v>
      </c>
      <c r="E136">
        <v>1</v>
      </c>
      <c r="F136" t="s">
        <v>396</v>
      </c>
      <c r="G136">
        <v>6.9824003421249197</v>
      </c>
      <c r="H136">
        <v>5.6009336529356002</v>
      </c>
      <c r="I136">
        <v>0.43738369804145</v>
      </c>
      <c r="J136">
        <v>7.3084167625205403</v>
      </c>
      <c r="K136">
        <v>5.5689722348565898</v>
      </c>
      <c r="L136">
        <v>0.40508889316400898</v>
      </c>
      <c r="M136">
        <v>0.28416694373596202</v>
      </c>
      <c r="N136">
        <v>4.64886474609375</v>
      </c>
      <c r="O136">
        <v>0.34294493929323899</v>
      </c>
      <c r="P136" t="s">
        <v>114</v>
      </c>
    </row>
    <row r="137" spans="1:16" x14ac:dyDescent="0.6">
      <c r="A137" t="s">
        <v>506</v>
      </c>
      <c r="B137">
        <v>5</v>
      </c>
      <c r="C137" t="s">
        <v>9</v>
      </c>
      <c r="D137" t="s">
        <v>174</v>
      </c>
      <c r="E137">
        <v>1</v>
      </c>
      <c r="F137" t="s">
        <v>507</v>
      </c>
      <c r="G137">
        <v>8.8475952623840097</v>
      </c>
      <c r="H137">
        <v>7.1050947971298797</v>
      </c>
      <c r="I137">
        <v>0.54179603130251897</v>
      </c>
      <c r="J137">
        <v>7.5260731211752496</v>
      </c>
      <c r="K137">
        <v>5.8091787363027496</v>
      </c>
      <c r="L137">
        <v>0.425661662904531</v>
      </c>
      <c r="M137">
        <v>0.30478380704257502</v>
      </c>
      <c r="N137">
        <v>4.9931640625</v>
      </c>
      <c r="O137">
        <v>0.36733003602327102</v>
      </c>
      <c r="P137" t="s">
        <v>90</v>
      </c>
    </row>
    <row r="138" spans="1:16" x14ac:dyDescent="0.6">
      <c r="A138" t="s">
        <v>519</v>
      </c>
      <c r="B138">
        <v>5</v>
      </c>
      <c r="C138" t="s">
        <v>9</v>
      </c>
      <c r="D138" t="s">
        <v>167</v>
      </c>
      <c r="E138">
        <v>1</v>
      </c>
      <c r="F138" t="s">
        <v>520</v>
      </c>
      <c r="G138">
        <v>8.8106496881332603</v>
      </c>
      <c r="H138">
        <v>7.1220133596410999</v>
      </c>
      <c r="I138">
        <v>0.54329429447225097</v>
      </c>
      <c r="J138">
        <v>8.4645931985328904</v>
      </c>
      <c r="K138">
        <v>6.6893971100513996</v>
      </c>
      <c r="L138">
        <v>0.489208471328962</v>
      </c>
      <c r="M138">
        <v>0.38259773982981798</v>
      </c>
      <c r="N138">
        <v>5.6036376953125</v>
      </c>
      <c r="O138">
        <v>0.41343295075061198</v>
      </c>
      <c r="P138" t="s">
        <v>90</v>
      </c>
    </row>
    <row r="139" spans="1:16" x14ac:dyDescent="0.6">
      <c r="A139" t="s">
        <v>398</v>
      </c>
      <c r="B139">
        <v>90</v>
      </c>
      <c r="C139" t="s">
        <v>9</v>
      </c>
      <c r="D139" t="s">
        <v>88</v>
      </c>
      <c r="E139">
        <v>1</v>
      </c>
      <c r="F139" t="s">
        <v>156</v>
      </c>
      <c r="G139">
        <v>6.6759537159477</v>
      </c>
      <c r="H139" s="13">
        <v>5.4448131214488598</v>
      </c>
      <c r="I139" s="13">
        <v>0.42489933078599401</v>
      </c>
      <c r="J139" s="13">
        <v>7.5994227765418696</v>
      </c>
      <c r="K139" s="13">
        <v>5.7968616224314999</v>
      </c>
      <c r="L139" s="13">
        <v>0.42226395848126103</v>
      </c>
      <c r="M139">
        <v>0.30849102457509403</v>
      </c>
      <c r="N139">
        <v>4.65606689453125</v>
      </c>
      <c r="O139">
        <v>0.34097527650461101</v>
      </c>
      <c r="P139" t="s">
        <v>114</v>
      </c>
    </row>
    <row r="140" spans="1:16" x14ac:dyDescent="0.6">
      <c r="A140" t="s">
        <v>399</v>
      </c>
      <c r="B140">
        <v>90</v>
      </c>
      <c r="C140" t="s">
        <v>6</v>
      </c>
      <c r="D140" t="s">
        <v>171</v>
      </c>
      <c r="E140">
        <v>1</v>
      </c>
      <c r="F140" t="s">
        <v>400</v>
      </c>
      <c r="G140">
        <v>6.9410422607662596</v>
      </c>
      <c r="H140">
        <v>5.4809311375473397</v>
      </c>
      <c r="I140">
        <v>0.42763767218452298</v>
      </c>
      <c r="J140">
        <v>7.3749232163488596</v>
      </c>
      <c r="K140">
        <v>5.6479124304366399</v>
      </c>
      <c r="L140">
        <v>0.41086609026426701</v>
      </c>
      <c r="M140">
        <v>0.28960662887310001</v>
      </c>
      <c r="N140">
        <v>4.65625</v>
      </c>
      <c r="O140">
        <v>0.34347582789745301</v>
      </c>
      <c r="P140" t="s">
        <v>114</v>
      </c>
    </row>
    <row r="141" spans="1:16" x14ac:dyDescent="0.6">
      <c r="A141" t="s">
        <v>203</v>
      </c>
      <c r="B141">
        <v>5</v>
      </c>
      <c r="C141" t="s">
        <v>6</v>
      </c>
      <c r="D141" t="s">
        <v>177</v>
      </c>
      <c r="E141">
        <v>1</v>
      </c>
      <c r="F141" t="s">
        <v>204</v>
      </c>
      <c r="G141">
        <v>8.75199142985546</v>
      </c>
      <c r="H141">
        <v>7.0115329985977697</v>
      </c>
      <c r="I141">
        <v>0.53499437882714695</v>
      </c>
      <c r="J141">
        <v>7.1274443939320804</v>
      </c>
      <c r="K141">
        <v>5.4261025432900398</v>
      </c>
      <c r="L141">
        <v>0.398301829049511</v>
      </c>
      <c r="M141">
        <v>0.274993229322678</v>
      </c>
      <c r="N141">
        <v>4.4005126953125</v>
      </c>
      <c r="O141">
        <v>0.33017576980083702</v>
      </c>
      <c r="P141" t="s">
        <v>90</v>
      </c>
    </row>
    <row r="142" spans="1:16" x14ac:dyDescent="0.6">
      <c r="A142" t="s">
        <v>403</v>
      </c>
      <c r="B142">
        <v>20</v>
      </c>
      <c r="C142" t="s">
        <v>9</v>
      </c>
      <c r="D142" t="s">
        <v>7</v>
      </c>
      <c r="E142">
        <v>1</v>
      </c>
      <c r="F142" t="s">
        <v>129</v>
      </c>
      <c r="G142" s="13">
        <v>8.7757982914965407</v>
      </c>
      <c r="H142" s="13">
        <v>7.0594505251520996</v>
      </c>
      <c r="I142" s="13">
        <v>0.53841825360541395</v>
      </c>
      <c r="J142">
        <v>7.2321264129907004</v>
      </c>
      <c r="K142" s="13">
        <v>5.5785319010416599</v>
      </c>
      <c r="L142" s="13">
        <v>0.40792258672520099</v>
      </c>
      <c r="M142">
        <v>0.27998303400910501</v>
      </c>
      <c r="N142">
        <v>4.66253662109375</v>
      </c>
      <c r="O142" s="13">
        <v>0.34455413704927101</v>
      </c>
      <c r="P142" t="s">
        <v>90</v>
      </c>
    </row>
    <row r="143" spans="1:16" x14ac:dyDescent="0.6">
      <c r="A143" t="s">
        <v>404</v>
      </c>
      <c r="B143">
        <v>20</v>
      </c>
      <c r="C143" t="s">
        <v>9</v>
      </c>
      <c r="D143" t="s">
        <v>171</v>
      </c>
      <c r="E143">
        <v>1</v>
      </c>
      <c r="F143" t="s">
        <v>405</v>
      </c>
      <c r="G143">
        <v>8.6926324931409908</v>
      </c>
      <c r="H143">
        <v>7.03764173502812</v>
      </c>
      <c r="I143">
        <v>0.53698618847993396</v>
      </c>
      <c r="J143">
        <v>7.0147425107692998</v>
      </c>
      <c r="K143">
        <v>5.3937383581090801</v>
      </c>
      <c r="L143">
        <v>0.394918445637228</v>
      </c>
      <c r="M143">
        <v>0.26422597280589799</v>
      </c>
      <c r="N143">
        <v>4.666259765625</v>
      </c>
      <c r="O143">
        <v>0.345290657902106</v>
      </c>
      <c r="P143" t="s">
        <v>90</v>
      </c>
    </row>
    <row r="144" spans="1:16" x14ac:dyDescent="0.6">
      <c r="A144" t="s">
        <v>406</v>
      </c>
      <c r="B144">
        <v>20</v>
      </c>
      <c r="C144" t="s">
        <v>6</v>
      </c>
      <c r="D144" t="s">
        <v>88</v>
      </c>
      <c r="E144">
        <v>1</v>
      </c>
      <c r="F144" t="s">
        <v>89</v>
      </c>
      <c r="G144" s="13">
        <v>8.6783813515881096</v>
      </c>
      <c r="H144" s="13">
        <v>6.9783926571116703</v>
      </c>
      <c r="I144" s="13">
        <v>0.53238123502110701</v>
      </c>
      <c r="J144" s="13">
        <v>6.8881908498624496</v>
      </c>
      <c r="K144" s="13">
        <v>5.3294564706307801</v>
      </c>
      <c r="L144" s="13">
        <v>0.39007840166920299</v>
      </c>
      <c r="M144">
        <v>0.254372860049494</v>
      </c>
      <c r="N144">
        <v>4.6673583984375</v>
      </c>
      <c r="O144" s="13">
        <v>0.342286514697697</v>
      </c>
      <c r="P144" t="s">
        <v>90</v>
      </c>
    </row>
    <row r="145" spans="1:16" x14ac:dyDescent="0.6">
      <c r="A145" t="s">
        <v>407</v>
      </c>
      <c r="B145">
        <v>10</v>
      </c>
      <c r="C145" t="s">
        <v>92</v>
      </c>
      <c r="D145" t="s">
        <v>7</v>
      </c>
      <c r="E145">
        <v>1</v>
      </c>
      <c r="F145" t="s">
        <v>110</v>
      </c>
      <c r="G145">
        <v>8.69163</v>
      </c>
      <c r="H145">
        <v>6.9685360000000003</v>
      </c>
      <c r="I145">
        <v>0.53141499999999997</v>
      </c>
      <c r="J145">
        <v>7.1164800000000001</v>
      </c>
      <c r="K145">
        <v>5.4687929999999998</v>
      </c>
      <c r="L145">
        <v>0.40054499999999998</v>
      </c>
      <c r="M145">
        <v>0.27200000000000002</v>
      </c>
      <c r="N145">
        <v>4.6674189999999998</v>
      </c>
      <c r="O145">
        <v>0.34352199999999999</v>
      </c>
      <c r="P145" t="s">
        <v>90</v>
      </c>
    </row>
    <row r="146" spans="1:16" x14ac:dyDescent="0.6">
      <c r="A146" t="s">
        <v>408</v>
      </c>
      <c r="B146">
        <v>60</v>
      </c>
      <c r="C146" t="s">
        <v>92</v>
      </c>
      <c r="D146" t="s">
        <v>171</v>
      </c>
      <c r="E146">
        <v>1</v>
      </c>
      <c r="F146" t="s">
        <v>409</v>
      </c>
      <c r="G146">
        <v>8.4628294451149202</v>
      </c>
      <c r="H146">
        <v>6.8429747361403201</v>
      </c>
      <c r="I146">
        <v>0.52908364317769996</v>
      </c>
      <c r="J146">
        <v>7.3124180179365199</v>
      </c>
      <c r="K146">
        <v>5.6562527743252797</v>
      </c>
      <c r="L146">
        <v>0.41188939315374401</v>
      </c>
      <c r="M146">
        <v>0.284874932503275</v>
      </c>
      <c r="N146">
        <v>4.67230224609375</v>
      </c>
      <c r="O146">
        <v>0.34119604253692298</v>
      </c>
      <c r="P146" t="s">
        <v>135</v>
      </c>
    </row>
    <row r="147" spans="1:16" x14ac:dyDescent="0.6">
      <c r="A147" t="s">
        <v>410</v>
      </c>
      <c r="B147">
        <v>30</v>
      </c>
      <c r="C147" t="s">
        <v>92</v>
      </c>
      <c r="D147" t="s">
        <v>167</v>
      </c>
      <c r="E147">
        <v>1</v>
      </c>
      <c r="F147" t="s">
        <v>411</v>
      </c>
      <c r="G147">
        <v>8.8844292708784494</v>
      </c>
      <c r="H147">
        <v>7.1715495476109101</v>
      </c>
      <c r="I147">
        <v>0.548031525480285</v>
      </c>
      <c r="J147">
        <v>7.3448530398125502</v>
      </c>
      <c r="K147">
        <v>5.7409259092460498</v>
      </c>
      <c r="L147">
        <v>0.41901546465815598</v>
      </c>
      <c r="M147">
        <v>0.28724003228810197</v>
      </c>
      <c r="N147">
        <v>4.67449951171875</v>
      </c>
      <c r="O147">
        <v>0.34660005144541101</v>
      </c>
      <c r="P147" t="s">
        <v>93</v>
      </c>
    </row>
    <row r="148" spans="1:16" x14ac:dyDescent="0.6">
      <c r="A148" t="s">
        <v>221</v>
      </c>
      <c r="B148">
        <v>5</v>
      </c>
      <c r="C148" t="s">
        <v>6</v>
      </c>
      <c r="D148" t="s">
        <v>171</v>
      </c>
      <c r="E148">
        <v>1</v>
      </c>
      <c r="F148" t="s">
        <v>222</v>
      </c>
      <c r="G148">
        <v>8.7542738217530793</v>
      </c>
      <c r="H148">
        <v>7.0426677561681403</v>
      </c>
      <c r="I148">
        <v>0.53717401394466102</v>
      </c>
      <c r="J148">
        <v>7.2455522397631702</v>
      </c>
      <c r="K148">
        <v>5.5436261329815997</v>
      </c>
      <c r="L148">
        <v>0.40654590542004498</v>
      </c>
      <c r="M148">
        <v>0.283180280203852</v>
      </c>
      <c r="N148">
        <v>4.436767578125</v>
      </c>
      <c r="O148">
        <v>0.33768952762023602</v>
      </c>
      <c r="P148" t="s">
        <v>90</v>
      </c>
    </row>
    <row r="149" spans="1:16" x14ac:dyDescent="0.6">
      <c r="A149" t="s">
        <v>414</v>
      </c>
      <c r="B149">
        <v>10</v>
      </c>
      <c r="C149" t="s">
        <v>6</v>
      </c>
      <c r="D149" t="s">
        <v>174</v>
      </c>
      <c r="E149">
        <v>1</v>
      </c>
      <c r="F149" t="s">
        <v>415</v>
      </c>
      <c r="G149">
        <v>8.7035584878290795</v>
      </c>
      <c r="H149">
        <v>6.99040233675351</v>
      </c>
      <c r="I149">
        <v>0.53305700436503001</v>
      </c>
      <c r="J149">
        <v>7.2660344151961498</v>
      </c>
      <c r="K149">
        <v>5.5441462423949099</v>
      </c>
      <c r="L149">
        <v>0.40684344699911601</v>
      </c>
      <c r="M149">
        <v>0.28537178353830001</v>
      </c>
      <c r="N149">
        <v>4.69000244140625</v>
      </c>
      <c r="O149">
        <v>0.34720037359139599</v>
      </c>
      <c r="P149" t="s">
        <v>90</v>
      </c>
    </row>
    <row r="150" spans="1:16" x14ac:dyDescent="0.6">
      <c r="A150" t="s">
        <v>275</v>
      </c>
      <c r="B150">
        <v>5</v>
      </c>
      <c r="C150" t="s">
        <v>6</v>
      </c>
      <c r="D150" t="s">
        <v>7</v>
      </c>
      <c r="E150">
        <v>1</v>
      </c>
      <c r="F150" t="s">
        <v>124</v>
      </c>
      <c r="G150" s="13">
        <v>8.6922131329482308</v>
      </c>
      <c r="H150" s="13">
        <v>6.9978791915434799</v>
      </c>
      <c r="I150" s="13">
        <v>0.53388464913963296</v>
      </c>
      <c r="J150">
        <v>7.2118313209826104</v>
      </c>
      <c r="K150" s="13">
        <v>5.5325652944061101</v>
      </c>
      <c r="L150" s="13">
        <v>0.40542799991422601</v>
      </c>
      <c r="M150">
        <v>0.27969763887461402</v>
      </c>
      <c r="N150">
        <v>4.523193359375</v>
      </c>
      <c r="O150" s="13">
        <v>0.33638539514433902</v>
      </c>
      <c r="P150" t="s">
        <v>90</v>
      </c>
    </row>
    <row r="151" spans="1:16" x14ac:dyDescent="0.6">
      <c r="A151" t="s">
        <v>418</v>
      </c>
      <c r="B151">
        <v>60</v>
      </c>
      <c r="C151" t="s">
        <v>6</v>
      </c>
      <c r="D151" t="s">
        <v>88</v>
      </c>
      <c r="E151">
        <v>1</v>
      </c>
      <c r="F151" t="s">
        <v>153</v>
      </c>
      <c r="G151" s="13">
        <v>8.4624834686603005</v>
      </c>
      <c r="H151" s="13">
        <v>6.8987900450989397</v>
      </c>
      <c r="I151" s="13">
        <v>0.53339425898286497</v>
      </c>
      <c r="J151" s="13">
        <v>7.5239068287530602</v>
      </c>
      <c r="K151" s="13">
        <v>5.7743017023259897</v>
      </c>
      <c r="L151">
        <v>0.421312826030042</v>
      </c>
      <c r="M151">
        <v>0.30341223214458801</v>
      </c>
      <c r="N151">
        <v>4.69329833984375</v>
      </c>
      <c r="O151" s="13">
        <v>0.342182534395848</v>
      </c>
      <c r="P151" t="s">
        <v>135</v>
      </c>
    </row>
    <row r="152" spans="1:16" x14ac:dyDescent="0.6">
      <c r="A152" t="s">
        <v>419</v>
      </c>
      <c r="B152">
        <v>90</v>
      </c>
      <c r="C152" t="s">
        <v>9</v>
      </c>
      <c r="D152" t="s">
        <v>171</v>
      </c>
      <c r="E152">
        <v>1</v>
      </c>
      <c r="F152" t="s">
        <v>420</v>
      </c>
      <c r="G152">
        <v>6.90360057954216</v>
      </c>
      <c r="H152">
        <v>5.4312984582149602</v>
      </c>
      <c r="I152">
        <v>0.423955671485375</v>
      </c>
      <c r="J152">
        <v>7.6994646796775896</v>
      </c>
      <c r="K152">
        <v>6.0165756434610396</v>
      </c>
      <c r="L152">
        <v>0.43660273249015702</v>
      </c>
      <c r="M152">
        <v>0.312974443410244</v>
      </c>
      <c r="N152">
        <v>4.69482421875</v>
      </c>
      <c r="O152">
        <v>0.34256580186311397</v>
      </c>
      <c r="P152" t="s">
        <v>114</v>
      </c>
    </row>
    <row r="153" spans="1:16" x14ac:dyDescent="0.6">
      <c r="A153" t="s">
        <v>421</v>
      </c>
      <c r="B153">
        <v>10</v>
      </c>
      <c r="C153" t="s">
        <v>6</v>
      </c>
      <c r="D153" t="s">
        <v>88</v>
      </c>
      <c r="E153">
        <v>1</v>
      </c>
      <c r="F153" t="s">
        <v>111</v>
      </c>
      <c r="G153" s="13">
        <v>8.7510526967028408</v>
      </c>
      <c r="H153">
        <v>7.0463331633923101</v>
      </c>
      <c r="I153" s="13">
        <v>0.53728140356800802</v>
      </c>
      <c r="J153">
        <v>7.12726758717778</v>
      </c>
      <c r="K153" s="13">
        <v>5.5489361518252203</v>
      </c>
      <c r="L153" s="13">
        <v>0.40615376344681398</v>
      </c>
      <c r="M153">
        <v>0.27202697693296696</v>
      </c>
      <c r="N153">
        <v>4.69781494140625</v>
      </c>
      <c r="O153" s="13">
        <v>0.34369776764759602</v>
      </c>
      <c r="P153" t="s">
        <v>90</v>
      </c>
    </row>
    <row r="154" spans="1:16" x14ac:dyDescent="0.6">
      <c r="A154" t="s">
        <v>422</v>
      </c>
      <c r="B154">
        <v>90</v>
      </c>
      <c r="C154" t="s">
        <v>99</v>
      </c>
      <c r="D154" t="s">
        <v>181</v>
      </c>
      <c r="E154">
        <v>1</v>
      </c>
      <c r="F154" t="s">
        <v>423</v>
      </c>
      <c r="G154">
        <v>6.9234935603607504</v>
      </c>
      <c r="H154">
        <v>5.4822517163825699</v>
      </c>
      <c r="I154">
        <v>0.42746514338577302</v>
      </c>
      <c r="J154">
        <v>7.6098460562832901</v>
      </c>
      <c r="K154">
        <v>5.8823024802011901</v>
      </c>
      <c r="L154">
        <v>0.427302608746081</v>
      </c>
      <c r="M154">
        <v>0.30686392654026901</v>
      </c>
      <c r="N154">
        <v>4.699462890625</v>
      </c>
      <c r="O154">
        <v>0.336130694753147</v>
      </c>
      <c r="P154" t="s">
        <v>114</v>
      </c>
    </row>
    <row r="155" spans="1:16" x14ac:dyDescent="0.6">
      <c r="A155" t="s">
        <v>424</v>
      </c>
      <c r="B155">
        <v>60</v>
      </c>
      <c r="C155" t="s">
        <v>99</v>
      </c>
      <c r="D155" t="s">
        <v>174</v>
      </c>
      <c r="E155">
        <v>1</v>
      </c>
      <c r="F155" t="s">
        <v>425</v>
      </c>
      <c r="G155">
        <v>8.4553001834462798</v>
      </c>
      <c r="H155">
        <v>6.8362669053968403</v>
      </c>
      <c r="I155">
        <v>0.528597292038536</v>
      </c>
      <c r="J155">
        <v>7.32781605705659</v>
      </c>
      <c r="K155">
        <v>5.5937832919034003</v>
      </c>
      <c r="L155">
        <v>0.40741885551096702</v>
      </c>
      <c r="M155">
        <v>0.28613997452560097</v>
      </c>
      <c r="N155">
        <v>4.70294189453125</v>
      </c>
      <c r="O155">
        <v>0.34730410517617699</v>
      </c>
      <c r="P155" t="s">
        <v>135</v>
      </c>
    </row>
    <row r="156" spans="1:16" x14ac:dyDescent="0.6">
      <c r="A156" t="s">
        <v>426</v>
      </c>
      <c r="B156">
        <v>60</v>
      </c>
      <c r="C156" t="s">
        <v>6</v>
      </c>
      <c r="D156" t="s">
        <v>177</v>
      </c>
      <c r="E156">
        <v>1</v>
      </c>
      <c r="F156" t="s">
        <v>357</v>
      </c>
      <c r="G156">
        <v>8.5184613368889508</v>
      </c>
      <c r="H156">
        <v>6.8522136813991601</v>
      </c>
      <c r="I156">
        <v>0.52986344317604495</v>
      </c>
      <c r="J156">
        <v>7.2612476137220998</v>
      </c>
      <c r="K156">
        <v>5.6495160189541904</v>
      </c>
      <c r="L156">
        <v>0.41121107275218399</v>
      </c>
      <c r="M156">
        <v>0.28027560940291302</v>
      </c>
      <c r="N156">
        <v>4.7030029296875</v>
      </c>
      <c r="O156">
        <v>0.345495597480868</v>
      </c>
      <c r="P156" t="s">
        <v>135</v>
      </c>
    </row>
    <row r="157" spans="1:16" x14ac:dyDescent="0.6">
      <c r="A157" t="s">
        <v>312</v>
      </c>
      <c r="B157">
        <v>5</v>
      </c>
      <c r="C157" t="s">
        <v>6</v>
      </c>
      <c r="D157" t="s">
        <v>88</v>
      </c>
      <c r="E157">
        <v>1</v>
      </c>
      <c r="F157" t="s">
        <v>109</v>
      </c>
      <c r="G157" s="13">
        <v>8.7281372972559499</v>
      </c>
      <c r="H157">
        <v>6.9915363082825603</v>
      </c>
      <c r="I157" s="13">
        <v>0.53338542474259898</v>
      </c>
      <c r="J157" s="13">
        <v>7.1959661176296699</v>
      </c>
      <c r="K157" s="13">
        <v>5.5506528383725602</v>
      </c>
      <c r="L157" s="13">
        <v>0.40683450336588101</v>
      </c>
      <c r="M157">
        <v>0.27856673564490098</v>
      </c>
      <c r="N157">
        <v>4.5689697265625</v>
      </c>
      <c r="O157" s="13">
        <v>0.340649860177346</v>
      </c>
      <c r="P157" t="s">
        <v>90</v>
      </c>
    </row>
    <row r="158" spans="1:16" x14ac:dyDescent="0.6">
      <c r="A158" t="s">
        <v>429</v>
      </c>
      <c r="B158">
        <v>60</v>
      </c>
      <c r="C158" t="s">
        <v>92</v>
      </c>
      <c r="D158" t="s">
        <v>184</v>
      </c>
      <c r="E158">
        <v>1</v>
      </c>
      <c r="F158" t="s">
        <v>430</v>
      </c>
      <c r="G158">
        <v>8.4727671494430492</v>
      </c>
      <c r="H158">
        <v>6.8421861418000898</v>
      </c>
      <c r="I158">
        <v>0.52923504658030696</v>
      </c>
      <c r="J158">
        <v>7.3560864645286204</v>
      </c>
      <c r="K158">
        <v>5.6902049671519803</v>
      </c>
      <c r="L158">
        <v>0.41428189162756601</v>
      </c>
      <c r="M158">
        <v>0.288087678727379</v>
      </c>
      <c r="N158">
        <v>4.71270751953125</v>
      </c>
      <c r="O158">
        <v>0.34084819087610102</v>
      </c>
      <c r="P158" t="s">
        <v>135</v>
      </c>
    </row>
    <row r="159" spans="1:16" x14ac:dyDescent="0.6">
      <c r="A159" t="s">
        <v>431</v>
      </c>
      <c r="B159">
        <v>10</v>
      </c>
      <c r="C159" t="s">
        <v>9</v>
      </c>
      <c r="D159" t="s">
        <v>8</v>
      </c>
      <c r="E159">
        <v>1</v>
      </c>
      <c r="F159" t="s">
        <v>155</v>
      </c>
      <c r="G159" s="13">
        <v>8.7932978914653397</v>
      </c>
      <c r="H159">
        <v>6.9862463305259004</v>
      </c>
      <c r="I159" s="13">
        <v>0.53310595664150895</v>
      </c>
      <c r="J159" s="13">
        <v>7.5700876998084103</v>
      </c>
      <c r="K159" s="13">
        <v>5.8563513291620497</v>
      </c>
      <c r="L159" s="13">
        <v>0.42847433538913698</v>
      </c>
      <c r="M159">
        <v>0.30700049499795001</v>
      </c>
      <c r="N159">
        <v>4.71337890625</v>
      </c>
      <c r="O159" s="13">
        <v>0.34797289463790698</v>
      </c>
      <c r="P159" t="s">
        <v>90</v>
      </c>
    </row>
    <row r="160" spans="1:16" x14ac:dyDescent="0.6">
      <c r="A160" t="s">
        <v>337</v>
      </c>
      <c r="B160">
        <v>5</v>
      </c>
      <c r="C160" t="s">
        <v>6</v>
      </c>
      <c r="D160" t="s">
        <v>174</v>
      </c>
      <c r="E160">
        <v>1</v>
      </c>
      <c r="F160" t="s">
        <v>338</v>
      </c>
      <c r="G160">
        <v>8.7132447647258306</v>
      </c>
      <c r="H160">
        <v>6.9792566925485202</v>
      </c>
      <c r="I160">
        <v>0.53241565917077505</v>
      </c>
      <c r="J160">
        <v>7.1018774055388798</v>
      </c>
      <c r="K160">
        <v>5.4605311274012402</v>
      </c>
      <c r="L160">
        <v>0.40031509518429098</v>
      </c>
      <c r="M160">
        <v>0.271599973188346</v>
      </c>
      <c r="N160">
        <v>4.5845947265625</v>
      </c>
      <c r="O160">
        <v>0.34339883370237401</v>
      </c>
      <c r="P160" t="s">
        <v>90</v>
      </c>
    </row>
    <row r="161" spans="1:16" x14ac:dyDescent="0.6">
      <c r="A161" t="s">
        <v>433</v>
      </c>
      <c r="B161">
        <v>10</v>
      </c>
      <c r="C161" t="s">
        <v>99</v>
      </c>
      <c r="D161" t="s">
        <v>167</v>
      </c>
      <c r="E161">
        <v>1</v>
      </c>
      <c r="F161" t="s">
        <v>434</v>
      </c>
      <c r="G161">
        <v>8.7321515687643494</v>
      </c>
      <c r="H161">
        <v>7.0009971837292602</v>
      </c>
      <c r="I161">
        <v>0.53398862333053998</v>
      </c>
      <c r="J161">
        <v>7.2947859071142096</v>
      </c>
      <c r="K161">
        <v>5.6279102426714598</v>
      </c>
      <c r="L161">
        <v>0.41199564832081398</v>
      </c>
      <c r="M161">
        <v>0.28531513066619801</v>
      </c>
      <c r="N161">
        <v>4.71820068359375</v>
      </c>
      <c r="O161">
        <v>0.34966537937533598</v>
      </c>
      <c r="P161" t="s">
        <v>90</v>
      </c>
    </row>
    <row r="162" spans="1:16" x14ac:dyDescent="0.6">
      <c r="A162" t="s">
        <v>435</v>
      </c>
      <c r="B162">
        <v>10</v>
      </c>
      <c r="C162" t="s">
        <v>9</v>
      </c>
      <c r="D162" t="s">
        <v>171</v>
      </c>
      <c r="E162">
        <v>1</v>
      </c>
      <c r="F162" t="s">
        <v>436</v>
      </c>
      <c r="G162">
        <v>8.8153238358967894</v>
      </c>
      <c r="H162">
        <v>7.15273391930765</v>
      </c>
      <c r="I162">
        <v>0.54543639759102802</v>
      </c>
      <c r="J162">
        <v>7.4226188948973304</v>
      </c>
      <c r="K162">
        <v>5.6574318134679196</v>
      </c>
      <c r="L162">
        <v>0.415083236640442</v>
      </c>
      <c r="M162">
        <v>0.29761907976365903</v>
      </c>
      <c r="N162">
        <v>4.72760009765625</v>
      </c>
      <c r="O162">
        <v>0.34143272820905801</v>
      </c>
      <c r="P162" t="s">
        <v>90</v>
      </c>
    </row>
    <row r="163" spans="1:16" x14ac:dyDescent="0.6">
      <c r="A163" t="s">
        <v>437</v>
      </c>
      <c r="B163">
        <v>90</v>
      </c>
      <c r="C163" t="s">
        <v>92</v>
      </c>
      <c r="D163" t="s">
        <v>171</v>
      </c>
      <c r="E163">
        <v>1</v>
      </c>
      <c r="F163" t="s">
        <v>438</v>
      </c>
      <c r="G163">
        <v>6.9968880096354704</v>
      </c>
      <c r="H163">
        <v>5.52183578953598</v>
      </c>
      <c r="I163">
        <v>0.43076675559257899</v>
      </c>
      <c r="J163">
        <v>7.1651081293329399</v>
      </c>
      <c r="K163">
        <v>5.48529052734375</v>
      </c>
      <c r="L163">
        <v>0.39905069176362601</v>
      </c>
      <c r="M163">
        <v>0.27321265498536901</v>
      </c>
      <c r="N163">
        <v>4.73004150390625</v>
      </c>
      <c r="O163">
        <v>0.34808540527424098</v>
      </c>
      <c r="P163" t="s">
        <v>114</v>
      </c>
    </row>
    <row r="164" spans="1:16" x14ac:dyDescent="0.6">
      <c r="A164" t="s">
        <v>439</v>
      </c>
      <c r="B164">
        <v>10</v>
      </c>
      <c r="C164" t="s">
        <v>9</v>
      </c>
      <c r="D164" t="s">
        <v>181</v>
      </c>
      <c r="E164">
        <v>1</v>
      </c>
      <c r="F164" t="s">
        <v>440</v>
      </c>
      <c r="G164">
        <v>8.7274215588814492</v>
      </c>
      <c r="H164">
        <v>7.0301428517245199</v>
      </c>
      <c r="I164">
        <v>0.53621518552584801</v>
      </c>
      <c r="J164">
        <v>7.6736323930710002</v>
      </c>
      <c r="K164">
        <v>6.0577279149958496</v>
      </c>
      <c r="L164">
        <v>0.44286991923153401</v>
      </c>
      <c r="M164">
        <v>0.31451542714890002</v>
      </c>
      <c r="N164">
        <v>4.73223876953125</v>
      </c>
      <c r="O164">
        <v>0.35045555498921899</v>
      </c>
      <c r="P164" t="s">
        <v>90</v>
      </c>
    </row>
    <row r="165" spans="1:16" x14ac:dyDescent="0.6">
      <c r="A165" t="s">
        <v>441</v>
      </c>
      <c r="B165">
        <v>30</v>
      </c>
      <c r="C165" t="s">
        <v>6</v>
      </c>
      <c r="D165" t="s">
        <v>177</v>
      </c>
      <c r="E165">
        <v>1</v>
      </c>
      <c r="F165" t="s">
        <v>442</v>
      </c>
      <c r="G165">
        <v>8.9872580356921397</v>
      </c>
      <c r="H165">
        <v>7.2062455314462897</v>
      </c>
      <c r="I165">
        <v>0.55084200822204898</v>
      </c>
      <c r="J165">
        <v>6.9798013124620901</v>
      </c>
      <c r="K165">
        <v>5.4144891535194102</v>
      </c>
      <c r="L165">
        <v>0.39583638770285101</v>
      </c>
      <c r="M165">
        <v>0.26082164329086599</v>
      </c>
      <c r="N165">
        <v>4.73431396484375</v>
      </c>
      <c r="O165">
        <v>0.34857923244910199</v>
      </c>
      <c r="P165" t="s">
        <v>93</v>
      </c>
    </row>
    <row r="166" spans="1:16" x14ac:dyDescent="0.6">
      <c r="A166" t="s">
        <v>443</v>
      </c>
      <c r="B166">
        <v>10</v>
      </c>
      <c r="C166" t="s">
        <v>6</v>
      </c>
      <c r="D166" t="s">
        <v>181</v>
      </c>
      <c r="E166">
        <v>1</v>
      </c>
      <c r="F166" t="s">
        <v>444</v>
      </c>
      <c r="G166">
        <v>8.7928004292582091</v>
      </c>
      <c r="H166">
        <v>7.0328106312010901</v>
      </c>
      <c r="I166">
        <v>0.53645452196939503</v>
      </c>
      <c r="J166">
        <v>7.1184178013132504</v>
      </c>
      <c r="K166">
        <v>5.4285737434319596</v>
      </c>
      <c r="L166">
        <v>0.39803273332605699</v>
      </c>
      <c r="M166">
        <v>0.27318807543470303</v>
      </c>
      <c r="N166">
        <v>4.74505615234375</v>
      </c>
      <c r="O166">
        <v>0.34974935026482301</v>
      </c>
      <c r="P166" t="s">
        <v>90</v>
      </c>
    </row>
    <row r="167" spans="1:16" x14ac:dyDescent="0.6">
      <c r="A167" t="s">
        <v>445</v>
      </c>
      <c r="B167">
        <v>90</v>
      </c>
      <c r="C167" t="s">
        <v>6</v>
      </c>
      <c r="D167" t="s">
        <v>7</v>
      </c>
      <c r="E167">
        <v>1</v>
      </c>
      <c r="F167" t="s">
        <v>142</v>
      </c>
      <c r="G167" s="13">
        <v>7.1817983365045803</v>
      </c>
      <c r="H167" s="13">
        <v>5.6679317589962102</v>
      </c>
      <c r="I167" s="13">
        <v>0.44214617009805801</v>
      </c>
      <c r="J167" s="13">
        <v>7.3646177135076796</v>
      </c>
      <c r="K167" s="13">
        <v>5.6495085415774797</v>
      </c>
      <c r="L167" s="13">
        <v>0.41088423851464601</v>
      </c>
      <c r="M167">
        <v>0.28858870310324397</v>
      </c>
      <c r="N167">
        <v>4.7451171875</v>
      </c>
      <c r="O167" s="13">
        <v>0.34456918415495102</v>
      </c>
      <c r="P167" t="s">
        <v>114</v>
      </c>
    </row>
    <row r="168" spans="1:16" x14ac:dyDescent="0.6">
      <c r="A168" t="s">
        <v>446</v>
      </c>
      <c r="B168">
        <v>20</v>
      </c>
      <c r="C168" t="s">
        <v>92</v>
      </c>
      <c r="D168" t="s">
        <v>88</v>
      </c>
      <c r="E168">
        <v>1</v>
      </c>
      <c r="F168" t="s">
        <v>103</v>
      </c>
      <c r="G168">
        <v>8.6972710000000006</v>
      </c>
      <c r="H168">
        <v>6.9969169999999998</v>
      </c>
      <c r="I168">
        <v>0.53404499999999999</v>
      </c>
      <c r="J168">
        <v>7.0836389999999998</v>
      </c>
      <c r="K168">
        <v>5.4940230000000003</v>
      </c>
      <c r="L168">
        <v>0.40163100000000002</v>
      </c>
      <c r="M168">
        <v>0.2681</v>
      </c>
      <c r="N168">
        <v>4.7504270000000002</v>
      </c>
      <c r="O168">
        <v>0.34342899999999998</v>
      </c>
      <c r="P168" t="s">
        <v>90</v>
      </c>
    </row>
    <row r="169" spans="1:16" x14ac:dyDescent="0.6">
      <c r="A169" t="s">
        <v>447</v>
      </c>
      <c r="B169">
        <v>10</v>
      </c>
      <c r="C169" t="s">
        <v>9</v>
      </c>
      <c r="D169" t="s">
        <v>174</v>
      </c>
      <c r="E169">
        <v>1</v>
      </c>
      <c r="F169" t="s">
        <v>448</v>
      </c>
      <c r="G169">
        <v>8.7251405323963596</v>
      </c>
      <c r="H169">
        <v>7.0472062745245303</v>
      </c>
      <c r="I169">
        <v>0.53754359428424003</v>
      </c>
      <c r="J169">
        <v>7.3395361896145204</v>
      </c>
      <c r="K169">
        <v>5.7080726285951302</v>
      </c>
      <c r="L169">
        <v>0.417446536240352</v>
      </c>
      <c r="M169">
        <v>0.28775461404457303</v>
      </c>
      <c r="N169">
        <v>4.7537841796875</v>
      </c>
      <c r="O169">
        <v>0.35221969897114402</v>
      </c>
      <c r="P169" t="s">
        <v>90</v>
      </c>
    </row>
    <row r="170" spans="1:16" x14ac:dyDescent="0.6">
      <c r="A170" t="s">
        <v>449</v>
      </c>
      <c r="B170">
        <v>90</v>
      </c>
      <c r="C170" t="s">
        <v>6</v>
      </c>
      <c r="D170" t="s">
        <v>174</v>
      </c>
      <c r="E170">
        <v>1</v>
      </c>
      <c r="F170" t="s">
        <v>450</v>
      </c>
      <c r="G170">
        <v>6.9787853750523796</v>
      </c>
      <c r="H170">
        <v>5.5637502959280303</v>
      </c>
      <c r="I170">
        <v>0.43382506901921503</v>
      </c>
      <c r="J170">
        <v>7.2350759899235904</v>
      </c>
      <c r="K170">
        <v>5.5138156838613002</v>
      </c>
      <c r="L170">
        <v>0.40101829345992102</v>
      </c>
      <c r="M170">
        <v>0.27836455007248201</v>
      </c>
      <c r="N170">
        <v>4.75689697265625</v>
      </c>
      <c r="O170">
        <v>0.34506292345711898</v>
      </c>
      <c r="P170" t="s">
        <v>114</v>
      </c>
    </row>
    <row r="171" spans="1:16" x14ac:dyDescent="0.6">
      <c r="A171" t="s">
        <v>451</v>
      </c>
      <c r="B171">
        <v>60</v>
      </c>
      <c r="C171" t="s">
        <v>6</v>
      </c>
      <c r="D171" t="s">
        <v>7</v>
      </c>
      <c r="E171">
        <v>1</v>
      </c>
      <c r="F171" t="s">
        <v>159</v>
      </c>
      <c r="G171" s="13">
        <v>8.4227743809161897</v>
      </c>
      <c r="H171" s="13">
        <v>6.7781490284007901</v>
      </c>
      <c r="I171" s="13">
        <v>0.52416896339033703</v>
      </c>
      <c r="J171" s="13">
        <v>7.64761302942697</v>
      </c>
      <c r="K171">
        <v>5.8081255826083096</v>
      </c>
      <c r="L171" s="13">
        <v>0.42361236748120401</v>
      </c>
      <c r="M171">
        <v>0.31321900543304299</v>
      </c>
      <c r="N171">
        <v>4.75750732421875</v>
      </c>
      <c r="O171" s="13">
        <v>0.349641073896789</v>
      </c>
      <c r="P171" t="s">
        <v>135</v>
      </c>
    </row>
    <row r="172" spans="1:16" x14ac:dyDescent="0.6">
      <c r="A172" t="s">
        <v>452</v>
      </c>
      <c r="B172">
        <v>10</v>
      </c>
      <c r="C172" t="s">
        <v>92</v>
      </c>
      <c r="D172" t="s">
        <v>88</v>
      </c>
      <c r="E172">
        <v>1</v>
      </c>
      <c r="F172" t="s">
        <v>116</v>
      </c>
      <c r="G172">
        <v>8.7073999999999998</v>
      </c>
      <c r="H172">
        <v>6.9808899999999996</v>
      </c>
      <c r="I172">
        <v>0.53244000000000002</v>
      </c>
      <c r="J172">
        <v>7.1488699999999996</v>
      </c>
      <c r="K172">
        <v>5.4943720000000003</v>
      </c>
      <c r="L172">
        <v>0.402252</v>
      </c>
      <c r="M172">
        <v>0.2742</v>
      </c>
      <c r="N172">
        <v>4.7616579999999997</v>
      </c>
      <c r="O172">
        <v>0.35395199999999999</v>
      </c>
      <c r="P172" t="s">
        <v>90</v>
      </c>
    </row>
    <row r="173" spans="1:16" x14ac:dyDescent="0.6">
      <c r="A173" t="s">
        <v>453</v>
      </c>
      <c r="B173">
        <v>10</v>
      </c>
      <c r="C173" t="s">
        <v>9</v>
      </c>
      <c r="D173" t="s">
        <v>167</v>
      </c>
      <c r="E173">
        <v>1</v>
      </c>
      <c r="F173" t="s">
        <v>239</v>
      </c>
      <c r="G173">
        <v>8.7499056145477496</v>
      </c>
      <c r="H173">
        <v>7.0042934964325196</v>
      </c>
      <c r="I173">
        <v>0.53419181357830503</v>
      </c>
      <c r="J173">
        <v>7.2537872446932798</v>
      </c>
      <c r="K173">
        <v>5.5576533764864404</v>
      </c>
      <c r="L173">
        <v>0.407546010856768</v>
      </c>
      <c r="M173">
        <v>0.283884721386781</v>
      </c>
      <c r="N173">
        <v>4.76275634765625</v>
      </c>
      <c r="O173">
        <v>0.35536452389761197</v>
      </c>
      <c r="P173" t="s">
        <v>90</v>
      </c>
    </row>
    <row r="174" spans="1:16" x14ac:dyDescent="0.6">
      <c r="A174" t="s">
        <v>454</v>
      </c>
      <c r="B174">
        <v>60</v>
      </c>
      <c r="C174" t="s">
        <v>9</v>
      </c>
      <c r="D174" t="s">
        <v>171</v>
      </c>
      <c r="E174">
        <v>1</v>
      </c>
      <c r="F174" t="s">
        <v>455</v>
      </c>
      <c r="G174">
        <v>8.5101380933122392</v>
      </c>
      <c r="H174">
        <v>6.8405174003852496</v>
      </c>
      <c r="I174">
        <v>0.52892139212356803</v>
      </c>
      <c r="J174">
        <v>7.54626779721458</v>
      </c>
      <c r="K174">
        <v>5.8844521262428904</v>
      </c>
      <c r="L174">
        <v>0.42830052535298102</v>
      </c>
      <c r="M174">
        <v>0.30261386437443399</v>
      </c>
      <c r="N174">
        <v>4.76800537109375</v>
      </c>
      <c r="O174">
        <v>0.34497756898159698</v>
      </c>
      <c r="P174" t="s">
        <v>135</v>
      </c>
    </row>
    <row r="175" spans="1:16" x14ac:dyDescent="0.6">
      <c r="A175" t="s">
        <v>456</v>
      </c>
      <c r="B175">
        <v>10</v>
      </c>
      <c r="C175" t="s">
        <v>92</v>
      </c>
      <c r="D175" t="s">
        <v>8</v>
      </c>
      <c r="E175">
        <v>1</v>
      </c>
      <c r="F175" t="s">
        <v>104</v>
      </c>
      <c r="G175">
        <v>8.6712380000000007</v>
      </c>
      <c r="H175">
        <v>6.9364549999999996</v>
      </c>
      <c r="I175">
        <v>0.52906200000000003</v>
      </c>
      <c r="J175">
        <v>7.0868869999999999</v>
      </c>
      <c r="K175">
        <v>5.4353389999999999</v>
      </c>
      <c r="L175">
        <v>0.398316</v>
      </c>
      <c r="M175">
        <v>0.2702</v>
      </c>
      <c r="N175">
        <v>4.7739260000000003</v>
      </c>
      <c r="O175">
        <v>0.35355300000000001</v>
      </c>
      <c r="P175" t="s">
        <v>90</v>
      </c>
    </row>
    <row r="176" spans="1:16" x14ac:dyDescent="0.6">
      <c r="A176" t="s">
        <v>457</v>
      </c>
      <c r="B176">
        <v>60</v>
      </c>
      <c r="C176" t="s">
        <v>92</v>
      </c>
      <c r="D176" t="s">
        <v>177</v>
      </c>
      <c r="E176">
        <v>1</v>
      </c>
      <c r="F176" t="s">
        <v>458</v>
      </c>
      <c r="G176">
        <v>8.45611977723288</v>
      </c>
      <c r="H176">
        <v>6.8436202164534601</v>
      </c>
      <c r="I176">
        <v>0.52921683018643295</v>
      </c>
      <c r="J176">
        <v>7.3231435715426496</v>
      </c>
      <c r="K176">
        <v>5.6495555530894803</v>
      </c>
      <c r="L176">
        <v>0.41140818053238398</v>
      </c>
      <c r="M176">
        <v>0.28557285003386101</v>
      </c>
      <c r="N176">
        <v>4.7750244140625</v>
      </c>
      <c r="O176">
        <v>0.347665050761577</v>
      </c>
      <c r="P176" t="s">
        <v>135</v>
      </c>
    </row>
    <row r="177" spans="1:16" x14ac:dyDescent="0.6">
      <c r="A177" t="s">
        <v>459</v>
      </c>
      <c r="B177">
        <v>60</v>
      </c>
      <c r="C177" t="s">
        <v>9</v>
      </c>
      <c r="D177" t="s">
        <v>174</v>
      </c>
      <c r="E177">
        <v>1</v>
      </c>
      <c r="F177" t="s">
        <v>202</v>
      </c>
      <c r="G177">
        <v>8.5579672302040493</v>
      </c>
      <c r="H177">
        <v>6.9921169071407103</v>
      </c>
      <c r="I177">
        <v>0.54077751454273404</v>
      </c>
      <c r="J177">
        <v>7.4022491320757302</v>
      </c>
      <c r="K177">
        <v>5.6577973799272003</v>
      </c>
      <c r="L177">
        <v>0.41224095624104301</v>
      </c>
      <c r="M177">
        <v>0.29280848898636297</v>
      </c>
      <c r="N177">
        <v>4.776123046875</v>
      </c>
      <c r="O177">
        <v>0.34587998503832701</v>
      </c>
      <c r="P177" t="s">
        <v>135</v>
      </c>
    </row>
    <row r="178" spans="1:16" x14ac:dyDescent="0.6">
      <c r="A178" t="s">
        <v>460</v>
      </c>
      <c r="B178">
        <v>30</v>
      </c>
      <c r="C178" t="s">
        <v>92</v>
      </c>
      <c r="D178" t="s">
        <v>8</v>
      </c>
      <c r="E178">
        <v>1</v>
      </c>
      <c r="F178" t="s">
        <v>145</v>
      </c>
      <c r="G178">
        <v>8.8409189999999995</v>
      </c>
      <c r="H178">
        <v>7.1143619999999999</v>
      </c>
      <c r="I178">
        <v>0.54365799999999997</v>
      </c>
      <c r="J178">
        <v>7.3824569999999996</v>
      </c>
      <c r="K178">
        <v>5.7939259999999999</v>
      </c>
      <c r="L178">
        <v>0.42299999999999999</v>
      </c>
      <c r="M178">
        <v>0.2903</v>
      </c>
      <c r="N178">
        <v>4.7860719999999999</v>
      </c>
      <c r="O178">
        <v>0.34620400000000001</v>
      </c>
      <c r="P178" t="s">
        <v>93</v>
      </c>
    </row>
    <row r="179" spans="1:16" x14ac:dyDescent="0.6">
      <c r="A179" t="s">
        <v>461</v>
      </c>
      <c r="B179">
        <v>30</v>
      </c>
      <c r="C179" t="s">
        <v>9</v>
      </c>
      <c r="D179" t="s">
        <v>181</v>
      </c>
      <c r="E179">
        <v>1</v>
      </c>
      <c r="F179" t="s">
        <v>462</v>
      </c>
      <c r="G179">
        <v>8.8991461628525403</v>
      </c>
      <c r="H179">
        <v>7.2642000549675698</v>
      </c>
      <c r="I179">
        <v>0.55503529068433499</v>
      </c>
      <c r="J179">
        <v>7.6559406937640704</v>
      </c>
      <c r="K179">
        <v>6.1104576333055203</v>
      </c>
      <c r="L179">
        <v>0.44575702008327101</v>
      </c>
      <c r="M179">
        <v>0.31150548917759202</v>
      </c>
      <c r="N179">
        <v>4.8057861328125</v>
      </c>
      <c r="O179">
        <v>0.35668302215224201</v>
      </c>
      <c r="P179" t="s">
        <v>93</v>
      </c>
    </row>
    <row r="180" spans="1:16" x14ac:dyDescent="0.6">
      <c r="A180" t="s">
        <v>463</v>
      </c>
      <c r="B180">
        <v>20</v>
      </c>
      <c r="C180" t="s">
        <v>99</v>
      </c>
      <c r="D180" t="s">
        <v>7</v>
      </c>
      <c r="E180">
        <v>1</v>
      </c>
      <c r="F180" t="s">
        <v>100</v>
      </c>
      <c r="G180">
        <v>8.6930429999999994</v>
      </c>
      <c r="H180">
        <v>6.9213950000000004</v>
      </c>
      <c r="I180">
        <v>0.52815900000000005</v>
      </c>
      <c r="J180">
        <v>7.0688050000000002</v>
      </c>
      <c r="K180">
        <v>5.4607749999999999</v>
      </c>
      <c r="L180">
        <v>0.39980300000000002</v>
      </c>
      <c r="M180">
        <v>0.26840000000000003</v>
      </c>
      <c r="N180">
        <v>4.8067019999999996</v>
      </c>
      <c r="O180">
        <v>0.34881099999999998</v>
      </c>
      <c r="P180" t="s">
        <v>90</v>
      </c>
    </row>
    <row r="181" spans="1:16" x14ac:dyDescent="0.6">
      <c r="A181" t="s">
        <v>464</v>
      </c>
      <c r="B181">
        <v>60</v>
      </c>
      <c r="C181" t="s">
        <v>6</v>
      </c>
      <c r="D181" t="s">
        <v>8</v>
      </c>
      <c r="E181">
        <v>1</v>
      </c>
      <c r="F181" t="s">
        <v>152</v>
      </c>
      <c r="G181" s="13">
        <v>8.4546367438248797</v>
      </c>
      <c r="H181" s="13">
        <v>6.7967955201536698</v>
      </c>
      <c r="I181" s="13">
        <v>0.52560094765660204</v>
      </c>
      <c r="J181" s="13">
        <v>7.5197311902796899</v>
      </c>
      <c r="K181" s="13">
        <v>5.7225223888050403</v>
      </c>
      <c r="L181" s="13">
        <v>0.417181750445344</v>
      </c>
      <c r="M181">
        <v>0.30258052650601697</v>
      </c>
      <c r="N181">
        <v>4.81048583984375</v>
      </c>
      <c r="O181" s="13">
        <v>0.34794145670430998</v>
      </c>
      <c r="P181" t="s">
        <v>135</v>
      </c>
    </row>
    <row r="182" spans="1:16" x14ac:dyDescent="0.6">
      <c r="A182" t="s">
        <v>465</v>
      </c>
      <c r="B182">
        <v>90</v>
      </c>
      <c r="C182" t="s">
        <v>92</v>
      </c>
      <c r="D182" t="s">
        <v>181</v>
      </c>
      <c r="E182">
        <v>1</v>
      </c>
      <c r="F182" t="s">
        <v>466</v>
      </c>
      <c r="G182">
        <v>6.9960574108104003</v>
      </c>
      <c r="H182">
        <v>5.53389300722064</v>
      </c>
      <c r="I182">
        <v>0.431737190783477</v>
      </c>
      <c r="J182">
        <v>7.3029645210249399</v>
      </c>
      <c r="K182">
        <v>5.5629180490154102</v>
      </c>
      <c r="L182">
        <v>0.40486600115916499</v>
      </c>
      <c r="M182">
        <v>0.28436727033558301</v>
      </c>
      <c r="N182">
        <v>4.81304931640625</v>
      </c>
      <c r="O182">
        <v>0.34186826066634102</v>
      </c>
      <c r="P182" t="s">
        <v>114</v>
      </c>
    </row>
    <row r="183" spans="1:16" x14ac:dyDescent="0.6">
      <c r="A183" t="s">
        <v>356</v>
      </c>
      <c r="B183">
        <v>5</v>
      </c>
      <c r="C183" t="s">
        <v>6</v>
      </c>
      <c r="D183" t="s">
        <v>184</v>
      </c>
      <c r="E183">
        <v>1</v>
      </c>
      <c r="F183" t="s">
        <v>357</v>
      </c>
      <c r="G183">
        <v>8.7362821150911305</v>
      </c>
      <c r="H183">
        <v>6.9534979219869397</v>
      </c>
      <c r="I183">
        <v>0.53045984220599496</v>
      </c>
      <c r="J183">
        <v>7.1763785188424301</v>
      </c>
      <c r="K183">
        <v>5.4287067099567103</v>
      </c>
      <c r="L183">
        <v>0.39859199766475101</v>
      </c>
      <c r="M183">
        <v>0.27840726973459001</v>
      </c>
      <c r="N183">
        <v>4.60400390625</v>
      </c>
      <c r="O183">
        <v>0.337476435361869</v>
      </c>
      <c r="P183" t="s">
        <v>90</v>
      </c>
    </row>
    <row r="184" spans="1:16" x14ac:dyDescent="0.6">
      <c r="A184" t="s">
        <v>468</v>
      </c>
      <c r="B184">
        <v>60</v>
      </c>
      <c r="C184" t="s">
        <v>9</v>
      </c>
      <c r="D184" t="s">
        <v>177</v>
      </c>
      <c r="E184">
        <v>1</v>
      </c>
      <c r="F184" t="s">
        <v>469</v>
      </c>
      <c r="G184">
        <v>8.3916550202199502</v>
      </c>
      <c r="H184">
        <v>6.8334509880988099</v>
      </c>
      <c r="I184">
        <v>0.52800674555390703</v>
      </c>
      <c r="J184">
        <v>7.37626180038394</v>
      </c>
      <c r="K184">
        <v>5.6494709361683197</v>
      </c>
      <c r="L184">
        <v>0.41165577686693999</v>
      </c>
      <c r="M184">
        <v>0.29004984907526199</v>
      </c>
      <c r="N184">
        <v>4.81903076171875</v>
      </c>
      <c r="O184">
        <v>0.35215536061831498</v>
      </c>
      <c r="P184" t="s">
        <v>135</v>
      </c>
    </row>
    <row r="185" spans="1:16" x14ac:dyDescent="0.6">
      <c r="A185" t="s">
        <v>470</v>
      </c>
      <c r="B185">
        <v>20</v>
      </c>
      <c r="C185" t="s">
        <v>9</v>
      </c>
      <c r="D185" t="s">
        <v>8</v>
      </c>
      <c r="E185">
        <v>1</v>
      </c>
      <c r="F185" t="s">
        <v>97</v>
      </c>
      <c r="G185" s="13">
        <v>8.6669084631691398</v>
      </c>
      <c r="H185" s="13">
        <v>6.9536505306468204</v>
      </c>
      <c r="I185" s="13">
        <v>0.53038521894520296</v>
      </c>
      <c r="J185" s="13">
        <v>6.9988769277651004</v>
      </c>
      <c r="K185" s="13">
        <v>5.3779223406756298</v>
      </c>
      <c r="L185" s="13">
        <v>0.39357667406389801</v>
      </c>
      <c r="M185">
        <v>0.26266763540183202</v>
      </c>
      <c r="N185">
        <v>4.82080078125</v>
      </c>
      <c r="O185" s="13">
        <v>0.35856878623634098</v>
      </c>
      <c r="P185" t="s">
        <v>90</v>
      </c>
    </row>
    <row r="186" spans="1:16" x14ac:dyDescent="0.6">
      <c r="A186" t="s">
        <v>471</v>
      </c>
      <c r="B186">
        <v>20</v>
      </c>
      <c r="C186" t="s">
        <v>99</v>
      </c>
      <c r="D186" t="s">
        <v>174</v>
      </c>
      <c r="E186">
        <v>1</v>
      </c>
      <c r="F186" t="s">
        <v>472</v>
      </c>
      <c r="G186">
        <v>8.6907892198157803</v>
      </c>
      <c r="H186">
        <v>6.9767812353265803</v>
      </c>
      <c r="I186">
        <v>0.53262794261620905</v>
      </c>
      <c r="J186">
        <v>7.1590788883339096</v>
      </c>
      <c r="K186">
        <v>5.5988294813368</v>
      </c>
      <c r="L186">
        <v>0.40915770507754101</v>
      </c>
      <c r="M186">
        <v>0.27363082178873299</v>
      </c>
      <c r="N186">
        <v>4.8211669921875</v>
      </c>
      <c r="O186">
        <v>0.35089346536636701</v>
      </c>
      <c r="P186" t="s">
        <v>90</v>
      </c>
    </row>
    <row r="187" spans="1:16" x14ac:dyDescent="0.6">
      <c r="A187" t="s">
        <v>473</v>
      </c>
      <c r="B187">
        <v>30</v>
      </c>
      <c r="C187" t="s">
        <v>99</v>
      </c>
      <c r="D187" t="s">
        <v>181</v>
      </c>
      <c r="E187">
        <v>1</v>
      </c>
      <c r="F187" t="s">
        <v>474</v>
      </c>
      <c r="G187">
        <v>8.8110462843122903</v>
      </c>
      <c r="H187">
        <v>7.0888984237427</v>
      </c>
      <c r="I187">
        <v>0.54163860229384897</v>
      </c>
      <c r="J187">
        <v>7.2015741183594502</v>
      </c>
      <c r="K187">
        <v>5.4982489428473897</v>
      </c>
      <c r="L187">
        <v>0.401961006605496</v>
      </c>
      <c r="M187">
        <v>0.277904134572794</v>
      </c>
      <c r="N187">
        <v>4.825439453125</v>
      </c>
      <c r="O187">
        <v>0.35399384259641598</v>
      </c>
      <c r="P187" t="s">
        <v>93</v>
      </c>
    </row>
    <row r="188" spans="1:16" x14ac:dyDescent="0.6">
      <c r="A188" t="s">
        <v>475</v>
      </c>
      <c r="B188">
        <v>60</v>
      </c>
      <c r="C188" t="s">
        <v>6</v>
      </c>
      <c r="D188" t="s">
        <v>181</v>
      </c>
      <c r="E188">
        <v>1</v>
      </c>
      <c r="F188" t="s">
        <v>476</v>
      </c>
      <c r="G188">
        <v>8.5012392623478306</v>
      </c>
      <c r="H188">
        <v>6.8809406154758301</v>
      </c>
      <c r="I188">
        <v>0.53203447111958102</v>
      </c>
      <c r="J188">
        <v>7.30784420965343</v>
      </c>
      <c r="K188">
        <v>5.6755794178355803</v>
      </c>
      <c r="L188">
        <v>0.412918643932984</v>
      </c>
      <c r="M188">
        <v>0.28358682077658803</v>
      </c>
      <c r="N188">
        <v>4.83056640625</v>
      </c>
      <c r="O188">
        <v>0.35216855020230198</v>
      </c>
      <c r="P188" t="s">
        <v>135</v>
      </c>
    </row>
    <row r="189" spans="1:16" x14ac:dyDescent="0.6">
      <c r="A189" t="s">
        <v>477</v>
      </c>
      <c r="B189">
        <v>90</v>
      </c>
      <c r="C189" t="s">
        <v>9</v>
      </c>
      <c r="D189" t="s">
        <v>184</v>
      </c>
      <c r="E189">
        <v>1</v>
      </c>
      <c r="F189" t="s">
        <v>279</v>
      </c>
      <c r="G189">
        <v>7.1091731673947098</v>
      </c>
      <c r="H189">
        <v>5.6164828213778399</v>
      </c>
      <c r="I189">
        <v>0.43861545904206101</v>
      </c>
      <c r="J189">
        <v>7.3784115958374699</v>
      </c>
      <c r="K189">
        <v>5.6676100639447702</v>
      </c>
      <c r="L189">
        <v>0.41246891827340798</v>
      </c>
      <c r="M189">
        <v>0.29007639683795799</v>
      </c>
      <c r="N189">
        <v>4.85382080078125</v>
      </c>
      <c r="O189">
        <v>0.34834370254367197</v>
      </c>
      <c r="P189" t="s">
        <v>114</v>
      </c>
    </row>
    <row r="190" spans="1:16" x14ac:dyDescent="0.6">
      <c r="A190" t="s">
        <v>478</v>
      </c>
      <c r="B190">
        <v>30</v>
      </c>
      <c r="C190" t="s">
        <v>9</v>
      </c>
      <c r="D190" t="s">
        <v>184</v>
      </c>
      <c r="E190">
        <v>1</v>
      </c>
      <c r="F190" t="s">
        <v>479</v>
      </c>
      <c r="G190">
        <v>8.9456934502875995</v>
      </c>
      <c r="H190">
        <v>7.1996250393212096</v>
      </c>
      <c r="I190">
        <v>0.550249093754686</v>
      </c>
      <c r="J190">
        <v>7.3475514076060398</v>
      </c>
      <c r="K190">
        <v>5.7964430133115901</v>
      </c>
      <c r="L190">
        <v>0.42306592490230899</v>
      </c>
      <c r="M190">
        <v>0.28750274999018499</v>
      </c>
      <c r="N190">
        <v>4.862060546875</v>
      </c>
      <c r="O190">
        <v>0.35609102374177898</v>
      </c>
      <c r="P190" t="s">
        <v>93</v>
      </c>
    </row>
    <row r="191" spans="1:16" x14ac:dyDescent="0.6">
      <c r="A191" t="s">
        <v>480</v>
      </c>
      <c r="B191">
        <v>60</v>
      </c>
      <c r="C191" t="s">
        <v>9</v>
      </c>
      <c r="D191" t="s">
        <v>88</v>
      </c>
      <c r="E191">
        <v>1</v>
      </c>
      <c r="F191" t="s">
        <v>162</v>
      </c>
      <c r="G191" s="13">
        <v>8.4964795513762503</v>
      </c>
      <c r="H191" s="13">
        <v>6.8499881618625498</v>
      </c>
      <c r="I191" s="13">
        <v>0.52963375338303997</v>
      </c>
      <c r="J191" s="13">
        <v>7.9697804515775603</v>
      </c>
      <c r="K191" s="13">
        <v>6.2817639437588699</v>
      </c>
      <c r="L191" s="13">
        <v>0.45642186443342198</v>
      </c>
      <c r="M191">
        <v>0.33579147461077596</v>
      </c>
      <c r="N191">
        <v>4.86346435546875</v>
      </c>
      <c r="O191" s="13">
        <v>0.352021622832561</v>
      </c>
      <c r="P191" t="s">
        <v>135</v>
      </c>
    </row>
    <row r="192" spans="1:16" x14ac:dyDescent="0.6">
      <c r="A192" t="s">
        <v>481</v>
      </c>
      <c r="B192">
        <v>20</v>
      </c>
      <c r="C192" t="s">
        <v>9</v>
      </c>
      <c r="D192" t="s">
        <v>177</v>
      </c>
      <c r="E192">
        <v>1</v>
      </c>
      <c r="F192" t="s">
        <v>482</v>
      </c>
      <c r="G192">
        <v>8.6923914436300098</v>
      </c>
      <c r="H192">
        <v>6.9108248659411897</v>
      </c>
      <c r="I192">
        <v>0.52712663147449001</v>
      </c>
      <c r="J192">
        <v>7.1770669020604698</v>
      </c>
      <c r="K192">
        <v>5.5409432870370301</v>
      </c>
      <c r="L192">
        <v>0.40575503653005801</v>
      </c>
      <c r="M192">
        <v>0.27684675420888</v>
      </c>
      <c r="N192">
        <v>4.86456298828125</v>
      </c>
      <c r="O192">
        <v>0.35346825011495597</v>
      </c>
      <c r="P192" t="s">
        <v>90</v>
      </c>
    </row>
    <row r="193" spans="1:16" x14ac:dyDescent="0.6">
      <c r="A193" t="s">
        <v>483</v>
      </c>
      <c r="B193">
        <v>60</v>
      </c>
      <c r="C193" t="s">
        <v>99</v>
      </c>
      <c r="D193" t="s">
        <v>177</v>
      </c>
      <c r="E193">
        <v>1</v>
      </c>
      <c r="F193" t="s">
        <v>484</v>
      </c>
      <c r="G193">
        <v>8.35493218463224</v>
      </c>
      <c r="H193">
        <v>6.8471704000955098</v>
      </c>
      <c r="I193">
        <v>0.52924593685908305</v>
      </c>
      <c r="J193">
        <v>7.3469796233474902</v>
      </c>
      <c r="K193">
        <v>5.6367152820933901</v>
      </c>
      <c r="L193">
        <v>0.41066738992697299</v>
      </c>
      <c r="M193">
        <v>0.287759521678638</v>
      </c>
      <c r="N193">
        <v>4.87017822265625</v>
      </c>
      <c r="O193">
        <v>0.35273478554103399</v>
      </c>
      <c r="P193" t="s">
        <v>135</v>
      </c>
    </row>
    <row r="194" spans="1:16" x14ac:dyDescent="0.6">
      <c r="A194" t="s">
        <v>485</v>
      </c>
      <c r="B194">
        <v>60</v>
      </c>
      <c r="C194" t="s">
        <v>99</v>
      </c>
      <c r="D194" t="s">
        <v>184</v>
      </c>
      <c r="E194">
        <v>1</v>
      </c>
      <c r="F194" t="s">
        <v>486</v>
      </c>
      <c r="G194">
        <v>8.43844576759526</v>
      </c>
      <c r="H194">
        <v>6.8093557672186202</v>
      </c>
      <c r="I194">
        <v>0.52672990391220198</v>
      </c>
      <c r="J194">
        <v>7.7454439846394001</v>
      </c>
      <c r="K194">
        <v>6.0763272372159003</v>
      </c>
      <c r="L194">
        <v>0.44181479734763102</v>
      </c>
      <c r="M194">
        <v>0.31773376668291603</v>
      </c>
      <c r="N194">
        <v>4.87310791015625</v>
      </c>
      <c r="O194">
        <v>0.35573152882837</v>
      </c>
      <c r="P194" t="s">
        <v>135</v>
      </c>
    </row>
    <row r="195" spans="1:16" x14ac:dyDescent="0.6">
      <c r="A195" t="s">
        <v>487</v>
      </c>
      <c r="B195">
        <v>30</v>
      </c>
      <c r="C195" t="s">
        <v>6</v>
      </c>
      <c r="D195" t="s">
        <v>8</v>
      </c>
      <c r="E195">
        <v>1</v>
      </c>
      <c r="F195" t="s">
        <v>148</v>
      </c>
      <c r="G195" s="13">
        <v>8.9019591773170497</v>
      </c>
      <c r="H195" s="13">
        <v>7.1205688681895198</v>
      </c>
      <c r="I195" s="13">
        <v>0.54399636865956602</v>
      </c>
      <c r="J195" s="13">
        <v>7.4534726521353596</v>
      </c>
      <c r="K195" s="13">
        <v>5.6844968332827603</v>
      </c>
      <c r="L195" s="13">
        <v>0.41555569837169198</v>
      </c>
      <c r="M195">
        <v>0.297923999794178</v>
      </c>
      <c r="N195">
        <v>4.8734130859375</v>
      </c>
      <c r="O195">
        <v>0.35191326993736</v>
      </c>
      <c r="P195" t="s">
        <v>93</v>
      </c>
    </row>
    <row r="196" spans="1:16" x14ac:dyDescent="0.6">
      <c r="A196" t="s">
        <v>365</v>
      </c>
      <c r="B196">
        <v>5</v>
      </c>
      <c r="C196" t="s">
        <v>6</v>
      </c>
      <c r="D196" t="s">
        <v>8</v>
      </c>
      <c r="E196">
        <v>1</v>
      </c>
      <c r="F196" t="s">
        <v>115</v>
      </c>
      <c r="G196" s="13">
        <v>8.6961930600441004</v>
      </c>
      <c r="H196" s="13">
        <v>6.9890003081928302</v>
      </c>
      <c r="I196" s="13">
        <v>0.53325289059635905</v>
      </c>
      <c r="J196" s="13">
        <v>7.1444564286316004</v>
      </c>
      <c r="K196" s="13">
        <v>5.3940382127637898</v>
      </c>
      <c r="L196" s="13">
        <v>0.39588277358062901</v>
      </c>
      <c r="M196">
        <v>0.27593425972084501</v>
      </c>
      <c r="N196">
        <v>4.6175537109375</v>
      </c>
      <c r="O196" s="13">
        <v>0.338844693192139</v>
      </c>
      <c r="P196" t="s">
        <v>90</v>
      </c>
    </row>
    <row r="197" spans="1:16" x14ac:dyDescent="0.6">
      <c r="A197" t="s">
        <v>490</v>
      </c>
      <c r="B197">
        <v>30</v>
      </c>
      <c r="C197" t="s">
        <v>9</v>
      </c>
      <c r="D197" t="s">
        <v>8</v>
      </c>
      <c r="E197">
        <v>1</v>
      </c>
      <c r="F197" t="s">
        <v>142</v>
      </c>
      <c r="G197" s="13">
        <v>8.9341371463538</v>
      </c>
      <c r="H197" s="13">
        <v>7.18222605430147</v>
      </c>
      <c r="I197" s="13">
        <v>0.54882554776852699</v>
      </c>
      <c r="J197" s="13">
        <v>7.6305046082067403</v>
      </c>
      <c r="K197" s="13">
        <v>5.89081877180673</v>
      </c>
      <c r="L197" s="13">
        <v>0.429472085769944</v>
      </c>
      <c r="M197">
        <v>0.30891904762220601</v>
      </c>
      <c r="N197">
        <v>4.89654541015625</v>
      </c>
      <c r="O197" s="13">
        <v>0.36789645511561497</v>
      </c>
      <c r="P197" t="s">
        <v>93</v>
      </c>
    </row>
    <row r="198" spans="1:16" x14ac:dyDescent="0.6">
      <c r="A198" t="s">
        <v>491</v>
      </c>
      <c r="B198">
        <v>20</v>
      </c>
      <c r="C198" t="s">
        <v>9</v>
      </c>
      <c r="D198" t="s">
        <v>181</v>
      </c>
      <c r="E198">
        <v>1</v>
      </c>
      <c r="F198" t="s">
        <v>492</v>
      </c>
      <c r="G198">
        <v>8.7599004546532893</v>
      </c>
      <c r="H198">
        <v>7.0939811843130602</v>
      </c>
      <c r="I198">
        <v>0.54095334134578499</v>
      </c>
      <c r="J198">
        <v>7.1281889888302103</v>
      </c>
      <c r="K198">
        <v>5.5096119068286997</v>
      </c>
      <c r="L198">
        <v>0.40321809579413098</v>
      </c>
      <c r="M198">
        <v>0.27280504637108</v>
      </c>
      <c r="N198">
        <v>4.90338134765625</v>
      </c>
      <c r="O198">
        <v>0.35899666830147298</v>
      </c>
      <c r="P198" t="s">
        <v>90</v>
      </c>
    </row>
    <row r="199" spans="1:16" x14ac:dyDescent="0.6">
      <c r="A199" t="s">
        <v>493</v>
      </c>
      <c r="B199">
        <v>60</v>
      </c>
      <c r="C199" t="s">
        <v>99</v>
      </c>
      <c r="D199" t="s">
        <v>7</v>
      </c>
      <c r="E199">
        <v>1</v>
      </c>
      <c r="F199" t="s">
        <v>146</v>
      </c>
      <c r="G199">
        <v>8.5050179999999997</v>
      </c>
      <c r="H199">
        <v>6.8979920000000003</v>
      </c>
      <c r="I199">
        <v>0.53338200000000002</v>
      </c>
      <c r="J199">
        <v>7.4350009999999997</v>
      </c>
      <c r="K199">
        <v>5.7304399999999998</v>
      </c>
      <c r="L199">
        <v>0.41740500000000003</v>
      </c>
      <c r="M199">
        <v>0.29480000000000001</v>
      </c>
      <c r="N199">
        <v>4.920471</v>
      </c>
      <c r="O199">
        <v>0.36538900000000002</v>
      </c>
      <c r="P199" t="s">
        <v>135</v>
      </c>
    </row>
    <row r="200" spans="1:16" x14ac:dyDescent="0.6">
      <c r="A200" t="s">
        <v>494</v>
      </c>
      <c r="B200">
        <v>30</v>
      </c>
      <c r="C200" t="s">
        <v>9</v>
      </c>
      <c r="D200" t="s">
        <v>167</v>
      </c>
      <c r="E200">
        <v>1</v>
      </c>
      <c r="F200" t="s">
        <v>495</v>
      </c>
      <c r="G200">
        <v>9.0288617058515293</v>
      </c>
      <c r="H200">
        <v>7.2732422413998403</v>
      </c>
      <c r="I200">
        <v>0.55605312826123099</v>
      </c>
      <c r="J200">
        <v>7.5860740225330501</v>
      </c>
      <c r="K200">
        <v>5.9595176918992703</v>
      </c>
      <c r="L200">
        <v>0.434843067375556</v>
      </c>
      <c r="M200">
        <v>0.306127902829955</v>
      </c>
      <c r="N200">
        <v>4.92999267578125</v>
      </c>
      <c r="O200">
        <v>0.35561045297433203</v>
      </c>
      <c r="P200" t="s">
        <v>93</v>
      </c>
    </row>
    <row r="201" spans="1:16" x14ac:dyDescent="0.6">
      <c r="A201" t="s">
        <v>496</v>
      </c>
      <c r="B201">
        <v>60</v>
      </c>
      <c r="C201" t="s">
        <v>92</v>
      </c>
      <c r="D201" t="s">
        <v>88</v>
      </c>
      <c r="E201">
        <v>1</v>
      </c>
      <c r="F201" t="s">
        <v>140</v>
      </c>
      <c r="G201">
        <v>8.4562080000000002</v>
      </c>
      <c r="H201">
        <v>6.8272550000000001</v>
      </c>
      <c r="I201">
        <v>0.52789200000000003</v>
      </c>
      <c r="J201">
        <v>7.3331540000000004</v>
      </c>
      <c r="K201">
        <v>5.657025</v>
      </c>
      <c r="L201">
        <v>0.411939</v>
      </c>
      <c r="M201">
        <v>0.2863</v>
      </c>
      <c r="N201">
        <v>4.9416500000000001</v>
      </c>
      <c r="O201">
        <v>0.35875200000000002</v>
      </c>
      <c r="P201" t="s">
        <v>135</v>
      </c>
    </row>
    <row r="202" spans="1:16" x14ac:dyDescent="0.6">
      <c r="A202" t="s">
        <v>497</v>
      </c>
      <c r="B202">
        <v>60</v>
      </c>
      <c r="C202" t="s">
        <v>9</v>
      </c>
      <c r="D202" t="s">
        <v>181</v>
      </c>
      <c r="E202">
        <v>1</v>
      </c>
      <c r="F202" t="s">
        <v>498</v>
      </c>
      <c r="G202">
        <v>8.4275419344071594</v>
      </c>
      <c r="H202">
        <v>6.8962098006363703</v>
      </c>
      <c r="I202">
        <v>0.53325182268081095</v>
      </c>
      <c r="J202">
        <v>7.9026667244677</v>
      </c>
      <c r="K202">
        <v>6.26910192316228</v>
      </c>
      <c r="L202">
        <v>0.45541081717975301</v>
      </c>
      <c r="M202">
        <v>0.33001757237976403</v>
      </c>
      <c r="N202">
        <v>4.94244384765625</v>
      </c>
      <c r="O202">
        <v>0.35711145075657102</v>
      </c>
      <c r="P202" t="s">
        <v>135</v>
      </c>
    </row>
    <row r="203" spans="1:16" x14ac:dyDescent="0.6">
      <c r="A203" t="s">
        <v>499</v>
      </c>
      <c r="B203">
        <v>60</v>
      </c>
      <c r="C203" t="s">
        <v>99</v>
      </c>
      <c r="D203" t="s">
        <v>181</v>
      </c>
      <c r="E203">
        <v>1</v>
      </c>
      <c r="F203" t="s">
        <v>500</v>
      </c>
      <c r="G203">
        <v>8.4026799112959996</v>
      </c>
      <c r="H203">
        <v>6.7740459232539898</v>
      </c>
      <c r="I203">
        <v>0.52363805007484199</v>
      </c>
      <c r="J203">
        <v>7.26221736148542</v>
      </c>
      <c r="K203">
        <v>5.6549204046075996</v>
      </c>
      <c r="L203">
        <v>0.41162120498544202</v>
      </c>
      <c r="M203">
        <v>0.28053172886977101</v>
      </c>
      <c r="N203">
        <v>4.94586181640625</v>
      </c>
      <c r="O203">
        <v>0.36269718029901998</v>
      </c>
      <c r="P203" t="s">
        <v>135</v>
      </c>
    </row>
    <row r="204" spans="1:16" x14ac:dyDescent="0.6">
      <c r="A204" t="s">
        <v>501</v>
      </c>
      <c r="B204">
        <v>30</v>
      </c>
      <c r="C204" t="s">
        <v>9</v>
      </c>
      <c r="D204" t="s">
        <v>7</v>
      </c>
      <c r="E204">
        <v>1</v>
      </c>
      <c r="F204" t="s">
        <v>131</v>
      </c>
      <c r="G204" s="13">
        <v>8.8739930205350408</v>
      </c>
      <c r="H204" s="13">
        <v>7.1211096376205703</v>
      </c>
      <c r="I204" s="13">
        <v>0.54376340261262601</v>
      </c>
      <c r="J204" s="13">
        <v>7.2593668102643196</v>
      </c>
      <c r="K204" s="13">
        <v>5.6277566557948999</v>
      </c>
      <c r="L204" s="13">
        <v>0.41086201470158601</v>
      </c>
      <c r="M204">
        <v>0.281065693167936</v>
      </c>
      <c r="N204">
        <v>4.9595947265625</v>
      </c>
      <c r="O204" s="13">
        <v>0.35968189239605097</v>
      </c>
      <c r="P204" t="s">
        <v>93</v>
      </c>
    </row>
    <row r="205" spans="1:16" x14ac:dyDescent="0.6">
      <c r="A205" t="s">
        <v>502</v>
      </c>
      <c r="B205">
        <v>60</v>
      </c>
      <c r="C205" t="s">
        <v>99</v>
      </c>
      <c r="D205" t="s">
        <v>8</v>
      </c>
      <c r="E205">
        <v>1</v>
      </c>
      <c r="F205" t="s">
        <v>147</v>
      </c>
      <c r="G205">
        <v>8.3207690000000003</v>
      </c>
      <c r="H205">
        <v>6.7146280000000003</v>
      </c>
      <c r="I205">
        <v>0.51918600000000004</v>
      </c>
      <c r="J205">
        <v>7.4376990000000003</v>
      </c>
      <c r="K205">
        <v>5.6944710000000001</v>
      </c>
      <c r="L205">
        <v>0.41458800000000001</v>
      </c>
      <c r="M205">
        <v>0.29450000000000004</v>
      </c>
      <c r="N205">
        <v>4.959778</v>
      </c>
      <c r="O205">
        <v>0.34940700000000002</v>
      </c>
      <c r="P205" t="s">
        <v>135</v>
      </c>
    </row>
    <row r="206" spans="1:16" x14ac:dyDescent="0.6">
      <c r="A206" t="s">
        <v>503</v>
      </c>
      <c r="B206">
        <v>90</v>
      </c>
      <c r="C206" t="s">
        <v>9</v>
      </c>
      <c r="D206" t="s">
        <v>174</v>
      </c>
      <c r="E206">
        <v>1</v>
      </c>
      <c r="F206" t="s">
        <v>504</v>
      </c>
      <c r="G206">
        <v>6.9628105548455199</v>
      </c>
      <c r="H206">
        <v>5.5185713334516997</v>
      </c>
      <c r="I206">
        <v>0.43025861526637099</v>
      </c>
      <c r="J206">
        <v>7.69863226859691</v>
      </c>
      <c r="K206">
        <v>5.9821116826305598</v>
      </c>
      <c r="L206">
        <v>0.43451663128978602</v>
      </c>
      <c r="M206">
        <v>0.31373632310565203</v>
      </c>
      <c r="N206">
        <v>4.9730224609375</v>
      </c>
      <c r="O206">
        <v>0.35725420148611398</v>
      </c>
      <c r="P206" t="s">
        <v>114</v>
      </c>
    </row>
    <row r="207" spans="1:16" x14ac:dyDescent="0.6">
      <c r="A207" t="s">
        <v>505</v>
      </c>
      <c r="B207">
        <v>90</v>
      </c>
      <c r="C207" t="s">
        <v>99</v>
      </c>
      <c r="D207" t="s">
        <v>88</v>
      </c>
      <c r="E207">
        <v>1</v>
      </c>
      <c r="F207" t="s">
        <v>163</v>
      </c>
      <c r="G207">
        <v>6.8807119999999999</v>
      </c>
      <c r="H207">
        <v>5.5028059999999996</v>
      </c>
      <c r="I207">
        <v>0.42892799999999998</v>
      </c>
      <c r="J207">
        <v>8.0426500000000001</v>
      </c>
      <c r="K207">
        <v>6.2709910000000004</v>
      </c>
      <c r="L207">
        <v>0.454932</v>
      </c>
      <c r="M207">
        <v>0.34099999999999997</v>
      </c>
      <c r="N207">
        <v>4.9745480000000004</v>
      </c>
      <c r="O207">
        <v>0.35916199999999998</v>
      </c>
      <c r="P207" t="s">
        <v>114</v>
      </c>
    </row>
    <row r="208" spans="1:16" x14ac:dyDescent="0.6">
      <c r="A208" t="s">
        <v>378</v>
      </c>
      <c r="B208">
        <v>5</v>
      </c>
      <c r="C208" t="s">
        <v>6</v>
      </c>
      <c r="D208" t="s">
        <v>167</v>
      </c>
      <c r="E208">
        <v>1</v>
      </c>
      <c r="F208" t="s">
        <v>364</v>
      </c>
      <c r="G208">
        <v>8.7512522035991793</v>
      </c>
      <c r="H208">
        <v>7.0562089907802203</v>
      </c>
      <c r="I208">
        <v>0.538205367598666</v>
      </c>
      <c r="J208">
        <v>7.2259619110420896</v>
      </c>
      <c r="K208">
        <v>5.4821074514678001</v>
      </c>
      <c r="L208">
        <v>0.40222822587616602</v>
      </c>
      <c r="M208">
        <v>0.281985910975312</v>
      </c>
      <c r="N208">
        <v>4.63623046875</v>
      </c>
      <c r="O208">
        <v>0.342098112034457</v>
      </c>
      <c r="P208" t="s">
        <v>90</v>
      </c>
    </row>
    <row r="209" spans="1:16" x14ac:dyDescent="0.6">
      <c r="A209" t="s">
        <v>508</v>
      </c>
      <c r="B209">
        <v>30</v>
      </c>
      <c r="C209" t="s">
        <v>99</v>
      </c>
      <c r="D209" t="s">
        <v>8</v>
      </c>
      <c r="E209">
        <v>1</v>
      </c>
      <c r="F209" t="s">
        <v>123</v>
      </c>
      <c r="G209">
        <v>8.9601459999999999</v>
      </c>
      <c r="H209">
        <v>7.140936</v>
      </c>
      <c r="I209">
        <v>0.545902</v>
      </c>
      <c r="J209">
        <v>7.1938149999999998</v>
      </c>
      <c r="K209">
        <v>5.5053179999999999</v>
      </c>
      <c r="L209">
        <v>0.40247699999999997</v>
      </c>
      <c r="M209">
        <v>0.27739999999999998</v>
      </c>
      <c r="N209">
        <v>5.0181269999999998</v>
      </c>
      <c r="O209">
        <v>0.36741200000000002</v>
      </c>
      <c r="P209" t="s">
        <v>93</v>
      </c>
    </row>
    <row r="210" spans="1:16" x14ac:dyDescent="0.6">
      <c r="A210" t="s">
        <v>509</v>
      </c>
      <c r="B210">
        <v>10</v>
      </c>
      <c r="C210" t="s">
        <v>9</v>
      </c>
      <c r="D210" t="s">
        <v>177</v>
      </c>
      <c r="E210">
        <v>1</v>
      </c>
      <c r="F210" t="s">
        <v>510</v>
      </c>
      <c r="G210">
        <v>8.8173881404505892</v>
      </c>
      <c r="H210">
        <v>7.0042532666236497</v>
      </c>
      <c r="I210">
        <v>0.53413118367795098</v>
      </c>
      <c r="J210">
        <v>7.90428773126101</v>
      </c>
      <c r="K210">
        <v>6.1869263775580698</v>
      </c>
      <c r="L210">
        <v>0.45222766404382803</v>
      </c>
      <c r="M210">
        <v>0.33355741985811804</v>
      </c>
      <c r="N210">
        <v>5.03265380859375</v>
      </c>
      <c r="O210">
        <v>0.37123944864299402</v>
      </c>
      <c r="P210" t="s">
        <v>90</v>
      </c>
    </row>
    <row r="211" spans="1:16" x14ac:dyDescent="0.6">
      <c r="A211" t="s">
        <v>511</v>
      </c>
      <c r="B211">
        <v>60</v>
      </c>
      <c r="C211" t="s">
        <v>6</v>
      </c>
      <c r="D211" t="s">
        <v>184</v>
      </c>
      <c r="E211">
        <v>1</v>
      </c>
      <c r="F211" t="s">
        <v>512</v>
      </c>
      <c r="G211">
        <v>8.5795763157925808</v>
      </c>
      <c r="H211">
        <v>6.9870960948231398</v>
      </c>
      <c r="I211">
        <v>0.54004097813003504</v>
      </c>
      <c r="J211">
        <v>7.4011120402700499</v>
      </c>
      <c r="K211">
        <v>5.6897693980823796</v>
      </c>
      <c r="L211">
        <v>0.41433295624949801</v>
      </c>
      <c r="M211">
        <v>0.29177870784014698</v>
      </c>
      <c r="N211">
        <v>5.03582763671875</v>
      </c>
      <c r="O211">
        <v>0.36658699078364498</v>
      </c>
      <c r="P211" t="s">
        <v>135</v>
      </c>
    </row>
    <row r="212" spans="1:16" x14ac:dyDescent="0.6">
      <c r="A212" t="s">
        <v>513</v>
      </c>
      <c r="B212">
        <v>60</v>
      </c>
      <c r="C212" t="s">
        <v>9</v>
      </c>
      <c r="D212" t="s">
        <v>7</v>
      </c>
      <c r="E212">
        <v>1</v>
      </c>
      <c r="F212" t="s">
        <v>151</v>
      </c>
      <c r="G212" s="13">
        <v>8.4122978795674204</v>
      </c>
      <c r="H212" s="13">
        <v>6.7384807880108104</v>
      </c>
      <c r="I212" s="13">
        <v>0.52093204641101198</v>
      </c>
      <c r="J212" s="13">
        <v>7.4964709123166404</v>
      </c>
      <c r="K212" s="13">
        <v>5.80583121559836</v>
      </c>
      <c r="L212" s="13">
        <v>0.42238218251780701</v>
      </c>
      <c r="M212">
        <v>0.29857578610777497</v>
      </c>
      <c r="N212">
        <v>5.040283203125</v>
      </c>
      <c r="O212" s="13">
        <v>0.36676610353741701</v>
      </c>
      <c r="P212" t="s">
        <v>135</v>
      </c>
    </row>
    <row r="213" spans="1:16" x14ac:dyDescent="0.6">
      <c r="A213" t="s">
        <v>515</v>
      </c>
      <c r="B213">
        <v>20</v>
      </c>
      <c r="C213" t="s">
        <v>99</v>
      </c>
      <c r="D213" t="s">
        <v>181</v>
      </c>
      <c r="E213">
        <v>1</v>
      </c>
      <c r="F213" t="s">
        <v>516</v>
      </c>
      <c r="G213">
        <v>8.6663720940151201</v>
      </c>
      <c r="H213">
        <v>6.9919034562757201</v>
      </c>
      <c r="I213">
        <v>0.53359337471985602</v>
      </c>
      <c r="J213">
        <v>7.7886830169821701</v>
      </c>
      <c r="K213">
        <v>6.1441819932725696</v>
      </c>
      <c r="L213">
        <v>0.44815480141739</v>
      </c>
      <c r="M213">
        <v>0.32140821459116997</v>
      </c>
      <c r="N213">
        <v>5.101318359375</v>
      </c>
      <c r="O213">
        <v>0.37490279869072701</v>
      </c>
      <c r="P213" t="s">
        <v>90</v>
      </c>
    </row>
    <row r="214" spans="1:16" x14ac:dyDescent="0.6">
      <c r="A214" t="s">
        <v>517</v>
      </c>
      <c r="B214">
        <v>30</v>
      </c>
      <c r="C214" t="s">
        <v>99</v>
      </c>
      <c r="D214" t="s">
        <v>171</v>
      </c>
      <c r="E214">
        <v>1</v>
      </c>
      <c r="F214" t="s">
        <v>518</v>
      </c>
      <c r="G214">
        <v>8.9479494476045804</v>
      </c>
      <c r="H214">
        <v>7.2351347311290999</v>
      </c>
      <c r="I214">
        <v>0.55292169301476102</v>
      </c>
      <c r="J214">
        <v>7.3695552686568204</v>
      </c>
      <c r="K214">
        <v>5.7950273532311796</v>
      </c>
      <c r="L214">
        <v>0.42326796982553799</v>
      </c>
      <c r="M214">
        <v>0.28993969433729</v>
      </c>
      <c r="N214">
        <v>5.1556396484375</v>
      </c>
      <c r="O214">
        <v>0.37674241214093401</v>
      </c>
      <c r="P214" t="s">
        <v>93</v>
      </c>
    </row>
    <row r="215" spans="1:16" x14ac:dyDescent="0.6">
      <c r="A215" t="s">
        <v>401</v>
      </c>
      <c r="B215">
        <v>5</v>
      </c>
      <c r="C215" t="s">
        <v>6</v>
      </c>
      <c r="D215" t="s">
        <v>181</v>
      </c>
      <c r="E215">
        <v>1</v>
      </c>
      <c r="F215" t="s">
        <v>402</v>
      </c>
      <c r="G215">
        <v>8.7493274051996206</v>
      </c>
      <c r="H215">
        <v>7.0805945631056604</v>
      </c>
      <c r="I215">
        <v>0.54009704991291396</v>
      </c>
      <c r="J215">
        <v>7.1820808355408703</v>
      </c>
      <c r="K215">
        <v>5.4664576146509702</v>
      </c>
      <c r="L215">
        <v>0.40104206090554601</v>
      </c>
      <c r="M215">
        <v>0.27845229147290501</v>
      </c>
      <c r="N215">
        <v>4.6578369140625</v>
      </c>
      <c r="O215">
        <v>0.34462971253671298</v>
      </c>
      <c r="P215" t="s">
        <v>90</v>
      </c>
    </row>
    <row r="216" spans="1:16" x14ac:dyDescent="0.6">
      <c r="A216" t="s">
        <v>521</v>
      </c>
      <c r="B216">
        <v>20</v>
      </c>
      <c r="C216" t="s">
        <v>9</v>
      </c>
      <c r="D216" t="s">
        <v>174</v>
      </c>
      <c r="E216">
        <v>1</v>
      </c>
      <c r="F216" t="s">
        <v>522</v>
      </c>
      <c r="G216">
        <v>8.6495261083544808</v>
      </c>
      <c r="H216">
        <v>6.97481234421205</v>
      </c>
      <c r="I216">
        <v>0.53231305028138598</v>
      </c>
      <c r="J216">
        <v>8.5861351734384694</v>
      </c>
      <c r="K216">
        <v>6.9375333432798003</v>
      </c>
      <c r="L216">
        <v>0.505550684847207</v>
      </c>
      <c r="M216">
        <v>0.38921599682209401</v>
      </c>
      <c r="N216">
        <v>6.66937255859375</v>
      </c>
      <c r="O216">
        <v>0.48618920957419698</v>
      </c>
      <c r="P216" t="s">
        <v>90</v>
      </c>
    </row>
    <row r="217" spans="1:16" x14ac:dyDescent="0.6">
      <c r="A217" t="s">
        <v>523</v>
      </c>
      <c r="B217">
        <v>20</v>
      </c>
      <c r="C217" t="s">
        <v>9</v>
      </c>
      <c r="D217" t="s">
        <v>88</v>
      </c>
      <c r="E217">
        <v>1</v>
      </c>
      <c r="F217" t="s">
        <v>164</v>
      </c>
      <c r="G217" s="13">
        <v>8.6495056021726295</v>
      </c>
      <c r="H217" s="13">
        <v>6.9748476033320497</v>
      </c>
      <c r="I217" s="13">
        <v>0.53231565016327698</v>
      </c>
      <c r="J217" s="13">
        <v>8.5862845011260003</v>
      </c>
      <c r="K217" s="13">
        <v>6.9376265914351798</v>
      </c>
      <c r="L217" s="13">
        <v>0.50555735523604595</v>
      </c>
      <c r="M217">
        <v>0.38922951899318703</v>
      </c>
      <c r="N217">
        <v>6.6702880859375</v>
      </c>
      <c r="O217" s="13">
        <v>0.48616309933490998</v>
      </c>
      <c r="P217" t="s">
        <v>90</v>
      </c>
    </row>
  </sheetData>
  <autoFilter ref="A1:P217" xr:uid="{DDE3DF55-BC70-4A0A-9CA9-2BA0BB9862A4}"/>
  <sortState xmlns:xlrd2="http://schemas.microsoft.com/office/spreadsheetml/2017/richdata2" ref="D2:P88">
    <sortCondition descending="1" ref="D2:D88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3A16-C463-4530-B652-221EE5F573A9}">
  <dimension ref="A1:Q193"/>
  <sheetViews>
    <sheetView topLeftCell="B1" workbookViewId="0">
      <selection activeCell="E2" sqref="E2"/>
    </sheetView>
  </sheetViews>
  <sheetFormatPr defaultRowHeight="16.899999999999999" x14ac:dyDescent="0.6"/>
  <cols>
    <col min="1" max="1" width="58.375" bestFit="1" customWidth="1"/>
    <col min="2" max="2" width="11" bestFit="1" customWidth="1"/>
    <col min="3" max="3" width="10.5625" bestFit="1" customWidth="1"/>
    <col min="4" max="4" width="34.3125" bestFit="1" customWidth="1"/>
    <col min="5" max="5" width="35.8125" customWidth="1"/>
    <col min="6" max="6" width="6.8125" hidden="1" customWidth="1"/>
    <col min="7" max="7" width="84.5625" hidden="1" customWidth="1"/>
    <col min="8" max="8" width="15" hidden="1" customWidth="1"/>
    <col min="9" max="9" width="14" hidden="1" customWidth="1"/>
    <col min="10" max="10" width="15.125" hidden="1" customWidth="1"/>
    <col min="11" max="12" width="13.3125" customWidth="1"/>
    <col min="13" max="13" width="12.3125" customWidth="1"/>
    <col min="14" max="14" width="13.5" customWidth="1"/>
    <col min="15" max="15" width="14.5625" bestFit="1" customWidth="1"/>
    <col min="16" max="16" width="15.75" bestFit="1" customWidth="1"/>
    <col min="17" max="17" width="81.5625" bestFit="1" customWidth="1"/>
  </cols>
  <sheetData>
    <row r="1" spans="1:17" x14ac:dyDescent="0.6">
      <c r="A1" t="s">
        <v>165</v>
      </c>
      <c r="B1" t="s">
        <v>524</v>
      </c>
      <c r="C1" t="s">
        <v>12</v>
      </c>
      <c r="D1" t="s">
        <v>23</v>
      </c>
      <c r="E1" t="s">
        <v>527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84</v>
      </c>
      <c r="M1" t="s">
        <v>82</v>
      </c>
      <c r="N1" t="s">
        <v>83</v>
      </c>
      <c r="O1" t="s">
        <v>85</v>
      </c>
      <c r="P1" t="s">
        <v>86</v>
      </c>
      <c r="Q1" t="s">
        <v>87</v>
      </c>
    </row>
    <row r="2" spans="1:17" x14ac:dyDescent="0.6">
      <c r="A2" t="s">
        <v>166</v>
      </c>
      <c r="B2">
        <v>30</v>
      </c>
      <c r="C2" t="s">
        <v>99</v>
      </c>
      <c r="D2" t="s">
        <v>167</v>
      </c>
      <c r="E2" t="str">
        <f>"6."&amp;D2</f>
        <v>6.Macro + Event + Sentiment (Direct)</v>
      </c>
      <c r="F2">
        <v>1</v>
      </c>
      <c r="G2" t="s">
        <v>168</v>
      </c>
      <c r="H2">
        <v>8.8887060302505407</v>
      </c>
      <c r="I2">
        <v>7.1435608731487097</v>
      </c>
      <c r="J2">
        <v>0.54573747711099696</v>
      </c>
      <c r="K2">
        <v>7.04562420401286</v>
      </c>
      <c r="L2">
        <v>0.26660521487424998</v>
      </c>
      <c r="M2">
        <v>5.3802638377958099</v>
      </c>
      <c r="N2">
        <v>0.39367135259531599</v>
      </c>
      <c r="O2">
        <v>4.06304931640625</v>
      </c>
      <c r="P2">
        <v>0.29501393343237797</v>
      </c>
      <c r="Q2" t="s">
        <v>93</v>
      </c>
    </row>
    <row r="3" spans="1:17" x14ac:dyDescent="0.6">
      <c r="A3" t="s">
        <v>170</v>
      </c>
      <c r="B3">
        <v>30</v>
      </c>
      <c r="C3" t="s">
        <v>6</v>
      </c>
      <c r="D3" t="s">
        <v>171</v>
      </c>
      <c r="E3" t="str">
        <f>"4."&amp;D3</f>
        <v>4.Macro + Sentiment (Indirect)</v>
      </c>
      <c r="F3">
        <v>1</v>
      </c>
      <c r="G3" t="s">
        <v>172</v>
      </c>
      <c r="H3">
        <v>8.9077577555965899</v>
      </c>
      <c r="I3">
        <v>7.1829900974180596</v>
      </c>
      <c r="J3">
        <v>0.54882396242190701</v>
      </c>
      <c r="K3">
        <v>7.31181621001579</v>
      </c>
      <c r="L3">
        <v>0.28836570171804504</v>
      </c>
      <c r="M3">
        <v>5.5585795282160104</v>
      </c>
      <c r="N3">
        <v>0.40722401236324002</v>
      </c>
      <c r="O3">
        <v>4.23223876953125</v>
      </c>
      <c r="P3">
        <v>0.31374622886001402</v>
      </c>
      <c r="Q3" t="s">
        <v>93</v>
      </c>
    </row>
    <row r="4" spans="1:17" x14ac:dyDescent="0.6">
      <c r="A4" t="s">
        <v>173</v>
      </c>
      <c r="B4">
        <v>20</v>
      </c>
      <c r="C4" t="s">
        <v>92</v>
      </c>
      <c r="D4" t="s">
        <v>174</v>
      </c>
      <c r="E4" t="str">
        <f>"5."&amp;D4</f>
        <v>5.Macro + Sentiment (Both)</v>
      </c>
      <c r="F4">
        <v>1</v>
      </c>
      <c r="G4" t="s">
        <v>175</v>
      </c>
      <c r="H4">
        <v>8.6993705423883796</v>
      </c>
      <c r="I4">
        <v>6.9774592953264802</v>
      </c>
      <c r="J4">
        <v>0.53243475144414898</v>
      </c>
      <c r="K4">
        <v>6.9285879278242097</v>
      </c>
      <c r="L4">
        <v>0.25792474914487701</v>
      </c>
      <c r="M4">
        <v>5.3191567880135997</v>
      </c>
      <c r="N4">
        <v>0.38953560993286401</v>
      </c>
      <c r="O4">
        <v>4.25201416015625</v>
      </c>
      <c r="P4">
        <v>0.30999250690810998</v>
      </c>
      <c r="Q4" t="s">
        <v>90</v>
      </c>
    </row>
    <row r="5" spans="1:17" x14ac:dyDescent="0.6">
      <c r="A5" t="s">
        <v>176</v>
      </c>
      <c r="B5">
        <v>5</v>
      </c>
      <c r="C5" t="s">
        <v>9</v>
      </c>
      <c r="D5" t="s">
        <v>177</v>
      </c>
      <c r="E5" t="str">
        <f>"8."&amp;D5</f>
        <v>8.Macro + Event + Sentiment (Both)</v>
      </c>
      <c r="F5">
        <v>1</v>
      </c>
      <c r="G5" t="s">
        <v>178</v>
      </c>
      <c r="H5">
        <v>8.7954485201332098</v>
      </c>
      <c r="I5">
        <v>7.0340671528568199</v>
      </c>
      <c r="J5">
        <v>0.53653239287976995</v>
      </c>
      <c r="K5">
        <v>7.1823392070672698</v>
      </c>
      <c r="L5">
        <v>0.279066380249964</v>
      </c>
      <c r="M5">
        <v>5.4315624154491298</v>
      </c>
      <c r="N5">
        <v>0.39875422311042202</v>
      </c>
      <c r="O5">
        <v>4.271484375</v>
      </c>
      <c r="P5">
        <v>0.31387967396660199</v>
      </c>
      <c r="Q5" t="s">
        <v>90</v>
      </c>
    </row>
    <row r="6" spans="1:17" x14ac:dyDescent="0.6">
      <c r="A6" t="s">
        <v>179</v>
      </c>
      <c r="B6">
        <v>90</v>
      </c>
      <c r="C6" t="s">
        <v>6</v>
      </c>
      <c r="D6" t="s">
        <v>8</v>
      </c>
      <c r="E6" t="str">
        <f>"2."&amp;D6</f>
        <v>2.Macro + Event</v>
      </c>
      <c r="F6">
        <v>1</v>
      </c>
      <c r="G6" t="s">
        <v>130</v>
      </c>
      <c r="H6" s="13">
        <v>7.1958020834312499</v>
      </c>
      <c r="I6" s="13">
        <v>5.6418420040246202</v>
      </c>
      <c r="J6" s="13">
        <v>0.43988792502686003</v>
      </c>
      <c r="K6" s="13">
        <v>7.2547915348356202</v>
      </c>
      <c r="L6">
        <v>0.28035698350448901</v>
      </c>
      <c r="M6" s="13">
        <v>5.5410415440389498</v>
      </c>
      <c r="N6" s="13">
        <v>0.40317481381355702</v>
      </c>
      <c r="O6">
        <v>4.28924560546875</v>
      </c>
      <c r="P6" s="13">
        <v>0.31656264755650998</v>
      </c>
      <c r="Q6" t="s">
        <v>114</v>
      </c>
    </row>
    <row r="7" spans="1:17" x14ac:dyDescent="0.6">
      <c r="A7" t="s">
        <v>180</v>
      </c>
      <c r="B7">
        <v>20</v>
      </c>
      <c r="C7" t="s">
        <v>6</v>
      </c>
      <c r="D7" t="s">
        <v>181</v>
      </c>
      <c r="E7" t="str">
        <f>"3."&amp;D7</f>
        <v>3.Macro + Sentiment (Direct)</v>
      </c>
      <c r="F7">
        <v>1</v>
      </c>
      <c r="G7" t="s">
        <v>182</v>
      </c>
      <c r="H7">
        <v>8.6919481031903398</v>
      </c>
      <c r="I7">
        <v>6.9749787469654096</v>
      </c>
      <c r="J7">
        <v>0.53229183688583204</v>
      </c>
      <c r="K7">
        <v>6.9435927074542096</v>
      </c>
      <c r="L7">
        <v>0.259175430080338</v>
      </c>
      <c r="M7">
        <v>5.3097110324435697</v>
      </c>
      <c r="N7">
        <v>0.388974237218702</v>
      </c>
      <c r="O7">
        <v>4.29132080078125</v>
      </c>
      <c r="P7">
        <v>0.31725101469900602</v>
      </c>
      <c r="Q7" t="s">
        <v>90</v>
      </c>
    </row>
    <row r="8" spans="1:17" x14ac:dyDescent="0.6">
      <c r="A8" t="s">
        <v>183</v>
      </c>
      <c r="B8">
        <v>20</v>
      </c>
      <c r="C8" t="s">
        <v>9</v>
      </c>
      <c r="D8" t="s">
        <v>184</v>
      </c>
      <c r="E8" t="str">
        <f>"7."&amp;D8</f>
        <v>7.Macro + Event + Sentiment (Indirect)</v>
      </c>
      <c r="F8">
        <v>1</v>
      </c>
      <c r="G8" t="s">
        <v>185</v>
      </c>
      <c r="H8">
        <v>8.7967645429101999</v>
      </c>
      <c r="I8">
        <v>6.9863437350143798</v>
      </c>
      <c r="J8">
        <v>0.53331587639113998</v>
      </c>
      <c r="K8">
        <v>7.0997707377708101</v>
      </c>
      <c r="L8">
        <v>0.27024348260411502</v>
      </c>
      <c r="M8">
        <v>5.4280830665870896</v>
      </c>
      <c r="N8">
        <v>0.39721298316679299</v>
      </c>
      <c r="O8">
        <v>4.31646728515625</v>
      </c>
      <c r="P8">
        <v>0.31541016535418598</v>
      </c>
      <c r="Q8" t="s">
        <v>90</v>
      </c>
    </row>
    <row r="9" spans="1:17" x14ac:dyDescent="0.6">
      <c r="A9" t="s">
        <v>186</v>
      </c>
      <c r="B9">
        <v>20</v>
      </c>
      <c r="C9" t="s">
        <v>92</v>
      </c>
      <c r="D9" t="s">
        <v>8</v>
      </c>
      <c r="E9" t="str">
        <f>"2."&amp;D9</f>
        <v>2.Macro + Event</v>
      </c>
      <c r="F9">
        <v>1</v>
      </c>
      <c r="G9" t="s">
        <v>95</v>
      </c>
      <c r="H9">
        <v>8.6638490000000008</v>
      </c>
      <c r="I9">
        <v>6.9750420000000002</v>
      </c>
      <c r="J9">
        <v>0.53221399999999996</v>
      </c>
      <c r="K9">
        <v>6.9888719999999998</v>
      </c>
      <c r="L9">
        <v>0.26180000000000003</v>
      </c>
      <c r="M9">
        <v>5.4186059999999996</v>
      </c>
      <c r="N9">
        <v>0.39645900000000001</v>
      </c>
      <c r="O9">
        <v>4.3173830000000004</v>
      </c>
      <c r="P9">
        <v>0.32121499999999997</v>
      </c>
      <c r="Q9" t="s">
        <v>90</v>
      </c>
    </row>
    <row r="10" spans="1:17" x14ac:dyDescent="0.6">
      <c r="A10" t="s">
        <v>187</v>
      </c>
      <c r="B10">
        <v>90</v>
      </c>
      <c r="C10" t="s">
        <v>6</v>
      </c>
      <c r="D10" t="s">
        <v>177</v>
      </c>
      <c r="E10" t="str">
        <f>"8."&amp;D10</f>
        <v>8.Macro + Event + Sentiment (Both)</v>
      </c>
      <c r="F10">
        <v>1</v>
      </c>
      <c r="G10" t="s">
        <v>188</v>
      </c>
      <c r="H10">
        <v>6.9105950210049798</v>
      </c>
      <c r="I10">
        <v>5.4315999348958304</v>
      </c>
      <c r="J10">
        <v>0.42392873153274102</v>
      </c>
      <c r="K10">
        <v>7.3706308774525597</v>
      </c>
      <c r="L10">
        <v>0.28937258874844596</v>
      </c>
      <c r="M10">
        <v>5.6304655728274797</v>
      </c>
      <c r="N10">
        <v>0.40968825201776299</v>
      </c>
      <c r="O10">
        <v>4.3602294921875</v>
      </c>
      <c r="P10">
        <v>0.32195832956184001</v>
      </c>
      <c r="Q10" t="s">
        <v>114</v>
      </c>
    </row>
    <row r="11" spans="1:17" x14ac:dyDescent="0.6">
      <c r="A11" t="s">
        <v>189</v>
      </c>
      <c r="B11">
        <v>5</v>
      </c>
      <c r="C11" t="s">
        <v>99</v>
      </c>
      <c r="D11" t="s">
        <v>8</v>
      </c>
      <c r="E11" t="str">
        <f>"2."&amp;D11</f>
        <v>2.Macro + Event</v>
      </c>
      <c r="F11">
        <v>1</v>
      </c>
      <c r="G11" t="s">
        <v>125</v>
      </c>
      <c r="H11">
        <v>8.7029510000000005</v>
      </c>
      <c r="I11">
        <v>6.9362820000000003</v>
      </c>
      <c r="J11">
        <v>0.52915000000000001</v>
      </c>
      <c r="K11">
        <v>7.2173910000000001</v>
      </c>
      <c r="L11">
        <v>0.28079999999999999</v>
      </c>
      <c r="M11">
        <v>5.4710340000000004</v>
      </c>
      <c r="N11">
        <v>0.40113599999999999</v>
      </c>
      <c r="O11">
        <v>4.3646240000000001</v>
      </c>
      <c r="P11">
        <v>0.32753700000000002</v>
      </c>
      <c r="Q11" t="s">
        <v>90</v>
      </c>
    </row>
    <row r="12" spans="1:17" x14ac:dyDescent="0.6">
      <c r="A12" t="s">
        <v>190</v>
      </c>
      <c r="B12">
        <v>90</v>
      </c>
      <c r="C12" t="s">
        <v>9</v>
      </c>
      <c r="D12" t="s">
        <v>8</v>
      </c>
      <c r="E12" t="str">
        <f>"2."&amp;D12</f>
        <v>2.Macro + Event</v>
      </c>
      <c r="F12">
        <v>1</v>
      </c>
      <c r="G12" t="s">
        <v>139</v>
      </c>
      <c r="H12" s="13">
        <v>6.96366010782336</v>
      </c>
      <c r="I12" s="13">
        <v>5.5858117305871202</v>
      </c>
      <c r="J12" s="13">
        <v>0.436744165825657</v>
      </c>
      <c r="K12" s="13">
        <v>7.3328223195886002</v>
      </c>
      <c r="L12">
        <v>0.28613758622900298</v>
      </c>
      <c r="M12" s="13">
        <v>5.6326327389233697</v>
      </c>
      <c r="N12" s="13">
        <v>0.40964829381471402</v>
      </c>
      <c r="O12">
        <v>4.36944580078125</v>
      </c>
      <c r="P12" s="13">
        <v>0.31713756380722002</v>
      </c>
      <c r="Q12" t="s">
        <v>114</v>
      </c>
    </row>
    <row r="13" spans="1:17" x14ac:dyDescent="0.6">
      <c r="A13" t="s">
        <v>191</v>
      </c>
      <c r="B13">
        <v>10</v>
      </c>
      <c r="C13" t="s">
        <v>6</v>
      </c>
      <c r="D13" t="s">
        <v>177</v>
      </c>
      <c r="E13" t="str">
        <f>"8."&amp;D13</f>
        <v>8.Macro + Event + Sentiment (Both)</v>
      </c>
      <c r="F13">
        <v>1</v>
      </c>
      <c r="G13" t="s">
        <v>192</v>
      </c>
      <c r="H13">
        <v>8.7163307150693594</v>
      </c>
      <c r="I13">
        <v>6.9551772495919897</v>
      </c>
      <c r="J13">
        <v>0.530428879387005</v>
      </c>
      <c r="K13">
        <v>7.1317229132935198</v>
      </c>
      <c r="L13">
        <v>0.27480635247247498</v>
      </c>
      <c r="M13">
        <v>5.4402314582757096</v>
      </c>
      <c r="N13">
        <v>0.399151392242516</v>
      </c>
      <c r="O13">
        <v>4.38189697265625</v>
      </c>
      <c r="P13">
        <v>0.320802489526541</v>
      </c>
      <c r="Q13" t="s">
        <v>90</v>
      </c>
    </row>
    <row r="14" spans="1:17" x14ac:dyDescent="0.6">
      <c r="A14" t="s">
        <v>193</v>
      </c>
      <c r="B14">
        <v>20</v>
      </c>
      <c r="C14" t="s">
        <v>6</v>
      </c>
      <c r="D14" t="s">
        <v>7</v>
      </c>
      <c r="E14" t="str">
        <f>"1."&amp;D14</f>
        <v>1.Macro Only</v>
      </c>
      <c r="F14">
        <v>1</v>
      </c>
      <c r="G14" t="s">
        <v>91</v>
      </c>
      <c r="H14">
        <v>8.7130313918846696</v>
      </c>
      <c r="I14" s="13">
        <v>6.9552887626316204</v>
      </c>
      <c r="J14" s="13">
        <v>0.53077105769889898</v>
      </c>
      <c r="K14" s="13">
        <v>6.9281274884322803</v>
      </c>
      <c r="L14">
        <v>0.25781232054696102</v>
      </c>
      <c r="M14" s="13">
        <v>5.3343183729383599</v>
      </c>
      <c r="N14" s="13">
        <v>0.390580985948002</v>
      </c>
      <c r="O14">
        <v>4.38385009765625</v>
      </c>
      <c r="P14">
        <v>0.31687311333132101</v>
      </c>
      <c r="Q14" t="s">
        <v>90</v>
      </c>
    </row>
    <row r="15" spans="1:17" x14ac:dyDescent="0.6">
      <c r="A15" t="s">
        <v>194</v>
      </c>
      <c r="B15">
        <v>60</v>
      </c>
      <c r="C15" t="s">
        <v>9</v>
      </c>
      <c r="D15" t="s">
        <v>184</v>
      </c>
      <c r="E15" t="str">
        <f>"7."&amp;D15</f>
        <v>7.Macro + Event + Sentiment (Indirect)</v>
      </c>
      <c r="F15">
        <v>1</v>
      </c>
      <c r="G15" t="s">
        <v>195</v>
      </c>
      <c r="H15">
        <v>8.4774442974748201</v>
      </c>
      <c r="I15">
        <v>6.7612931806962502</v>
      </c>
      <c r="J15">
        <v>0.52289222824330195</v>
      </c>
      <c r="K15">
        <v>7.5078361106533196</v>
      </c>
      <c r="L15">
        <v>0.30042021607433</v>
      </c>
      <c r="M15">
        <v>5.7300026633522698</v>
      </c>
      <c r="N15">
        <v>0.41750456334581398</v>
      </c>
      <c r="O15">
        <v>4.38726806640625</v>
      </c>
      <c r="P15">
        <v>0.31816177918743699</v>
      </c>
      <c r="Q15" t="s">
        <v>135</v>
      </c>
    </row>
    <row r="16" spans="1:17" x14ac:dyDescent="0.6">
      <c r="A16" t="s">
        <v>196</v>
      </c>
      <c r="B16">
        <v>30</v>
      </c>
      <c r="C16" t="s">
        <v>92</v>
      </c>
      <c r="D16" t="s">
        <v>177</v>
      </c>
      <c r="E16" t="str">
        <f>"8."&amp;D16</f>
        <v>8.Macro + Event + Sentiment (Both)</v>
      </c>
      <c r="F16">
        <v>1</v>
      </c>
      <c r="G16" t="s">
        <v>197</v>
      </c>
      <c r="H16">
        <v>8.8781353372892404</v>
      </c>
      <c r="I16">
        <v>7.1046166448055699</v>
      </c>
      <c r="J16">
        <v>0.54276926811327897</v>
      </c>
      <c r="K16">
        <v>7.4298276872247104</v>
      </c>
      <c r="L16">
        <v>0.29682844096282301</v>
      </c>
      <c r="M16">
        <v>5.6015613148513301</v>
      </c>
      <c r="N16">
        <v>0.41004964274956102</v>
      </c>
      <c r="O16">
        <v>4.3900146484375</v>
      </c>
      <c r="P16">
        <v>0.324335943906358</v>
      </c>
      <c r="Q16" t="s">
        <v>93</v>
      </c>
    </row>
    <row r="17" spans="1:17" x14ac:dyDescent="0.6">
      <c r="A17" t="s">
        <v>198</v>
      </c>
      <c r="B17">
        <v>5</v>
      </c>
      <c r="C17" t="s">
        <v>99</v>
      </c>
      <c r="D17" t="s">
        <v>167</v>
      </c>
      <c r="E17" t="str">
        <f>"6."&amp;D17</f>
        <v>6.Macro + Event + Sentiment (Direct)</v>
      </c>
      <c r="F17">
        <v>1</v>
      </c>
      <c r="G17" t="s">
        <v>199</v>
      </c>
      <c r="H17">
        <v>8.7247911563475409</v>
      </c>
      <c r="I17">
        <v>6.9525431970287599</v>
      </c>
      <c r="J17">
        <v>0.53056051307756702</v>
      </c>
      <c r="K17">
        <v>7.1365300338064896</v>
      </c>
      <c r="L17">
        <v>0.27521844113273503</v>
      </c>
      <c r="M17">
        <v>5.4294058399283003</v>
      </c>
      <c r="N17">
        <v>0.398458369097</v>
      </c>
      <c r="O17">
        <v>4.3968505859375</v>
      </c>
      <c r="P17">
        <v>0.321973645147895</v>
      </c>
      <c r="Q17" t="s">
        <v>90</v>
      </c>
    </row>
    <row r="18" spans="1:17" x14ac:dyDescent="0.6">
      <c r="A18" t="s">
        <v>201</v>
      </c>
      <c r="B18">
        <v>60</v>
      </c>
      <c r="C18" t="s">
        <v>9</v>
      </c>
      <c r="D18" t="s">
        <v>167</v>
      </c>
      <c r="E18" t="str">
        <f>"6."&amp;D18</f>
        <v>6.Macro + Event + Sentiment (Direct)</v>
      </c>
      <c r="F18">
        <v>1</v>
      </c>
      <c r="G18" t="s">
        <v>202</v>
      </c>
      <c r="H18">
        <v>8.6561489691669493</v>
      </c>
      <c r="I18">
        <v>6.9674649919782299</v>
      </c>
      <c r="J18">
        <v>0.53894274840005196</v>
      </c>
      <c r="K18">
        <v>7.4323322313487399</v>
      </c>
      <c r="L18">
        <v>0.295457442909631</v>
      </c>
      <c r="M18">
        <v>5.6471321799538297</v>
      </c>
      <c r="N18">
        <v>0.41171675758454002</v>
      </c>
      <c r="O18">
        <v>4.39886474609375</v>
      </c>
      <c r="P18">
        <v>0.310713147748022</v>
      </c>
      <c r="Q18" t="s">
        <v>135</v>
      </c>
    </row>
    <row r="19" spans="1:17" x14ac:dyDescent="0.6">
      <c r="A19" t="s">
        <v>203</v>
      </c>
      <c r="B19">
        <v>5</v>
      </c>
      <c r="C19" t="s">
        <v>6</v>
      </c>
      <c r="D19" t="s">
        <v>177</v>
      </c>
      <c r="E19" t="str">
        <f>"8."&amp;D19</f>
        <v>8.Macro + Event + Sentiment (Both)</v>
      </c>
      <c r="F19">
        <v>1</v>
      </c>
      <c r="G19" t="s">
        <v>204</v>
      </c>
      <c r="H19">
        <v>8.75199142985546</v>
      </c>
      <c r="I19">
        <v>7.0115329985977697</v>
      </c>
      <c r="J19">
        <v>0.53499437882714695</v>
      </c>
      <c r="K19">
        <v>7.1274443939320804</v>
      </c>
      <c r="L19">
        <v>0.274993229322678</v>
      </c>
      <c r="M19">
        <v>5.4261025432900398</v>
      </c>
      <c r="N19">
        <v>0.398301829049511</v>
      </c>
      <c r="O19">
        <v>4.4005126953125</v>
      </c>
      <c r="P19">
        <v>0.33017576980083702</v>
      </c>
      <c r="Q19" t="s">
        <v>90</v>
      </c>
    </row>
    <row r="20" spans="1:17" x14ac:dyDescent="0.6">
      <c r="A20" t="s">
        <v>205</v>
      </c>
      <c r="B20">
        <v>10</v>
      </c>
      <c r="C20" t="s">
        <v>99</v>
      </c>
      <c r="D20" t="s">
        <v>7</v>
      </c>
      <c r="E20" t="str">
        <f>"1."&amp;D20</f>
        <v>1.Macro Only</v>
      </c>
      <c r="F20">
        <v>1</v>
      </c>
      <c r="G20" t="s">
        <v>136</v>
      </c>
      <c r="H20">
        <v>8.6307679999999998</v>
      </c>
      <c r="I20">
        <v>6.9221069999999996</v>
      </c>
      <c r="J20">
        <v>0.527922</v>
      </c>
      <c r="K20">
        <v>7.2915239999999999</v>
      </c>
      <c r="L20">
        <v>0.28720000000000001</v>
      </c>
      <c r="M20">
        <v>5.5767559999999996</v>
      </c>
      <c r="N20">
        <v>0.40916400000000003</v>
      </c>
      <c r="O20">
        <v>4.4080810000000001</v>
      </c>
      <c r="P20">
        <v>0.32418999999999998</v>
      </c>
      <c r="Q20" t="s">
        <v>90</v>
      </c>
    </row>
    <row r="21" spans="1:17" x14ac:dyDescent="0.6">
      <c r="A21" t="s">
        <v>206</v>
      </c>
      <c r="B21">
        <v>90</v>
      </c>
      <c r="C21" t="s">
        <v>99</v>
      </c>
      <c r="D21" t="s">
        <v>171</v>
      </c>
      <c r="E21" t="str">
        <f>"4."&amp;D21</f>
        <v>4.Macro + Sentiment (Indirect)</v>
      </c>
      <c r="F21">
        <v>1</v>
      </c>
      <c r="G21" t="s">
        <v>207</v>
      </c>
      <c r="H21">
        <v>6.96678343044149</v>
      </c>
      <c r="I21">
        <v>5.49688720703125</v>
      </c>
      <c r="J21">
        <v>0.42840943443761598</v>
      </c>
      <c r="K21">
        <v>7.2289853856030604</v>
      </c>
      <c r="L21">
        <v>0.27868094154237</v>
      </c>
      <c r="M21">
        <v>5.5359931841288503</v>
      </c>
      <c r="N21">
        <v>0.40285466636586098</v>
      </c>
      <c r="O21">
        <v>4.40869140625</v>
      </c>
      <c r="P21">
        <v>0.318150252554734</v>
      </c>
      <c r="Q21" t="s">
        <v>114</v>
      </c>
    </row>
    <row r="22" spans="1:17" x14ac:dyDescent="0.6">
      <c r="A22" t="s">
        <v>208</v>
      </c>
      <c r="B22">
        <v>90</v>
      </c>
      <c r="C22" t="s">
        <v>92</v>
      </c>
      <c r="D22" t="s">
        <v>8</v>
      </c>
      <c r="E22" t="str">
        <f>"2."&amp;D22</f>
        <v>2.Macro + Event</v>
      </c>
      <c r="F22">
        <v>1</v>
      </c>
      <c r="G22" t="s">
        <v>160</v>
      </c>
      <c r="H22">
        <v>6.9823729999999999</v>
      </c>
      <c r="I22">
        <v>5.4585850000000002</v>
      </c>
      <c r="J22">
        <v>0.42615500000000001</v>
      </c>
      <c r="K22">
        <v>7.8758290000000004</v>
      </c>
      <c r="L22">
        <v>0.33429999999999999</v>
      </c>
      <c r="M22">
        <v>5.987158</v>
      </c>
      <c r="N22">
        <v>0.43723400000000001</v>
      </c>
      <c r="O22">
        <v>4.4137570000000004</v>
      </c>
      <c r="P22">
        <v>0.31723600000000002</v>
      </c>
      <c r="Q22" t="s">
        <v>114</v>
      </c>
    </row>
    <row r="23" spans="1:17" x14ac:dyDescent="0.6">
      <c r="A23" t="s">
        <v>209</v>
      </c>
      <c r="B23">
        <v>20</v>
      </c>
      <c r="C23" t="s">
        <v>99</v>
      </c>
      <c r="D23" t="s">
        <v>210</v>
      </c>
      <c r="E23" t="str">
        <f>"8."&amp;D23</f>
        <v>8.Macro + Event + Sentiment (Both)</v>
      </c>
      <c r="F23">
        <v>1</v>
      </c>
      <c r="G23" t="s">
        <v>211</v>
      </c>
      <c r="H23">
        <v>8.7100883473392301</v>
      </c>
      <c r="I23">
        <v>7.0094398635122701</v>
      </c>
      <c r="J23">
        <v>0.53512031280584305</v>
      </c>
      <c r="K23">
        <v>6.8747985261939704</v>
      </c>
      <c r="L23">
        <v>0.25359787741442003</v>
      </c>
      <c r="M23">
        <v>5.3039641203703702</v>
      </c>
      <c r="N23">
        <v>0.38824872459356102</v>
      </c>
      <c r="O23">
        <v>4.4156494140625</v>
      </c>
      <c r="P23">
        <v>0.32047466514452699</v>
      </c>
      <c r="Q23" t="s">
        <v>90</v>
      </c>
    </row>
    <row r="24" spans="1:17" x14ac:dyDescent="0.6">
      <c r="A24" t="s">
        <v>212</v>
      </c>
      <c r="B24">
        <v>10</v>
      </c>
      <c r="C24" t="s">
        <v>92</v>
      </c>
      <c r="D24" t="s">
        <v>177</v>
      </c>
      <c r="E24" t="str">
        <f>"8."&amp;D24</f>
        <v>8.Macro + Event + Sentiment (Both)</v>
      </c>
      <c r="F24">
        <v>1</v>
      </c>
      <c r="G24" t="s">
        <v>213</v>
      </c>
      <c r="H24">
        <v>8.7362216556952195</v>
      </c>
      <c r="I24">
        <v>7.0352588037919404</v>
      </c>
      <c r="J24">
        <v>0.53662371910331497</v>
      </c>
      <c r="K24">
        <v>7.1431431075978802</v>
      </c>
      <c r="L24">
        <v>0.27378740682967301</v>
      </c>
      <c r="M24">
        <v>5.5197159758711196</v>
      </c>
      <c r="N24">
        <v>0.40412142626686098</v>
      </c>
      <c r="O24">
        <v>4.41717529296875</v>
      </c>
      <c r="P24">
        <v>0.32674482651939801</v>
      </c>
      <c r="Q24" t="s">
        <v>90</v>
      </c>
    </row>
    <row r="25" spans="1:17" x14ac:dyDescent="0.6">
      <c r="A25" t="s">
        <v>214</v>
      </c>
      <c r="B25">
        <v>30</v>
      </c>
      <c r="C25" t="s">
        <v>6</v>
      </c>
      <c r="D25" t="s">
        <v>181</v>
      </c>
      <c r="E25" t="str">
        <f>"3."&amp;D25</f>
        <v>3.Macro + Sentiment (Direct)</v>
      </c>
      <c r="F25">
        <v>1</v>
      </c>
      <c r="G25" t="s">
        <v>215</v>
      </c>
      <c r="H25">
        <v>8.88119547143293</v>
      </c>
      <c r="I25">
        <v>7.1739417125037699</v>
      </c>
      <c r="J25">
        <v>0.54824016182711499</v>
      </c>
      <c r="K25">
        <v>7.16134862043317</v>
      </c>
      <c r="L25">
        <v>0.27464741652158503</v>
      </c>
      <c r="M25">
        <v>5.4657379446677696</v>
      </c>
      <c r="N25">
        <v>0.39960011205711199</v>
      </c>
      <c r="O25">
        <v>4.4232177734375</v>
      </c>
      <c r="P25">
        <v>0.32861493987000201</v>
      </c>
      <c r="Q25" t="s">
        <v>93</v>
      </c>
    </row>
    <row r="26" spans="1:17" x14ac:dyDescent="0.6">
      <c r="A26" t="s">
        <v>216</v>
      </c>
      <c r="B26">
        <v>20</v>
      </c>
      <c r="C26" t="s">
        <v>92</v>
      </c>
      <c r="D26" t="s">
        <v>181</v>
      </c>
      <c r="E26" t="str">
        <f>"3."&amp;D26</f>
        <v>3.Macro + Sentiment (Direct)</v>
      </c>
      <c r="F26">
        <v>1</v>
      </c>
      <c r="G26" t="s">
        <v>217</v>
      </c>
      <c r="H26">
        <v>8.7174169468631</v>
      </c>
      <c r="I26">
        <v>6.9989352018936799</v>
      </c>
      <c r="J26">
        <v>0.53406374156202696</v>
      </c>
      <c r="K26">
        <v>6.9520980264162597</v>
      </c>
      <c r="L26">
        <v>0.25962339982994898</v>
      </c>
      <c r="M26">
        <v>5.3379471390335604</v>
      </c>
      <c r="N26">
        <v>0.39084732281409901</v>
      </c>
      <c r="O26">
        <v>4.426025390625</v>
      </c>
      <c r="P26">
        <v>0.32643863680408203</v>
      </c>
      <c r="Q26" t="s">
        <v>90</v>
      </c>
    </row>
    <row r="27" spans="1:17" x14ac:dyDescent="0.6">
      <c r="A27" t="s">
        <v>218</v>
      </c>
      <c r="B27">
        <v>5</v>
      </c>
      <c r="C27" t="s">
        <v>99</v>
      </c>
      <c r="D27" t="s">
        <v>171</v>
      </c>
      <c r="E27" t="str">
        <f>"4."&amp;D27</f>
        <v>4.Macro + Sentiment (Indirect)</v>
      </c>
      <c r="F27">
        <v>1</v>
      </c>
      <c r="G27" t="s">
        <v>219</v>
      </c>
      <c r="H27">
        <v>8.7459571522012993</v>
      </c>
      <c r="I27">
        <v>6.9909401451087598</v>
      </c>
      <c r="J27">
        <v>0.53336153850328205</v>
      </c>
      <c r="K27">
        <v>7.14886393737555</v>
      </c>
      <c r="L27">
        <v>0.27624827482195097</v>
      </c>
      <c r="M27">
        <v>5.4371781782670396</v>
      </c>
      <c r="N27">
        <v>0.399022550841937</v>
      </c>
      <c r="O27">
        <v>4.427978515625</v>
      </c>
      <c r="P27">
        <v>0.3327080725596</v>
      </c>
      <c r="Q27" t="s">
        <v>90</v>
      </c>
    </row>
    <row r="28" spans="1:17" x14ac:dyDescent="0.6">
      <c r="A28" t="s">
        <v>220</v>
      </c>
      <c r="B28">
        <v>20</v>
      </c>
      <c r="C28" t="s">
        <v>6</v>
      </c>
      <c r="D28" t="s">
        <v>8</v>
      </c>
      <c r="E28" t="str">
        <f>"2."&amp;D28</f>
        <v>2.Macro + Event</v>
      </c>
      <c r="F28">
        <v>1</v>
      </c>
      <c r="G28" t="s">
        <v>120</v>
      </c>
      <c r="H28" s="13">
        <v>8.7212095813586199</v>
      </c>
      <c r="I28">
        <v>6.9902521704164</v>
      </c>
      <c r="J28">
        <v>0.533626616661943</v>
      </c>
      <c r="K28">
        <v>7.1777958405386597</v>
      </c>
      <c r="L28">
        <v>0.27791071598327999</v>
      </c>
      <c r="M28" s="13">
        <v>5.4973658808955399</v>
      </c>
      <c r="N28" s="13">
        <v>0.402926704755806</v>
      </c>
      <c r="O28">
        <v>4.43603515625</v>
      </c>
      <c r="P28" s="13">
        <v>0.32673135791585201</v>
      </c>
      <c r="Q28" t="s">
        <v>90</v>
      </c>
    </row>
    <row r="29" spans="1:17" x14ac:dyDescent="0.6">
      <c r="A29" t="s">
        <v>221</v>
      </c>
      <c r="B29">
        <v>5</v>
      </c>
      <c r="C29" t="s">
        <v>6</v>
      </c>
      <c r="D29" t="s">
        <v>171</v>
      </c>
      <c r="E29" t="str">
        <f>"4."&amp;D29</f>
        <v>4.Macro + Sentiment (Indirect)</v>
      </c>
      <c r="F29">
        <v>1</v>
      </c>
      <c r="G29" t="s">
        <v>222</v>
      </c>
      <c r="H29">
        <v>8.7542738217530793</v>
      </c>
      <c r="I29">
        <v>7.0426677561681403</v>
      </c>
      <c r="J29">
        <v>0.53717401394466102</v>
      </c>
      <c r="K29">
        <v>7.2455522397631702</v>
      </c>
      <c r="L29">
        <v>0.283180280203852</v>
      </c>
      <c r="M29">
        <v>5.5436261329815997</v>
      </c>
      <c r="N29">
        <v>0.40654590542004498</v>
      </c>
      <c r="O29">
        <v>4.436767578125</v>
      </c>
      <c r="P29">
        <v>0.33768952762023602</v>
      </c>
      <c r="Q29" t="s">
        <v>90</v>
      </c>
    </row>
    <row r="30" spans="1:17" x14ac:dyDescent="0.6">
      <c r="A30" t="s">
        <v>223</v>
      </c>
      <c r="B30">
        <v>20</v>
      </c>
      <c r="C30" t="s">
        <v>6</v>
      </c>
      <c r="D30" t="s">
        <v>174</v>
      </c>
      <c r="E30" t="str">
        <f>"5."&amp;D30</f>
        <v>5.Macro + Sentiment (Both)</v>
      </c>
      <c r="F30">
        <v>1</v>
      </c>
      <c r="G30" t="s">
        <v>224</v>
      </c>
      <c r="H30">
        <v>8.7913129222236197</v>
      </c>
      <c r="I30">
        <v>7.04863629743571</v>
      </c>
      <c r="J30">
        <v>0.53808511665544301</v>
      </c>
      <c r="K30">
        <v>6.9747408758165603</v>
      </c>
      <c r="L30">
        <v>0.26134295523631901</v>
      </c>
      <c r="M30">
        <v>5.3762438738787601</v>
      </c>
      <c r="N30">
        <v>0.39363596302541798</v>
      </c>
      <c r="O30">
        <v>4.43780517578125</v>
      </c>
      <c r="P30">
        <v>0.32400996650654401</v>
      </c>
      <c r="Q30" t="s">
        <v>90</v>
      </c>
    </row>
    <row r="31" spans="1:17" x14ac:dyDescent="0.6">
      <c r="A31" t="s">
        <v>225</v>
      </c>
      <c r="B31">
        <v>90</v>
      </c>
      <c r="C31" t="s">
        <v>6</v>
      </c>
      <c r="D31" t="s">
        <v>181</v>
      </c>
      <c r="E31" t="str">
        <f>"3."&amp;D31</f>
        <v>3.Macro + Sentiment (Direct)</v>
      </c>
      <c r="F31">
        <v>1</v>
      </c>
      <c r="G31" t="s">
        <v>226</v>
      </c>
      <c r="H31">
        <v>6.9684478409376496</v>
      </c>
      <c r="I31">
        <v>5.5361494584516997</v>
      </c>
      <c r="J31">
        <v>0.43131612528741298</v>
      </c>
      <c r="K31">
        <v>7.25330241816713</v>
      </c>
      <c r="L31">
        <v>0.28086431755179897</v>
      </c>
      <c r="M31">
        <v>5.4647233518835598</v>
      </c>
      <c r="N31">
        <v>0.397966677529559</v>
      </c>
      <c r="O31">
        <v>4.4476318359375</v>
      </c>
      <c r="P31">
        <v>0.32151564280713602</v>
      </c>
      <c r="Q31" t="s">
        <v>114</v>
      </c>
    </row>
    <row r="32" spans="1:17" x14ac:dyDescent="0.6">
      <c r="A32" t="s">
        <v>227</v>
      </c>
      <c r="B32">
        <v>30</v>
      </c>
      <c r="C32" t="s">
        <v>9</v>
      </c>
      <c r="D32" t="s">
        <v>171</v>
      </c>
      <c r="E32" t="str">
        <f>"4."&amp;D32</f>
        <v>4.Macro + Sentiment (Indirect)</v>
      </c>
      <c r="F32">
        <v>1</v>
      </c>
      <c r="G32" t="s">
        <v>228</v>
      </c>
      <c r="H32">
        <v>8.9645053356849296</v>
      </c>
      <c r="I32">
        <v>7.21503775093713</v>
      </c>
      <c r="J32">
        <v>0.551246822654197</v>
      </c>
      <c r="K32">
        <v>7.5494601922749904</v>
      </c>
      <c r="L32">
        <v>0.30704520414636399</v>
      </c>
      <c r="M32">
        <v>5.7602390918916804</v>
      </c>
      <c r="N32">
        <v>0.42193719397275498</v>
      </c>
      <c r="O32">
        <v>4.45001220703125</v>
      </c>
      <c r="P32">
        <v>0.32860352095671902</v>
      </c>
      <c r="Q32" t="s">
        <v>93</v>
      </c>
    </row>
    <row r="33" spans="1:17" x14ac:dyDescent="0.6">
      <c r="A33" t="s">
        <v>230</v>
      </c>
      <c r="B33">
        <v>20</v>
      </c>
      <c r="C33" t="s">
        <v>99</v>
      </c>
      <c r="D33" t="s">
        <v>171</v>
      </c>
      <c r="E33" t="str">
        <f>"4."&amp;D33</f>
        <v>4.Macro + Sentiment (Indirect)</v>
      </c>
      <c r="F33">
        <v>1</v>
      </c>
      <c r="G33" t="s">
        <v>231</v>
      </c>
      <c r="H33">
        <v>8.6969041203063</v>
      </c>
      <c r="I33">
        <v>7.0400768387348096</v>
      </c>
      <c r="J33">
        <v>0.537478758215439</v>
      </c>
      <c r="K33">
        <v>6.96605526634516</v>
      </c>
      <c r="L33">
        <v>0.26092077600993496</v>
      </c>
      <c r="M33">
        <v>5.3270828812210604</v>
      </c>
      <c r="N33">
        <v>0.39003821670113398</v>
      </c>
      <c r="O33">
        <v>4.456787109375</v>
      </c>
      <c r="P33">
        <v>0.33384280235031599</v>
      </c>
      <c r="Q33" t="s">
        <v>90</v>
      </c>
    </row>
    <row r="34" spans="1:17" x14ac:dyDescent="0.6">
      <c r="A34" t="s">
        <v>232</v>
      </c>
      <c r="B34">
        <v>30</v>
      </c>
      <c r="C34" t="s">
        <v>99</v>
      </c>
      <c r="D34" t="s">
        <v>184</v>
      </c>
      <c r="E34" t="str">
        <f>"7."&amp;D34</f>
        <v>7.Macro + Event + Sentiment (Indirect)</v>
      </c>
      <c r="F34">
        <v>1</v>
      </c>
      <c r="G34" t="s">
        <v>233</v>
      </c>
      <c r="H34">
        <v>8.9599132368622705</v>
      </c>
      <c r="I34">
        <v>7.2110308108959398</v>
      </c>
      <c r="J34">
        <v>0.55100601705768304</v>
      </c>
      <c r="K34">
        <v>7.0746923752344202</v>
      </c>
      <c r="L34">
        <v>0.26837916375609</v>
      </c>
      <c r="M34">
        <v>5.4036343768962301</v>
      </c>
      <c r="N34">
        <v>0.39516464047175898</v>
      </c>
      <c r="O34">
        <v>4.46380615234375</v>
      </c>
      <c r="P34">
        <v>0.32595539820685598</v>
      </c>
      <c r="Q34" t="s">
        <v>93</v>
      </c>
    </row>
    <row r="35" spans="1:17" x14ac:dyDescent="0.6">
      <c r="A35" t="s">
        <v>234</v>
      </c>
      <c r="B35">
        <v>90</v>
      </c>
      <c r="C35" t="s">
        <v>99</v>
      </c>
      <c r="D35" t="s">
        <v>8</v>
      </c>
      <c r="E35" t="str">
        <f>"2."&amp;D35</f>
        <v>2.Macro + Event</v>
      </c>
      <c r="F35">
        <v>1</v>
      </c>
      <c r="G35" t="s">
        <v>126</v>
      </c>
      <c r="H35">
        <v>6.9404859999999999</v>
      </c>
      <c r="I35">
        <v>5.3550909999999998</v>
      </c>
      <c r="J35">
        <v>0.417993</v>
      </c>
      <c r="K35">
        <v>7.2208379999999996</v>
      </c>
      <c r="L35">
        <v>0.27789999999999998</v>
      </c>
      <c r="M35">
        <v>5.5475659999999998</v>
      </c>
      <c r="N35">
        <v>0.40374199999999999</v>
      </c>
      <c r="O35">
        <v>4.4656370000000001</v>
      </c>
      <c r="P35">
        <v>0.32366</v>
      </c>
      <c r="Q35" t="s">
        <v>114</v>
      </c>
    </row>
    <row r="36" spans="1:17" x14ac:dyDescent="0.6">
      <c r="A36" t="s">
        <v>235</v>
      </c>
      <c r="B36">
        <v>90</v>
      </c>
      <c r="C36" t="s">
        <v>92</v>
      </c>
      <c r="D36" t="s">
        <v>7</v>
      </c>
      <c r="E36" t="str">
        <f>"1."&amp;D36</f>
        <v>1.Macro Only</v>
      </c>
      <c r="F36">
        <v>1</v>
      </c>
      <c r="G36" t="s">
        <v>113</v>
      </c>
      <c r="H36">
        <v>6.9550789999999996</v>
      </c>
      <c r="I36">
        <v>5.5282980000000004</v>
      </c>
      <c r="J36">
        <v>0.43144399999999999</v>
      </c>
      <c r="K36">
        <v>7.1349489999999998</v>
      </c>
      <c r="L36">
        <v>0.27160000000000001</v>
      </c>
      <c r="M36">
        <v>5.4568960000000004</v>
      </c>
      <c r="N36">
        <v>0.397374</v>
      </c>
      <c r="O36">
        <v>4.4688720000000002</v>
      </c>
      <c r="P36">
        <v>0.32714700000000002</v>
      </c>
      <c r="Q36" t="s">
        <v>114</v>
      </c>
    </row>
    <row r="37" spans="1:17" x14ac:dyDescent="0.6">
      <c r="A37" t="s">
        <v>236</v>
      </c>
      <c r="B37">
        <v>60</v>
      </c>
      <c r="C37" t="s">
        <v>92</v>
      </c>
      <c r="D37" t="s">
        <v>167</v>
      </c>
      <c r="E37" t="str">
        <f>"6."&amp;D37</f>
        <v>6.Macro + Event + Sentiment (Direct)</v>
      </c>
      <c r="F37">
        <v>1</v>
      </c>
      <c r="G37" t="s">
        <v>237</v>
      </c>
      <c r="H37">
        <v>8.4234848228421804</v>
      </c>
      <c r="I37">
        <v>6.8762642996651699</v>
      </c>
      <c r="J37">
        <v>0.53171512207902205</v>
      </c>
      <c r="K37">
        <v>7.4105862167040399</v>
      </c>
      <c r="L37">
        <v>0.29231740512652599</v>
      </c>
      <c r="M37">
        <v>5.7145420421253501</v>
      </c>
      <c r="N37">
        <v>0.41594271941254002</v>
      </c>
      <c r="O37">
        <v>4.47119140625</v>
      </c>
      <c r="P37">
        <v>0.33018144868187999</v>
      </c>
      <c r="Q37" t="s">
        <v>135</v>
      </c>
    </row>
    <row r="38" spans="1:17" x14ac:dyDescent="0.6">
      <c r="A38" t="s">
        <v>238</v>
      </c>
      <c r="B38">
        <v>20</v>
      </c>
      <c r="C38" t="s">
        <v>6</v>
      </c>
      <c r="D38" t="s">
        <v>167</v>
      </c>
      <c r="E38" t="str">
        <f>"6."&amp;D38</f>
        <v>6.Macro + Event + Sentiment (Direct)</v>
      </c>
      <c r="F38">
        <v>1</v>
      </c>
      <c r="G38" t="s">
        <v>239</v>
      </c>
      <c r="H38">
        <v>8.73956223564279</v>
      </c>
      <c r="I38">
        <v>7.0514969301345696</v>
      </c>
      <c r="J38">
        <v>0.53834291266406198</v>
      </c>
      <c r="K38">
        <v>6.9094331881194302</v>
      </c>
      <c r="L38">
        <v>0.25553018850190301</v>
      </c>
      <c r="M38">
        <v>5.3485276963975696</v>
      </c>
      <c r="N38">
        <v>0.39119348551821298</v>
      </c>
      <c r="O38">
        <v>4.47320556640625</v>
      </c>
      <c r="P38">
        <v>0.33340449798418897</v>
      </c>
      <c r="Q38" t="s">
        <v>90</v>
      </c>
    </row>
    <row r="39" spans="1:17" x14ac:dyDescent="0.6">
      <c r="A39" t="s">
        <v>240</v>
      </c>
      <c r="B39">
        <v>60</v>
      </c>
      <c r="C39" t="s">
        <v>6</v>
      </c>
      <c r="D39" t="s">
        <v>167</v>
      </c>
      <c r="E39" t="str">
        <f>"6."&amp;D39</f>
        <v>6.Macro + Event + Sentiment (Direct)</v>
      </c>
      <c r="F39">
        <v>1</v>
      </c>
      <c r="G39" t="s">
        <v>241</v>
      </c>
      <c r="H39">
        <v>8.4845097797249007</v>
      </c>
      <c r="I39">
        <v>6.8333948156335804</v>
      </c>
      <c r="J39">
        <v>0.52829673005314504</v>
      </c>
      <c r="K39">
        <v>7.7816613534227503</v>
      </c>
      <c r="L39">
        <v>0.32546652773861301</v>
      </c>
      <c r="M39">
        <v>5.9491840709339403</v>
      </c>
      <c r="N39">
        <v>0.43443104377874298</v>
      </c>
      <c r="O39">
        <v>4.474609375</v>
      </c>
      <c r="P39">
        <v>0.32742282546845097</v>
      </c>
      <c r="Q39" t="s">
        <v>135</v>
      </c>
    </row>
    <row r="40" spans="1:17" x14ac:dyDescent="0.6">
      <c r="A40" t="s">
        <v>242</v>
      </c>
      <c r="B40">
        <v>30</v>
      </c>
      <c r="C40" t="s">
        <v>6</v>
      </c>
      <c r="D40" t="s">
        <v>7</v>
      </c>
      <c r="E40" t="str">
        <f>"1."&amp;D40</f>
        <v>1.Macro Only</v>
      </c>
      <c r="F40">
        <v>1</v>
      </c>
      <c r="G40" t="s">
        <v>102</v>
      </c>
      <c r="H40" s="13">
        <v>8.8823086150320698</v>
      </c>
      <c r="I40" s="13">
        <v>7.1348947151254603</v>
      </c>
      <c r="J40" s="13">
        <v>0.54528725498835795</v>
      </c>
      <c r="K40" s="13">
        <v>7.0741044869479301</v>
      </c>
      <c r="L40">
        <v>0.26864105538190697</v>
      </c>
      <c r="M40" s="13">
        <v>5.39117490898058</v>
      </c>
      <c r="N40" s="13">
        <v>0.39437584931035502</v>
      </c>
      <c r="O40">
        <v>4.47637939453125</v>
      </c>
      <c r="P40" s="13">
        <v>0.31870420142372202</v>
      </c>
      <c r="Q40" t="s">
        <v>93</v>
      </c>
    </row>
    <row r="41" spans="1:17" x14ac:dyDescent="0.6">
      <c r="A41" t="s">
        <v>243</v>
      </c>
      <c r="B41">
        <v>20</v>
      </c>
      <c r="C41" t="s">
        <v>99</v>
      </c>
      <c r="D41" t="s">
        <v>8</v>
      </c>
      <c r="E41" t="str">
        <f>"2."&amp;D41</f>
        <v>2.Macro + Event</v>
      </c>
      <c r="F41">
        <v>1</v>
      </c>
      <c r="G41" t="s">
        <v>127</v>
      </c>
      <c r="H41">
        <v>8.7377050000000001</v>
      </c>
      <c r="I41">
        <v>6.9227350000000003</v>
      </c>
      <c r="J41">
        <v>0.528366</v>
      </c>
      <c r="K41">
        <v>7.224634</v>
      </c>
      <c r="L41">
        <v>0.27929999999999999</v>
      </c>
      <c r="M41">
        <v>5.581995</v>
      </c>
      <c r="N41">
        <v>0.40810000000000002</v>
      </c>
      <c r="O41">
        <v>4.4867549999999996</v>
      </c>
      <c r="P41">
        <v>0.32525700000000002</v>
      </c>
      <c r="Q41" t="s">
        <v>90</v>
      </c>
    </row>
    <row r="42" spans="1:17" x14ac:dyDescent="0.6">
      <c r="A42" t="s">
        <v>245</v>
      </c>
      <c r="B42">
        <v>10</v>
      </c>
      <c r="C42" t="s">
        <v>99</v>
      </c>
      <c r="D42" t="s">
        <v>171</v>
      </c>
      <c r="E42" t="str">
        <f>"4."&amp;D42</f>
        <v>4.Macro + Sentiment (Indirect)</v>
      </c>
      <c r="F42">
        <v>1</v>
      </c>
      <c r="G42" t="s">
        <v>246</v>
      </c>
      <c r="H42">
        <v>8.7973791230451095</v>
      </c>
      <c r="I42">
        <v>6.9661100223592998</v>
      </c>
      <c r="J42">
        <v>0.53128192014350994</v>
      </c>
      <c r="K42">
        <v>7.1364558498293302</v>
      </c>
      <c r="L42">
        <v>0.27440496856316204</v>
      </c>
      <c r="M42">
        <v>5.4772344268528697</v>
      </c>
      <c r="N42">
        <v>0.40156658145480401</v>
      </c>
      <c r="O42">
        <v>4.4888916015625</v>
      </c>
      <c r="P42">
        <v>0.32502688811716302</v>
      </c>
      <c r="Q42" t="s">
        <v>90</v>
      </c>
    </row>
    <row r="43" spans="1:17" x14ac:dyDescent="0.6">
      <c r="A43" t="s">
        <v>248</v>
      </c>
      <c r="B43">
        <v>10</v>
      </c>
      <c r="C43" t="s">
        <v>9</v>
      </c>
      <c r="D43" t="s">
        <v>184</v>
      </c>
      <c r="E43" t="str">
        <f>"7."&amp;D43</f>
        <v>7.Macro + Event + Sentiment (Indirect)</v>
      </c>
      <c r="F43">
        <v>1</v>
      </c>
      <c r="G43" t="s">
        <v>185</v>
      </c>
      <c r="H43">
        <v>8.7751240824947292</v>
      </c>
      <c r="I43">
        <v>7.00674120872808</v>
      </c>
      <c r="J43">
        <v>0.53425735359302196</v>
      </c>
      <c r="K43">
        <v>7.20176695322552</v>
      </c>
      <c r="L43">
        <v>0.278693409149886</v>
      </c>
      <c r="M43">
        <v>5.50022955700359</v>
      </c>
      <c r="N43">
        <v>0.40295960123583902</v>
      </c>
      <c r="O43">
        <v>4.4947509765625</v>
      </c>
      <c r="P43">
        <v>0.32732746862628498</v>
      </c>
      <c r="Q43" t="s">
        <v>90</v>
      </c>
    </row>
    <row r="44" spans="1:17" x14ac:dyDescent="0.6">
      <c r="A44" t="s">
        <v>249</v>
      </c>
      <c r="B44">
        <v>60</v>
      </c>
      <c r="C44" t="s">
        <v>92</v>
      </c>
      <c r="D44" t="s">
        <v>7</v>
      </c>
      <c r="E44" t="str">
        <f>"1."&amp;D44</f>
        <v>1.Macro Only</v>
      </c>
      <c r="F44">
        <v>1</v>
      </c>
      <c r="G44" t="s">
        <v>134</v>
      </c>
      <c r="H44">
        <v>8.4138420000000007</v>
      </c>
      <c r="I44">
        <v>6.8743990000000004</v>
      </c>
      <c r="J44">
        <v>0.53144800000000003</v>
      </c>
      <c r="K44">
        <v>7.2754630000000002</v>
      </c>
      <c r="L44">
        <v>0.28189999999999998</v>
      </c>
      <c r="M44">
        <v>5.5962430000000003</v>
      </c>
      <c r="N44">
        <v>0.40754000000000001</v>
      </c>
      <c r="O44">
        <v>4.4950559999999999</v>
      </c>
      <c r="P44">
        <v>0.33418700000000001</v>
      </c>
      <c r="Q44" t="s">
        <v>135</v>
      </c>
    </row>
    <row r="45" spans="1:17" x14ac:dyDescent="0.6">
      <c r="A45" t="s">
        <v>250</v>
      </c>
      <c r="B45">
        <v>90</v>
      </c>
      <c r="C45" t="s">
        <v>99</v>
      </c>
      <c r="D45" t="s">
        <v>174</v>
      </c>
      <c r="E45" t="str">
        <f>"5."&amp;D45</f>
        <v>5.Macro + Sentiment (Both)</v>
      </c>
      <c r="F45">
        <v>1</v>
      </c>
      <c r="G45" t="s">
        <v>251</v>
      </c>
      <c r="H45">
        <v>6.9039978543747802</v>
      </c>
      <c r="I45">
        <v>5.5073815548058702</v>
      </c>
      <c r="J45">
        <v>0.429648682147038</v>
      </c>
      <c r="K45">
        <v>7.25942579966366</v>
      </c>
      <c r="L45">
        <v>0.28020475115933202</v>
      </c>
      <c r="M45">
        <v>5.5426719351990501</v>
      </c>
      <c r="N45">
        <v>0.40314418100601201</v>
      </c>
      <c r="O45">
        <v>4.49603271484375</v>
      </c>
      <c r="P45">
        <v>0.32887792502687402</v>
      </c>
      <c r="Q45" t="s">
        <v>114</v>
      </c>
    </row>
    <row r="46" spans="1:17" x14ac:dyDescent="0.6">
      <c r="A46" t="s">
        <v>252</v>
      </c>
      <c r="B46">
        <v>30</v>
      </c>
      <c r="C46" t="s">
        <v>92</v>
      </c>
      <c r="D46" t="s">
        <v>171</v>
      </c>
      <c r="E46" t="str">
        <f>"4."&amp;D46</f>
        <v>4.Macro + Sentiment (Indirect)</v>
      </c>
      <c r="F46">
        <v>1</v>
      </c>
      <c r="G46" t="s">
        <v>253</v>
      </c>
      <c r="H46">
        <v>8.8551178953347396</v>
      </c>
      <c r="I46">
        <v>7.1247838487937898</v>
      </c>
      <c r="J46">
        <v>0.54428592920526997</v>
      </c>
      <c r="K46">
        <v>7.1621247613176102</v>
      </c>
      <c r="L46">
        <v>0.27511767742896198</v>
      </c>
      <c r="M46">
        <v>5.5567585472921701</v>
      </c>
      <c r="N46">
        <v>0.40637251245662498</v>
      </c>
      <c r="O46">
        <v>4.49969482421875</v>
      </c>
      <c r="P46">
        <v>0.32721326169611298</v>
      </c>
      <c r="Q46" t="s">
        <v>93</v>
      </c>
    </row>
    <row r="47" spans="1:17" x14ac:dyDescent="0.6">
      <c r="A47" t="s">
        <v>254</v>
      </c>
      <c r="B47">
        <v>30</v>
      </c>
      <c r="C47" t="s">
        <v>6</v>
      </c>
      <c r="D47" t="s">
        <v>184</v>
      </c>
      <c r="E47" t="str">
        <f>"7."&amp;D47</f>
        <v>7.Macro + Event + Sentiment (Indirect)</v>
      </c>
      <c r="F47">
        <v>1</v>
      </c>
      <c r="G47" t="s">
        <v>255</v>
      </c>
      <c r="H47">
        <v>8.9185876639425299</v>
      </c>
      <c r="I47">
        <v>7.1638236723595803</v>
      </c>
      <c r="J47">
        <v>0.54740665084654505</v>
      </c>
      <c r="K47">
        <v>6.9449210895727402</v>
      </c>
      <c r="L47">
        <v>0.25812409549544302</v>
      </c>
      <c r="M47">
        <v>5.3968339938561796</v>
      </c>
      <c r="N47">
        <v>0.39450969559335802</v>
      </c>
      <c r="O47">
        <v>4.5006103515625</v>
      </c>
      <c r="P47">
        <v>0.329599423447896</v>
      </c>
      <c r="Q47" t="s">
        <v>93</v>
      </c>
    </row>
    <row r="48" spans="1:17" x14ac:dyDescent="0.6">
      <c r="A48" t="s">
        <v>256</v>
      </c>
      <c r="B48">
        <v>90</v>
      </c>
      <c r="C48" t="s">
        <v>92</v>
      </c>
      <c r="D48" t="s">
        <v>184</v>
      </c>
      <c r="E48" t="str">
        <f>"7."&amp;D48</f>
        <v>7.Macro + Event + Sentiment (Indirect)</v>
      </c>
      <c r="F48">
        <v>1</v>
      </c>
      <c r="G48" t="s">
        <v>257</v>
      </c>
      <c r="H48">
        <v>6.9759734859665503</v>
      </c>
      <c r="I48">
        <v>5.5083507191051098</v>
      </c>
      <c r="J48">
        <v>0.42977070577689502</v>
      </c>
      <c r="K48">
        <v>7.4781059670419898</v>
      </c>
      <c r="L48">
        <v>0.297290778011298</v>
      </c>
      <c r="M48">
        <v>5.7601468857020501</v>
      </c>
      <c r="N48">
        <v>0.41881793482940599</v>
      </c>
      <c r="O48">
        <v>4.50250244140625</v>
      </c>
      <c r="P48">
        <v>0.32638429542382402</v>
      </c>
      <c r="Q48" t="s">
        <v>114</v>
      </c>
    </row>
    <row r="49" spans="1:17" x14ac:dyDescent="0.6">
      <c r="A49" t="s">
        <v>258</v>
      </c>
      <c r="B49">
        <v>60</v>
      </c>
      <c r="C49" t="s">
        <v>92</v>
      </c>
      <c r="D49" t="s">
        <v>8</v>
      </c>
      <c r="E49" t="str">
        <f>"2."&amp;D49</f>
        <v>2.Macro + Event</v>
      </c>
      <c r="F49">
        <v>1</v>
      </c>
      <c r="G49" t="s">
        <v>141</v>
      </c>
      <c r="H49">
        <v>8.4649870000000007</v>
      </c>
      <c r="I49">
        <v>6.9158369999999998</v>
      </c>
      <c r="J49">
        <v>0.53463700000000003</v>
      </c>
      <c r="K49">
        <v>7.3410529999999996</v>
      </c>
      <c r="L49">
        <v>0.28809999999999997</v>
      </c>
      <c r="M49">
        <v>5.6173570000000002</v>
      </c>
      <c r="N49">
        <v>0.40954499999999999</v>
      </c>
      <c r="O49">
        <v>4.5057980000000004</v>
      </c>
      <c r="P49">
        <v>0.330175</v>
      </c>
      <c r="Q49" t="s">
        <v>135</v>
      </c>
    </row>
    <row r="50" spans="1:17" x14ac:dyDescent="0.6">
      <c r="A50" t="s">
        <v>259</v>
      </c>
      <c r="B50">
        <v>60</v>
      </c>
      <c r="C50" t="s">
        <v>9</v>
      </c>
      <c r="D50" t="s">
        <v>8</v>
      </c>
      <c r="E50" t="str">
        <f>"2."&amp;D50</f>
        <v>2.Macro + Event</v>
      </c>
      <c r="F50">
        <v>1</v>
      </c>
      <c r="G50" t="s">
        <v>154</v>
      </c>
      <c r="H50" s="13">
        <v>8.2972098186660403</v>
      </c>
      <c r="I50" s="13">
        <v>6.7172210190322303</v>
      </c>
      <c r="J50" s="13">
        <v>0.51941760302013795</v>
      </c>
      <c r="K50" s="13">
        <v>7.5538931316901596</v>
      </c>
      <c r="L50">
        <v>0.30560981843080198</v>
      </c>
      <c r="M50" s="13">
        <v>5.7484637173739301</v>
      </c>
      <c r="N50" s="13">
        <v>0.41920186875356302</v>
      </c>
      <c r="O50">
        <v>4.50982666015625</v>
      </c>
      <c r="P50">
        <v>0.32744125759083598</v>
      </c>
      <c r="Q50" t="s">
        <v>135</v>
      </c>
    </row>
    <row r="51" spans="1:17" x14ac:dyDescent="0.6">
      <c r="A51" t="s">
        <v>260</v>
      </c>
      <c r="B51">
        <v>20</v>
      </c>
      <c r="C51" t="s">
        <v>99</v>
      </c>
      <c r="D51" t="s">
        <v>184</v>
      </c>
      <c r="E51" t="str">
        <f>"7."&amp;D51</f>
        <v>7.Macro + Event + Sentiment (Indirect)</v>
      </c>
      <c r="F51">
        <v>1</v>
      </c>
      <c r="G51" t="s">
        <v>261</v>
      </c>
      <c r="H51">
        <v>8.7093090934152997</v>
      </c>
      <c r="I51">
        <v>7.0535987014965604</v>
      </c>
      <c r="J51">
        <v>0.53813434703157903</v>
      </c>
      <c r="K51">
        <v>7.0615957708037298</v>
      </c>
      <c r="L51">
        <v>0.26684443350425996</v>
      </c>
      <c r="M51">
        <v>5.4926418728298598</v>
      </c>
      <c r="N51">
        <v>0.40174695545087202</v>
      </c>
      <c r="O51">
        <v>4.51336669921875</v>
      </c>
      <c r="P51">
        <v>0.335762069531989</v>
      </c>
      <c r="Q51" t="s">
        <v>90</v>
      </c>
    </row>
    <row r="52" spans="1:17" x14ac:dyDescent="0.6">
      <c r="A52" t="s">
        <v>262</v>
      </c>
      <c r="B52">
        <v>20</v>
      </c>
      <c r="C52" t="s">
        <v>92</v>
      </c>
      <c r="D52" t="s">
        <v>184</v>
      </c>
      <c r="E52" t="str">
        <f>"7."&amp;D52</f>
        <v>7.Macro + Event + Sentiment (Indirect)</v>
      </c>
      <c r="F52">
        <v>1</v>
      </c>
      <c r="G52" t="s">
        <v>263</v>
      </c>
      <c r="H52">
        <v>8.6676486743263403</v>
      </c>
      <c r="I52">
        <v>6.9470892513499498</v>
      </c>
      <c r="J52">
        <v>0.53011100934659405</v>
      </c>
      <c r="K52">
        <v>7.0743080183710898</v>
      </c>
      <c r="L52">
        <v>0.26794008720461598</v>
      </c>
      <c r="M52">
        <v>5.4778284143518503</v>
      </c>
      <c r="N52">
        <v>0.40065980589008998</v>
      </c>
      <c r="O52">
        <v>4.514892578125</v>
      </c>
      <c r="P52">
        <v>0.33447051699409902</v>
      </c>
      <c r="Q52" t="s">
        <v>90</v>
      </c>
    </row>
    <row r="53" spans="1:17" x14ac:dyDescent="0.6">
      <c r="A53" t="s">
        <v>264</v>
      </c>
      <c r="B53">
        <v>90</v>
      </c>
      <c r="C53" t="s">
        <v>92</v>
      </c>
      <c r="D53" t="s">
        <v>177</v>
      </c>
      <c r="E53" t="str">
        <f>"8."&amp;D53</f>
        <v>8.Macro + Event + Sentiment (Both)</v>
      </c>
      <c r="F53">
        <v>1</v>
      </c>
      <c r="G53" t="s">
        <v>265</v>
      </c>
      <c r="H53">
        <v>6.9648077654448501</v>
      </c>
      <c r="I53">
        <v>5.5270959102746202</v>
      </c>
      <c r="J53">
        <v>0.43079023863983001</v>
      </c>
      <c r="K53">
        <v>7.5670439126798703</v>
      </c>
      <c r="L53">
        <v>0.30344841242670501</v>
      </c>
      <c r="M53">
        <v>5.8278214964148098</v>
      </c>
      <c r="N53">
        <v>0.42337012666499602</v>
      </c>
      <c r="O53">
        <v>4.5177001953125</v>
      </c>
      <c r="P53">
        <v>0.33029998213330902</v>
      </c>
      <c r="Q53" t="s">
        <v>114</v>
      </c>
    </row>
    <row r="54" spans="1:17" x14ac:dyDescent="0.6">
      <c r="A54" t="s">
        <v>267</v>
      </c>
      <c r="B54">
        <v>5</v>
      </c>
      <c r="C54" t="s">
        <v>99</v>
      </c>
      <c r="D54" t="s">
        <v>174</v>
      </c>
      <c r="E54" t="str">
        <f>"5."&amp;D54</f>
        <v>5.Macro + Sentiment (Both)</v>
      </c>
      <c r="F54">
        <v>1</v>
      </c>
      <c r="G54" t="s">
        <v>268</v>
      </c>
      <c r="H54">
        <v>8.7156108936474102</v>
      </c>
      <c r="I54">
        <v>6.9706504056346503</v>
      </c>
      <c r="J54">
        <v>0.53188635258721395</v>
      </c>
      <c r="K54">
        <v>7.0922195035267599</v>
      </c>
      <c r="L54">
        <v>0.27181047538282599</v>
      </c>
      <c r="M54">
        <v>5.3916216433306197</v>
      </c>
      <c r="N54">
        <v>0.39572528994735801</v>
      </c>
      <c r="O54">
        <v>4.5201416015625</v>
      </c>
      <c r="P54">
        <v>0.32848809443545401</v>
      </c>
      <c r="Q54" t="s">
        <v>90</v>
      </c>
    </row>
    <row r="55" spans="1:17" x14ac:dyDescent="0.6">
      <c r="A55" t="s">
        <v>269</v>
      </c>
      <c r="B55">
        <v>30</v>
      </c>
      <c r="C55" t="s">
        <v>99</v>
      </c>
      <c r="D55" t="s">
        <v>174</v>
      </c>
      <c r="E55" t="str">
        <f>"5."&amp;D55</f>
        <v>5.Macro + Sentiment (Both)</v>
      </c>
      <c r="F55">
        <v>1</v>
      </c>
      <c r="G55" t="s">
        <v>270</v>
      </c>
      <c r="H55">
        <v>9.0465831331260897</v>
      </c>
      <c r="I55">
        <v>7.2981439819849196</v>
      </c>
      <c r="J55">
        <v>0.55768695282298797</v>
      </c>
      <c r="K55">
        <v>7.2855276248303298</v>
      </c>
      <c r="L55">
        <v>0.28530570667898103</v>
      </c>
      <c r="M55">
        <v>5.5776900504399203</v>
      </c>
      <c r="N55">
        <v>0.408148622362841</v>
      </c>
      <c r="O55">
        <v>4.520751953125</v>
      </c>
      <c r="P55">
        <v>0.32368609900073497</v>
      </c>
      <c r="Q55" t="s">
        <v>93</v>
      </c>
    </row>
    <row r="56" spans="1:17" x14ac:dyDescent="0.6">
      <c r="A56" t="s">
        <v>271</v>
      </c>
      <c r="B56">
        <v>10</v>
      </c>
      <c r="C56" t="s">
        <v>99</v>
      </c>
      <c r="D56" t="s">
        <v>184</v>
      </c>
      <c r="E56" t="str">
        <f>"7."&amp;D56</f>
        <v>7.Macro + Event + Sentiment (Indirect)</v>
      </c>
      <c r="F56">
        <v>1</v>
      </c>
      <c r="G56" t="s">
        <v>272</v>
      </c>
      <c r="H56">
        <v>8.7671341515318808</v>
      </c>
      <c r="I56">
        <v>6.99640267718791</v>
      </c>
      <c r="J56">
        <v>0.53368879743952802</v>
      </c>
      <c r="K56">
        <v>7.0933020461992298</v>
      </c>
      <c r="L56">
        <v>0.27127378457727097</v>
      </c>
      <c r="M56">
        <v>5.4057876451880498</v>
      </c>
      <c r="N56">
        <v>0.396384793034188</v>
      </c>
      <c r="O56">
        <v>4.52130126953125</v>
      </c>
      <c r="P56">
        <v>0.32774827382439697</v>
      </c>
      <c r="Q56" t="s">
        <v>90</v>
      </c>
    </row>
    <row r="57" spans="1:17" x14ac:dyDescent="0.6">
      <c r="A57" t="s">
        <v>273</v>
      </c>
      <c r="B57">
        <v>5</v>
      </c>
      <c r="C57" t="s">
        <v>92</v>
      </c>
      <c r="D57" t="s">
        <v>171</v>
      </c>
      <c r="E57" t="str">
        <f>"4."&amp;D57</f>
        <v>4.Macro + Sentiment (Indirect)</v>
      </c>
      <c r="F57">
        <v>1</v>
      </c>
      <c r="G57" t="s">
        <v>274</v>
      </c>
      <c r="H57">
        <v>8.73376775619451</v>
      </c>
      <c r="I57">
        <v>6.9745817782575203</v>
      </c>
      <c r="J57">
        <v>0.53212286594330205</v>
      </c>
      <c r="K57">
        <v>7.31808395842548</v>
      </c>
      <c r="L57">
        <v>0.28843989116406699</v>
      </c>
      <c r="M57">
        <v>5.6063993379667201</v>
      </c>
      <c r="N57">
        <v>0.41094933187583599</v>
      </c>
      <c r="O57">
        <v>4.5218505859375</v>
      </c>
      <c r="P57">
        <v>0.33376193248677</v>
      </c>
      <c r="Q57" t="s">
        <v>90</v>
      </c>
    </row>
    <row r="58" spans="1:17" x14ac:dyDescent="0.6">
      <c r="A58" t="s">
        <v>275</v>
      </c>
      <c r="B58">
        <v>5</v>
      </c>
      <c r="C58" t="s">
        <v>6</v>
      </c>
      <c r="D58" t="s">
        <v>7</v>
      </c>
      <c r="E58" t="str">
        <f>"1."&amp;D58</f>
        <v>1.Macro Only</v>
      </c>
      <c r="F58">
        <v>1</v>
      </c>
      <c r="G58" t="s">
        <v>124</v>
      </c>
      <c r="H58" s="13">
        <v>8.6922131329482308</v>
      </c>
      <c r="I58" s="13">
        <v>6.9978791915434799</v>
      </c>
      <c r="J58" s="13">
        <v>0.53388464913963296</v>
      </c>
      <c r="K58">
        <v>7.2118313209826104</v>
      </c>
      <c r="L58">
        <v>0.27969763887461402</v>
      </c>
      <c r="M58" s="13">
        <v>5.5325652944061101</v>
      </c>
      <c r="N58" s="13">
        <v>0.40542799991422601</v>
      </c>
      <c r="O58">
        <v>4.523193359375</v>
      </c>
      <c r="P58" s="13">
        <v>0.33638539514433902</v>
      </c>
      <c r="Q58" t="s">
        <v>90</v>
      </c>
    </row>
    <row r="59" spans="1:17" x14ac:dyDescent="0.6">
      <c r="A59" t="s">
        <v>276</v>
      </c>
      <c r="B59">
        <v>5</v>
      </c>
      <c r="C59" t="s">
        <v>99</v>
      </c>
      <c r="D59" t="s">
        <v>177</v>
      </c>
      <c r="E59" t="str">
        <f>"8."&amp;D59</f>
        <v>8.Macro + Event + Sentiment (Both)</v>
      </c>
      <c r="F59">
        <v>1</v>
      </c>
      <c r="G59" t="s">
        <v>277</v>
      </c>
      <c r="H59">
        <v>8.7351186054149892</v>
      </c>
      <c r="I59">
        <v>7.0069993531001904</v>
      </c>
      <c r="J59">
        <v>0.53452790223188795</v>
      </c>
      <c r="K59">
        <v>7.2457837160154996</v>
      </c>
      <c r="L59">
        <v>0.282809736509259</v>
      </c>
      <c r="M59">
        <v>5.5456035663555197</v>
      </c>
      <c r="N59">
        <v>0.40650269275370299</v>
      </c>
      <c r="O59">
        <v>4.5252685546875</v>
      </c>
      <c r="P59">
        <v>0.329299401626026</v>
      </c>
      <c r="Q59" t="s">
        <v>90</v>
      </c>
    </row>
    <row r="60" spans="1:17" x14ac:dyDescent="0.6">
      <c r="A60" t="s">
        <v>278</v>
      </c>
      <c r="B60">
        <v>30</v>
      </c>
      <c r="C60" t="s">
        <v>9</v>
      </c>
      <c r="D60" t="s">
        <v>177</v>
      </c>
      <c r="E60" t="str">
        <f>"8."&amp;D60</f>
        <v>8.Macro + Event + Sentiment (Both)</v>
      </c>
      <c r="F60">
        <v>1</v>
      </c>
      <c r="G60" t="s">
        <v>279</v>
      </c>
      <c r="H60">
        <v>8.9536093620515906</v>
      </c>
      <c r="I60">
        <v>7.1696677629039298</v>
      </c>
      <c r="J60">
        <v>0.54820028175822499</v>
      </c>
      <c r="K60">
        <v>7.0785406480977997</v>
      </c>
      <c r="L60">
        <v>0.26886777306660098</v>
      </c>
      <c r="M60">
        <v>5.3913911986119496</v>
      </c>
      <c r="N60">
        <v>0.394443503702266</v>
      </c>
      <c r="O60">
        <v>4.52740478515625</v>
      </c>
      <c r="P60">
        <v>0.32923683635846901</v>
      </c>
      <c r="Q60" t="s">
        <v>93</v>
      </c>
    </row>
    <row r="61" spans="1:17" x14ac:dyDescent="0.6">
      <c r="A61" t="s">
        <v>281</v>
      </c>
      <c r="B61">
        <v>30</v>
      </c>
      <c r="C61" t="s">
        <v>92</v>
      </c>
      <c r="D61" t="s">
        <v>7</v>
      </c>
      <c r="E61" t="str">
        <f>"1."&amp;D61</f>
        <v>1.Macro Only</v>
      </c>
      <c r="F61">
        <v>1</v>
      </c>
      <c r="G61" t="s">
        <v>107</v>
      </c>
      <c r="H61">
        <v>8.8445169999999997</v>
      </c>
      <c r="I61">
        <v>7.1684669999999997</v>
      </c>
      <c r="J61">
        <v>0.54779999999999995</v>
      </c>
      <c r="K61">
        <v>7.102481</v>
      </c>
      <c r="L61">
        <v>0.26960000000000001</v>
      </c>
      <c r="M61">
        <v>5.5047560000000004</v>
      </c>
      <c r="N61">
        <v>0.402221</v>
      </c>
      <c r="O61">
        <v>4.533569</v>
      </c>
      <c r="P61">
        <v>0.33159</v>
      </c>
      <c r="Q61" t="s">
        <v>93</v>
      </c>
    </row>
    <row r="62" spans="1:17" x14ac:dyDescent="0.6">
      <c r="A62" t="s">
        <v>282</v>
      </c>
      <c r="B62">
        <v>30</v>
      </c>
      <c r="C62" t="s">
        <v>99</v>
      </c>
      <c r="D62" t="s">
        <v>7</v>
      </c>
      <c r="E62" t="str">
        <f>"1."&amp;D62</f>
        <v>1.Macro Only</v>
      </c>
      <c r="F62">
        <v>1</v>
      </c>
      <c r="G62" t="s">
        <v>133</v>
      </c>
      <c r="H62">
        <v>8.8176419999999993</v>
      </c>
      <c r="I62">
        <v>7.1333419999999998</v>
      </c>
      <c r="J62">
        <v>0.54507499999999998</v>
      </c>
      <c r="K62">
        <v>7.2696249999999996</v>
      </c>
      <c r="L62">
        <v>0.28449999999999998</v>
      </c>
      <c r="M62">
        <v>5.5980309999999998</v>
      </c>
      <c r="N62">
        <v>0.40990300000000002</v>
      </c>
      <c r="O62">
        <v>4.5358890000000001</v>
      </c>
      <c r="P62">
        <v>0.332318</v>
      </c>
      <c r="Q62" t="s">
        <v>93</v>
      </c>
    </row>
    <row r="63" spans="1:17" x14ac:dyDescent="0.6">
      <c r="A63" t="s">
        <v>283</v>
      </c>
      <c r="B63">
        <v>90</v>
      </c>
      <c r="C63" t="s">
        <v>6</v>
      </c>
      <c r="D63" t="s">
        <v>184</v>
      </c>
      <c r="E63" t="str">
        <f>"7."&amp;D63</f>
        <v>7.Macro + Event + Sentiment (Indirect)</v>
      </c>
      <c r="F63">
        <v>1</v>
      </c>
      <c r="G63" t="s">
        <v>284</v>
      </c>
      <c r="H63">
        <v>6.9900824762899099</v>
      </c>
      <c r="I63">
        <v>5.5448922821969697</v>
      </c>
      <c r="J63">
        <v>0.43208221004040598</v>
      </c>
      <c r="K63">
        <v>7.5520015170068699</v>
      </c>
      <c r="L63">
        <v>0.30249248850452704</v>
      </c>
      <c r="M63">
        <v>5.7659092733304798</v>
      </c>
      <c r="N63">
        <v>0.41896272071794399</v>
      </c>
      <c r="O63">
        <v>4.53607177734375</v>
      </c>
      <c r="P63">
        <v>0.33432554993896901</v>
      </c>
      <c r="Q63" t="s">
        <v>114</v>
      </c>
    </row>
    <row r="64" spans="1:17" x14ac:dyDescent="0.6">
      <c r="A64" t="s">
        <v>285</v>
      </c>
      <c r="B64">
        <v>5</v>
      </c>
      <c r="C64" t="s">
        <v>99</v>
      </c>
      <c r="D64" t="s">
        <v>7</v>
      </c>
      <c r="E64" t="str">
        <f>"1."&amp;D64</f>
        <v>1.Macro Only</v>
      </c>
      <c r="F64">
        <v>1</v>
      </c>
      <c r="G64" t="s">
        <v>118</v>
      </c>
      <c r="H64">
        <v>8.6862169999999992</v>
      </c>
      <c r="I64">
        <v>7.0010690000000002</v>
      </c>
      <c r="J64">
        <v>0.53403500000000004</v>
      </c>
      <c r="K64">
        <v>7.1601179999999998</v>
      </c>
      <c r="L64">
        <v>0.2772</v>
      </c>
      <c r="M64">
        <v>5.4565830000000002</v>
      </c>
      <c r="N64">
        <v>0.40040500000000001</v>
      </c>
      <c r="O64">
        <v>4.5373539999999997</v>
      </c>
      <c r="P64">
        <v>0.32225999999999999</v>
      </c>
      <c r="Q64" t="s">
        <v>90</v>
      </c>
    </row>
    <row r="65" spans="1:17" x14ac:dyDescent="0.6">
      <c r="A65" t="s">
        <v>286</v>
      </c>
      <c r="B65">
        <v>10</v>
      </c>
      <c r="C65" t="s">
        <v>92</v>
      </c>
      <c r="D65" t="s">
        <v>181</v>
      </c>
      <c r="E65" t="str">
        <f>"3."&amp;D65</f>
        <v>3.Macro + Sentiment (Direct)</v>
      </c>
      <c r="F65">
        <v>1</v>
      </c>
      <c r="G65" t="s">
        <v>287</v>
      </c>
      <c r="H65">
        <v>8.7417267816007804</v>
      </c>
      <c r="I65">
        <v>7.0436178354116503</v>
      </c>
      <c r="J65">
        <v>0.53711320218132896</v>
      </c>
      <c r="K65">
        <v>7.3240493936454198</v>
      </c>
      <c r="L65">
        <v>0.28785570432778401</v>
      </c>
      <c r="M65">
        <v>5.6368057115942998</v>
      </c>
      <c r="N65">
        <v>0.412695655369684</v>
      </c>
      <c r="O65">
        <v>4.53826904296875</v>
      </c>
      <c r="P65">
        <v>0.33392464952547701</v>
      </c>
      <c r="Q65" t="s">
        <v>90</v>
      </c>
    </row>
    <row r="66" spans="1:17" x14ac:dyDescent="0.6">
      <c r="A66" t="s">
        <v>288</v>
      </c>
      <c r="B66">
        <v>10</v>
      </c>
      <c r="C66" t="s">
        <v>92</v>
      </c>
      <c r="D66" t="s">
        <v>184</v>
      </c>
      <c r="E66" t="str">
        <f>"7."&amp;D66</f>
        <v>7.Macro + Event + Sentiment (Indirect)</v>
      </c>
      <c r="F66">
        <v>1</v>
      </c>
      <c r="G66" t="s">
        <v>289</v>
      </c>
      <c r="H66">
        <v>8.6892678331759594</v>
      </c>
      <c r="I66">
        <v>6.9507208546542101</v>
      </c>
      <c r="J66">
        <v>0.53019032485938</v>
      </c>
      <c r="K66">
        <v>7.1144293692079899</v>
      </c>
      <c r="L66">
        <v>0.27191211582091102</v>
      </c>
      <c r="M66">
        <v>5.4626734910812997</v>
      </c>
      <c r="N66">
        <v>0.40014168768384201</v>
      </c>
      <c r="O66">
        <v>4.538330078125</v>
      </c>
      <c r="P66">
        <v>0.33446566785680998</v>
      </c>
      <c r="Q66" t="s">
        <v>90</v>
      </c>
    </row>
    <row r="67" spans="1:17" x14ac:dyDescent="0.6">
      <c r="A67" t="s">
        <v>290</v>
      </c>
      <c r="B67">
        <v>10</v>
      </c>
      <c r="C67" t="s">
        <v>99</v>
      </c>
      <c r="D67" t="s">
        <v>174</v>
      </c>
      <c r="E67" t="str">
        <f>"5."&amp;D67</f>
        <v>5.Macro + Sentiment (Both)</v>
      </c>
      <c r="F67">
        <v>1</v>
      </c>
      <c r="G67" t="s">
        <v>291</v>
      </c>
      <c r="H67">
        <v>8.6969158325653009</v>
      </c>
      <c r="I67">
        <v>6.9835352372619699</v>
      </c>
      <c r="J67">
        <v>0.53245905782361003</v>
      </c>
      <c r="K67">
        <v>7.1505132348518501</v>
      </c>
      <c r="L67">
        <v>0.27492379312021997</v>
      </c>
      <c r="M67">
        <v>5.4828005090224003</v>
      </c>
      <c r="N67">
        <v>0.40173450713105502</v>
      </c>
      <c r="O67">
        <v>4.5423583984375</v>
      </c>
      <c r="P67">
        <v>0.33483871097600898</v>
      </c>
      <c r="Q67" t="s">
        <v>90</v>
      </c>
    </row>
    <row r="68" spans="1:17" x14ac:dyDescent="0.6">
      <c r="A68" t="s">
        <v>292</v>
      </c>
      <c r="B68">
        <v>60</v>
      </c>
      <c r="C68" t="s">
        <v>92</v>
      </c>
      <c r="D68" t="s">
        <v>174</v>
      </c>
      <c r="E68" t="str">
        <f>"5."&amp;D68</f>
        <v>5.Macro + Sentiment (Both)</v>
      </c>
      <c r="F68">
        <v>1</v>
      </c>
      <c r="G68" t="s">
        <v>293</v>
      </c>
      <c r="H68">
        <v>8.49040396667273</v>
      </c>
      <c r="I68">
        <v>6.8740471640785898</v>
      </c>
      <c r="J68">
        <v>0.53151831782648795</v>
      </c>
      <c r="K68">
        <v>7.2218359378050501</v>
      </c>
      <c r="L68">
        <v>0.27811566327297099</v>
      </c>
      <c r="M68">
        <v>5.5552395907315297</v>
      </c>
      <c r="N68">
        <v>0.40468382117809298</v>
      </c>
      <c r="O68">
        <v>4.5439453125</v>
      </c>
      <c r="P68">
        <v>0.32296682360331902</v>
      </c>
      <c r="Q68" t="s">
        <v>135</v>
      </c>
    </row>
    <row r="69" spans="1:17" x14ac:dyDescent="0.6">
      <c r="A69" t="s">
        <v>295</v>
      </c>
      <c r="B69">
        <v>60</v>
      </c>
      <c r="C69" t="s">
        <v>99</v>
      </c>
      <c r="D69" t="s">
        <v>167</v>
      </c>
      <c r="E69" t="str">
        <f>"6."&amp;D69</f>
        <v>6.Macro + Event + Sentiment (Direct)</v>
      </c>
      <c r="F69">
        <v>1</v>
      </c>
      <c r="G69" t="s">
        <v>296</v>
      </c>
      <c r="H69">
        <v>8.4716959841539907</v>
      </c>
      <c r="I69">
        <v>6.9035548954219603</v>
      </c>
      <c r="J69">
        <v>0.53369907078776402</v>
      </c>
      <c r="K69">
        <v>7.5261966030566798</v>
      </c>
      <c r="L69">
        <v>0.30075816706513203</v>
      </c>
      <c r="M69">
        <v>5.8170013427734304</v>
      </c>
      <c r="N69">
        <v>0.42313114491598802</v>
      </c>
      <c r="O69">
        <v>4.54693603515625</v>
      </c>
      <c r="P69">
        <v>0.333240543257804</v>
      </c>
      <c r="Q69" t="s">
        <v>135</v>
      </c>
    </row>
    <row r="70" spans="1:17" x14ac:dyDescent="0.6">
      <c r="A70" t="s">
        <v>297</v>
      </c>
      <c r="B70">
        <v>90</v>
      </c>
      <c r="C70" t="s">
        <v>99</v>
      </c>
      <c r="D70" t="s">
        <v>177</v>
      </c>
      <c r="E70" t="str">
        <f>"8."&amp;D70</f>
        <v>8.Macro + Event + Sentiment (Both)</v>
      </c>
      <c r="F70">
        <v>1</v>
      </c>
      <c r="G70" t="s">
        <v>298</v>
      </c>
      <c r="H70">
        <v>6.8478510732589397</v>
      </c>
      <c r="I70">
        <v>5.4573197798295396</v>
      </c>
      <c r="J70">
        <v>0.42557160301583902</v>
      </c>
      <c r="K70">
        <v>7.27547183561824</v>
      </c>
      <c r="L70">
        <v>0.282565962582701</v>
      </c>
      <c r="M70">
        <v>5.5001103649400598</v>
      </c>
      <c r="N70">
        <v>0.40045828507755399</v>
      </c>
      <c r="O70">
        <v>4.55108642578125</v>
      </c>
      <c r="P70">
        <v>0.33052569690646999</v>
      </c>
      <c r="Q70" t="s">
        <v>114</v>
      </c>
    </row>
    <row r="71" spans="1:17" x14ac:dyDescent="0.6">
      <c r="A71" t="s">
        <v>299</v>
      </c>
      <c r="B71">
        <v>10</v>
      </c>
      <c r="C71" t="s">
        <v>6</v>
      </c>
      <c r="D71" t="s">
        <v>8</v>
      </c>
      <c r="E71" t="str">
        <f>"2."&amp;D71</f>
        <v>2.Macro + Event</v>
      </c>
      <c r="F71">
        <v>1</v>
      </c>
      <c r="G71" t="s">
        <v>119</v>
      </c>
      <c r="H71" s="13">
        <v>8.6998498845051593</v>
      </c>
      <c r="I71" s="13">
        <v>6.9260883129919604</v>
      </c>
      <c r="J71" s="13">
        <v>0.528211974005666</v>
      </c>
      <c r="K71" s="13">
        <v>7.1650203889964903</v>
      </c>
      <c r="L71">
        <v>0.27673687531393298</v>
      </c>
      <c r="M71" s="13">
        <v>5.4374060166620497</v>
      </c>
      <c r="N71" s="13">
        <v>0.39856606711291298</v>
      </c>
      <c r="O71">
        <v>4.5518798828125</v>
      </c>
      <c r="P71" s="13">
        <v>0.340928896822143</v>
      </c>
      <c r="Q71" t="s">
        <v>90</v>
      </c>
    </row>
    <row r="72" spans="1:17" x14ac:dyDescent="0.6">
      <c r="A72" t="s">
        <v>300</v>
      </c>
      <c r="B72">
        <v>20</v>
      </c>
      <c r="C72" t="s">
        <v>99</v>
      </c>
      <c r="D72" t="s">
        <v>167</v>
      </c>
      <c r="E72" t="str">
        <f>"6."&amp;D72</f>
        <v>6.Macro + Event + Sentiment (Direct)</v>
      </c>
      <c r="F72">
        <v>1</v>
      </c>
      <c r="G72" t="s">
        <v>301</v>
      </c>
      <c r="H72">
        <v>8.6363696308858504</v>
      </c>
      <c r="I72">
        <v>6.8875861789869202</v>
      </c>
      <c r="J72">
        <v>0.52511405477070205</v>
      </c>
      <c r="K72">
        <v>7.1612871983724</v>
      </c>
      <c r="L72">
        <v>0.27517145078420396</v>
      </c>
      <c r="M72">
        <v>5.4898941605179399</v>
      </c>
      <c r="N72">
        <v>0.40188889105581199</v>
      </c>
      <c r="O72">
        <v>4.55364990234375</v>
      </c>
      <c r="P72">
        <v>0.33393389987949201</v>
      </c>
      <c r="Q72" t="s">
        <v>90</v>
      </c>
    </row>
    <row r="73" spans="1:17" x14ac:dyDescent="0.6">
      <c r="A73" t="s">
        <v>302</v>
      </c>
      <c r="B73">
        <v>10</v>
      </c>
      <c r="C73" t="s">
        <v>99</v>
      </c>
      <c r="D73" t="s">
        <v>177</v>
      </c>
      <c r="E73" t="str">
        <f>"8."&amp;D73</f>
        <v>8.Macro + Event + Sentiment (Both)</v>
      </c>
      <c r="F73">
        <v>1</v>
      </c>
      <c r="G73" t="s">
        <v>303</v>
      </c>
      <c r="H73">
        <v>8.7796463880079099</v>
      </c>
      <c r="I73">
        <v>7.02080106663308</v>
      </c>
      <c r="J73">
        <v>0.535381899828684</v>
      </c>
      <c r="K73">
        <v>7.0347555566359796</v>
      </c>
      <c r="L73">
        <v>0.26633654876893803</v>
      </c>
      <c r="M73">
        <v>5.4116259549571302</v>
      </c>
      <c r="N73">
        <v>0.39669362694722199</v>
      </c>
      <c r="O73">
        <v>4.5540771484375</v>
      </c>
      <c r="P73">
        <v>0.34145180350545601</v>
      </c>
      <c r="Q73" t="s">
        <v>90</v>
      </c>
    </row>
    <row r="74" spans="1:17" x14ac:dyDescent="0.6">
      <c r="A74" t="s">
        <v>304</v>
      </c>
      <c r="B74">
        <v>60</v>
      </c>
      <c r="C74" t="s">
        <v>6</v>
      </c>
      <c r="D74" t="s">
        <v>171</v>
      </c>
      <c r="E74" t="str">
        <f>"4."&amp;D74</f>
        <v>4.Macro + Sentiment (Indirect)</v>
      </c>
      <c r="F74">
        <v>1</v>
      </c>
      <c r="G74" t="s">
        <v>305</v>
      </c>
      <c r="H74">
        <v>8.4940685447783704</v>
      </c>
      <c r="I74">
        <v>6.8555690220424097</v>
      </c>
      <c r="J74">
        <v>0.53014016009416098</v>
      </c>
      <c r="K74">
        <v>7.2983879602909001</v>
      </c>
      <c r="L74">
        <v>0.28452423644074898</v>
      </c>
      <c r="M74">
        <v>5.5746695778586597</v>
      </c>
      <c r="N74">
        <v>0.40629008060014399</v>
      </c>
      <c r="O74">
        <v>4.55950927734375</v>
      </c>
      <c r="P74">
        <v>0.32931139820038002</v>
      </c>
      <c r="Q74" t="s">
        <v>135</v>
      </c>
    </row>
    <row r="75" spans="1:17" x14ac:dyDescent="0.6">
      <c r="A75" t="s">
        <v>306</v>
      </c>
      <c r="B75">
        <v>20</v>
      </c>
      <c r="C75" t="s">
        <v>92</v>
      </c>
      <c r="D75" t="s">
        <v>171</v>
      </c>
      <c r="E75" t="str">
        <f>"4."&amp;D75</f>
        <v>4.Macro + Sentiment (Indirect)</v>
      </c>
      <c r="F75">
        <v>1</v>
      </c>
      <c r="G75" t="s">
        <v>307</v>
      </c>
      <c r="H75">
        <v>8.7480509366573997</v>
      </c>
      <c r="I75">
        <v>7.0606225055197003</v>
      </c>
      <c r="J75">
        <v>0.53903426797945297</v>
      </c>
      <c r="K75">
        <v>7.11102264362958</v>
      </c>
      <c r="L75">
        <v>0.27045961098927301</v>
      </c>
      <c r="M75">
        <v>5.5107970061125497</v>
      </c>
      <c r="N75">
        <v>0.40300740674883101</v>
      </c>
      <c r="O75">
        <v>4.56024169921875</v>
      </c>
      <c r="P75">
        <v>0.33683021487401099</v>
      </c>
      <c r="Q75" t="s">
        <v>90</v>
      </c>
    </row>
    <row r="76" spans="1:17" x14ac:dyDescent="0.6">
      <c r="A76" t="s">
        <v>308</v>
      </c>
      <c r="B76">
        <v>5</v>
      </c>
      <c r="C76" t="s">
        <v>9</v>
      </c>
      <c r="D76" t="s">
        <v>8</v>
      </c>
      <c r="E76" t="str">
        <f>"2."&amp;D76</f>
        <v>2.Macro + Event</v>
      </c>
      <c r="F76">
        <v>1</v>
      </c>
      <c r="G76" t="s">
        <v>149</v>
      </c>
      <c r="H76">
        <v>8.7686811137446092</v>
      </c>
      <c r="I76" s="13">
        <v>7.10564446403641</v>
      </c>
      <c r="J76">
        <v>0.54185787204528801</v>
      </c>
      <c r="K76" s="13">
        <v>7.4566945306430696</v>
      </c>
      <c r="L76">
        <v>0.29974140145656802</v>
      </c>
      <c r="M76" s="13">
        <v>5.6596484163622804</v>
      </c>
      <c r="N76" s="13">
        <v>0.41482800306756601</v>
      </c>
      <c r="O76">
        <v>4.5623779296875</v>
      </c>
      <c r="P76" s="13">
        <v>0.33639218466642101</v>
      </c>
      <c r="Q76" t="s">
        <v>90</v>
      </c>
    </row>
    <row r="77" spans="1:17" x14ac:dyDescent="0.6">
      <c r="A77" t="s">
        <v>309</v>
      </c>
      <c r="B77">
        <v>20</v>
      </c>
      <c r="C77" t="s">
        <v>9</v>
      </c>
      <c r="D77" t="s">
        <v>167</v>
      </c>
      <c r="E77" t="str">
        <f>"6."&amp;D77</f>
        <v>6.Macro + Event + Sentiment (Direct)</v>
      </c>
      <c r="F77">
        <v>1</v>
      </c>
      <c r="G77" t="s">
        <v>222</v>
      </c>
      <c r="H77">
        <v>8.8094905218660902</v>
      </c>
      <c r="I77">
        <v>7.0368936836262099</v>
      </c>
      <c r="J77">
        <v>0.53704858585729298</v>
      </c>
      <c r="K77">
        <v>7.11096777510273</v>
      </c>
      <c r="L77">
        <v>0.27237505233505299</v>
      </c>
      <c r="M77">
        <v>5.4359684696903896</v>
      </c>
      <c r="N77">
        <v>0.39841509470096897</v>
      </c>
      <c r="O77">
        <v>4.56512451171875</v>
      </c>
      <c r="P77">
        <v>0.33613208379807002</v>
      </c>
      <c r="Q77" t="s">
        <v>90</v>
      </c>
    </row>
    <row r="78" spans="1:17" x14ac:dyDescent="0.6">
      <c r="A78" t="s">
        <v>310</v>
      </c>
      <c r="B78">
        <v>30</v>
      </c>
      <c r="C78" t="s">
        <v>92</v>
      </c>
      <c r="D78" t="s">
        <v>184</v>
      </c>
      <c r="E78" t="str">
        <f>"7."&amp;D78</f>
        <v>7.Macro + Event + Sentiment (Indirect)</v>
      </c>
      <c r="F78">
        <v>1</v>
      </c>
      <c r="G78" t="s">
        <v>311</v>
      </c>
      <c r="H78">
        <v>8.8876052006916098</v>
      </c>
      <c r="I78">
        <v>7.1266485652169598</v>
      </c>
      <c r="J78">
        <v>0.54456591613799299</v>
      </c>
      <c r="K78">
        <v>7.1172234829598802</v>
      </c>
      <c r="L78">
        <v>0.27072464319089101</v>
      </c>
      <c r="M78">
        <v>5.52747707922481</v>
      </c>
      <c r="N78">
        <v>0.40387515896133003</v>
      </c>
      <c r="O78">
        <v>4.5657958984375</v>
      </c>
      <c r="P78">
        <v>0.33906506811703802</v>
      </c>
      <c r="Q78" t="s">
        <v>93</v>
      </c>
    </row>
    <row r="79" spans="1:17" x14ac:dyDescent="0.6">
      <c r="A79" t="s">
        <v>313</v>
      </c>
      <c r="B79">
        <v>20</v>
      </c>
      <c r="C79" t="s">
        <v>92</v>
      </c>
      <c r="D79" t="s">
        <v>167</v>
      </c>
      <c r="E79" t="str">
        <f>"6."&amp;D79</f>
        <v>6.Macro + Event + Sentiment (Direct)</v>
      </c>
      <c r="F79">
        <v>1</v>
      </c>
      <c r="G79" t="s">
        <v>314</v>
      </c>
      <c r="H79">
        <v>8.7462042517339906</v>
      </c>
      <c r="I79">
        <v>7.0215200048578303</v>
      </c>
      <c r="J79">
        <v>0.53594185558896901</v>
      </c>
      <c r="K79">
        <v>7.14243675510592</v>
      </c>
      <c r="L79">
        <v>0.27479675092599704</v>
      </c>
      <c r="M79">
        <v>5.4602005570023104</v>
      </c>
      <c r="N79">
        <v>0.40006828213264201</v>
      </c>
      <c r="O79">
        <v>4.569091796875</v>
      </c>
      <c r="P79">
        <v>0.33754101867953701</v>
      </c>
      <c r="Q79" t="s">
        <v>90</v>
      </c>
    </row>
    <row r="80" spans="1:17" x14ac:dyDescent="0.6">
      <c r="A80" t="s">
        <v>315</v>
      </c>
      <c r="B80">
        <v>60</v>
      </c>
      <c r="C80" t="s">
        <v>92</v>
      </c>
      <c r="D80" t="s">
        <v>181</v>
      </c>
      <c r="E80" t="str">
        <f>"3."&amp;D80</f>
        <v>3.Macro + Sentiment (Direct)</v>
      </c>
      <c r="F80">
        <v>1</v>
      </c>
      <c r="G80" t="s">
        <v>316</v>
      </c>
      <c r="H80">
        <v>8.4018568857261702</v>
      </c>
      <c r="I80">
        <v>6.7900419968825103</v>
      </c>
      <c r="J80">
        <v>0.525017514556535</v>
      </c>
      <c r="K80">
        <v>7.2727806369377204</v>
      </c>
      <c r="L80">
        <v>0.28212038522991301</v>
      </c>
      <c r="M80">
        <v>5.5981438376686699</v>
      </c>
      <c r="N80">
        <v>0.40785071761014302</v>
      </c>
      <c r="O80">
        <v>4.57183837890625</v>
      </c>
      <c r="P80">
        <v>0.32702967170194602</v>
      </c>
      <c r="Q80" t="s">
        <v>135</v>
      </c>
    </row>
    <row r="81" spans="1:17" x14ac:dyDescent="0.6">
      <c r="A81" t="s">
        <v>317</v>
      </c>
      <c r="B81">
        <v>20</v>
      </c>
      <c r="C81" t="s">
        <v>92</v>
      </c>
      <c r="D81" t="s">
        <v>7</v>
      </c>
      <c r="E81" t="str">
        <f>"1."&amp;D81</f>
        <v>1.Macro Only</v>
      </c>
      <c r="F81">
        <v>1</v>
      </c>
      <c r="G81" t="s">
        <v>96</v>
      </c>
      <c r="H81">
        <v>8.6380149999999993</v>
      </c>
      <c r="I81">
        <v>6.9175190000000004</v>
      </c>
      <c r="J81">
        <v>0.52787499999999998</v>
      </c>
      <c r="K81">
        <v>6.9952860000000001</v>
      </c>
      <c r="L81">
        <v>0.26189999999999997</v>
      </c>
      <c r="M81">
        <v>5.434768</v>
      </c>
      <c r="N81">
        <v>0.39750799999999997</v>
      </c>
      <c r="O81">
        <v>4.5741579999999997</v>
      </c>
      <c r="P81">
        <v>0.33750200000000002</v>
      </c>
      <c r="Q81" t="s">
        <v>90</v>
      </c>
    </row>
    <row r="82" spans="1:17" x14ac:dyDescent="0.6">
      <c r="A82" t="s">
        <v>318</v>
      </c>
      <c r="B82">
        <v>30</v>
      </c>
      <c r="C82" t="s">
        <v>92</v>
      </c>
      <c r="D82" t="s">
        <v>181</v>
      </c>
      <c r="E82" t="str">
        <f>"3."&amp;D82</f>
        <v>3.Macro + Sentiment (Direct)</v>
      </c>
      <c r="F82">
        <v>1</v>
      </c>
      <c r="G82" t="s">
        <v>319</v>
      </c>
      <c r="H82">
        <v>8.8286384769697701</v>
      </c>
      <c r="I82">
        <v>7.1123927752444196</v>
      </c>
      <c r="J82">
        <v>0.54354837608127304</v>
      </c>
      <c r="K82">
        <v>7.0190722212188703</v>
      </c>
      <c r="L82">
        <v>0.26330249171709502</v>
      </c>
      <c r="M82">
        <v>5.4377097713137097</v>
      </c>
      <c r="N82">
        <v>0.39732566509155598</v>
      </c>
      <c r="O82">
        <v>4.574951171875</v>
      </c>
      <c r="P82">
        <v>0.33985430337163303</v>
      </c>
      <c r="Q82" t="s">
        <v>93</v>
      </c>
    </row>
    <row r="83" spans="1:17" x14ac:dyDescent="0.6">
      <c r="A83" t="s">
        <v>320</v>
      </c>
      <c r="B83">
        <v>30</v>
      </c>
      <c r="C83" t="s">
        <v>92</v>
      </c>
      <c r="D83" t="s">
        <v>174</v>
      </c>
      <c r="E83" t="str">
        <f>"5."&amp;D83</f>
        <v>5.Macro + Sentiment (Both)</v>
      </c>
      <c r="F83">
        <v>1</v>
      </c>
      <c r="G83" t="s">
        <v>321</v>
      </c>
      <c r="H83">
        <v>8.8781800499383596</v>
      </c>
      <c r="I83">
        <v>7.0758887083215596</v>
      </c>
      <c r="J83">
        <v>0.54072546738471206</v>
      </c>
      <c r="K83">
        <v>7.1899717330638797</v>
      </c>
      <c r="L83">
        <v>0.27610018474900799</v>
      </c>
      <c r="M83">
        <v>5.5557754664745103</v>
      </c>
      <c r="N83">
        <v>0.40580977528451001</v>
      </c>
      <c r="O83">
        <v>4.5750732421875</v>
      </c>
      <c r="P83">
        <v>0.33253939713965402</v>
      </c>
      <c r="Q83" t="s">
        <v>93</v>
      </c>
    </row>
    <row r="84" spans="1:17" x14ac:dyDescent="0.6">
      <c r="A84" t="s">
        <v>322</v>
      </c>
      <c r="B84">
        <v>10</v>
      </c>
      <c r="C84" t="s">
        <v>6</v>
      </c>
      <c r="D84" t="s">
        <v>171</v>
      </c>
      <c r="E84" t="str">
        <f>"4."&amp;D84</f>
        <v>4.Macro + Sentiment (Indirect)</v>
      </c>
      <c r="F84">
        <v>1</v>
      </c>
      <c r="G84" t="s">
        <v>323</v>
      </c>
      <c r="H84">
        <v>8.6859667825487197</v>
      </c>
      <c r="I84">
        <v>7.0093179878246303</v>
      </c>
      <c r="J84">
        <v>0.534257365771031</v>
      </c>
      <c r="K84">
        <v>7.1183904958475903</v>
      </c>
      <c r="L84">
        <v>0.27302164530911099</v>
      </c>
      <c r="M84">
        <v>5.4122206426299702</v>
      </c>
      <c r="N84">
        <v>0.39672678093519198</v>
      </c>
      <c r="O84">
        <v>4.5758056640625</v>
      </c>
      <c r="P84">
        <v>0.33306774829501401</v>
      </c>
      <c r="Q84" t="s">
        <v>90</v>
      </c>
    </row>
    <row r="85" spans="1:17" x14ac:dyDescent="0.6">
      <c r="A85" t="s">
        <v>324</v>
      </c>
      <c r="B85">
        <v>90</v>
      </c>
      <c r="C85" t="s">
        <v>9</v>
      </c>
      <c r="D85" t="s">
        <v>181</v>
      </c>
      <c r="E85" t="str">
        <f>"3."&amp;D85</f>
        <v>3.Macro + Sentiment (Direct)</v>
      </c>
      <c r="F85">
        <v>1</v>
      </c>
      <c r="G85" t="s">
        <v>325</v>
      </c>
      <c r="H85">
        <v>6.8540104788679903</v>
      </c>
      <c r="I85">
        <v>5.4921227657433702</v>
      </c>
      <c r="J85">
        <v>0.42855585400815499</v>
      </c>
      <c r="K85">
        <v>7.3002686812319801</v>
      </c>
      <c r="L85">
        <v>0.28381473938234897</v>
      </c>
      <c r="M85">
        <v>5.6132185426476804</v>
      </c>
      <c r="N85">
        <v>0.40838073431003002</v>
      </c>
      <c r="O85">
        <v>4.57684326171875</v>
      </c>
      <c r="P85">
        <v>0.33887917514724097</v>
      </c>
      <c r="Q85" t="s">
        <v>114</v>
      </c>
    </row>
    <row r="86" spans="1:17" x14ac:dyDescent="0.6">
      <c r="A86" t="s">
        <v>326</v>
      </c>
      <c r="B86">
        <v>5</v>
      </c>
      <c r="C86" t="s">
        <v>92</v>
      </c>
      <c r="D86" t="s">
        <v>174</v>
      </c>
      <c r="E86" t="str">
        <f>"5."&amp;D86</f>
        <v>5.Macro + Sentiment (Both)</v>
      </c>
      <c r="F86">
        <v>1</v>
      </c>
      <c r="G86" t="s">
        <v>327</v>
      </c>
      <c r="H86">
        <v>8.7010188031686404</v>
      </c>
      <c r="I86">
        <v>6.92827637900829</v>
      </c>
      <c r="J86">
        <v>0.528763146314432</v>
      </c>
      <c r="K86">
        <v>7.1141418810141799</v>
      </c>
      <c r="L86">
        <v>0.273386748032167</v>
      </c>
      <c r="M86">
        <v>5.41463374678706</v>
      </c>
      <c r="N86">
        <v>0.39730070136442702</v>
      </c>
      <c r="O86">
        <v>4.57861328125</v>
      </c>
      <c r="P86">
        <v>0.337547252488202</v>
      </c>
      <c r="Q86" t="s">
        <v>90</v>
      </c>
    </row>
    <row r="87" spans="1:17" x14ac:dyDescent="0.6">
      <c r="A87" t="s">
        <v>328</v>
      </c>
      <c r="B87">
        <v>5</v>
      </c>
      <c r="C87" t="s">
        <v>92</v>
      </c>
      <c r="D87" t="s">
        <v>167</v>
      </c>
      <c r="E87" t="str">
        <f>"6."&amp;D87</f>
        <v>6.Macro + Event + Sentiment (Direct)</v>
      </c>
      <c r="F87">
        <v>1</v>
      </c>
      <c r="G87" t="s">
        <v>329</v>
      </c>
      <c r="H87">
        <v>8.7106011131815908</v>
      </c>
      <c r="I87">
        <v>6.9257101465514497</v>
      </c>
      <c r="J87">
        <v>0.52840618990675503</v>
      </c>
      <c r="K87">
        <v>7.2003101793619901</v>
      </c>
      <c r="L87">
        <v>0.279518293146295</v>
      </c>
      <c r="M87">
        <v>5.5028461935200204</v>
      </c>
      <c r="N87">
        <v>0.40349583544158601</v>
      </c>
      <c r="O87">
        <v>4.5789794921875</v>
      </c>
      <c r="P87">
        <v>0.33384713386783299</v>
      </c>
      <c r="Q87" t="s">
        <v>90</v>
      </c>
    </row>
    <row r="88" spans="1:17" x14ac:dyDescent="0.6">
      <c r="A88" t="s">
        <v>330</v>
      </c>
      <c r="B88">
        <v>20</v>
      </c>
      <c r="C88" t="s">
        <v>6</v>
      </c>
      <c r="D88" t="s">
        <v>177</v>
      </c>
      <c r="E88" t="str">
        <f>"8."&amp;D88</f>
        <v>8.Macro + Event + Sentiment (Both)</v>
      </c>
      <c r="F88">
        <v>1</v>
      </c>
      <c r="G88" t="s">
        <v>241</v>
      </c>
      <c r="H88">
        <v>8.62597069525774</v>
      </c>
      <c r="I88">
        <v>6.9867054580727501</v>
      </c>
      <c r="J88">
        <v>0.533187913773151</v>
      </c>
      <c r="K88">
        <v>7.0982164798794098</v>
      </c>
      <c r="L88">
        <v>0.27056113563087503</v>
      </c>
      <c r="M88">
        <v>5.4513521547670702</v>
      </c>
      <c r="N88">
        <v>0.39902484939343502</v>
      </c>
      <c r="O88">
        <v>4.579345703125</v>
      </c>
      <c r="P88">
        <v>0.33867770544092501</v>
      </c>
      <c r="Q88" t="s">
        <v>90</v>
      </c>
    </row>
    <row r="89" spans="1:17" x14ac:dyDescent="0.6">
      <c r="A89" t="s">
        <v>331</v>
      </c>
      <c r="B89">
        <v>60</v>
      </c>
      <c r="C89" t="s">
        <v>6</v>
      </c>
      <c r="D89" t="s">
        <v>174</v>
      </c>
      <c r="E89" t="str">
        <f>"5."&amp;D89</f>
        <v>5.Macro + Sentiment (Both)</v>
      </c>
      <c r="F89">
        <v>1</v>
      </c>
      <c r="G89" t="s">
        <v>332</v>
      </c>
      <c r="H89">
        <v>8.4311464323307206</v>
      </c>
      <c r="I89">
        <v>6.8278109372317104</v>
      </c>
      <c r="J89">
        <v>0.52782900384500098</v>
      </c>
      <c r="K89">
        <v>7.2240690135218202</v>
      </c>
      <c r="L89">
        <v>0.27833894285856098</v>
      </c>
      <c r="M89">
        <v>5.5348531549627102</v>
      </c>
      <c r="N89">
        <v>0.40327618146645799</v>
      </c>
      <c r="O89">
        <v>4.58013916015625</v>
      </c>
      <c r="P89">
        <v>0.33618222172953</v>
      </c>
      <c r="Q89" t="s">
        <v>135</v>
      </c>
    </row>
    <row r="90" spans="1:17" x14ac:dyDescent="0.6">
      <c r="A90" t="s">
        <v>333</v>
      </c>
      <c r="B90">
        <v>10</v>
      </c>
      <c r="C90" t="s">
        <v>9</v>
      </c>
      <c r="D90" t="s">
        <v>7</v>
      </c>
      <c r="E90" t="str">
        <f>"1."&amp;D90</f>
        <v>1.Macro Only</v>
      </c>
      <c r="F90">
        <v>1</v>
      </c>
      <c r="G90" t="s">
        <v>121</v>
      </c>
      <c r="H90" s="13">
        <v>8.7049245325305602</v>
      </c>
      <c r="I90" s="13">
        <v>6.9094022632903798</v>
      </c>
      <c r="J90" s="13">
        <v>0.52690443855720204</v>
      </c>
      <c r="K90" s="13">
        <v>7.1804869378807403</v>
      </c>
      <c r="L90">
        <v>0.27834729912177703</v>
      </c>
      <c r="M90" s="13">
        <v>5.4466844406802997</v>
      </c>
      <c r="N90" s="13">
        <v>0.39956306720509099</v>
      </c>
      <c r="O90">
        <v>4.5809326171875</v>
      </c>
      <c r="P90" s="13">
        <v>0.33484432489892202</v>
      </c>
      <c r="Q90" t="s">
        <v>90</v>
      </c>
    </row>
    <row r="91" spans="1:17" x14ac:dyDescent="0.6">
      <c r="A91" t="s">
        <v>335</v>
      </c>
      <c r="B91">
        <v>5</v>
      </c>
      <c r="C91" t="s">
        <v>92</v>
      </c>
      <c r="D91" t="s">
        <v>184</v>
      </c>
      <c r="E91" t="str">
        <f>"7."&amp;D91</f>
        <v>7.Macro + Event + Sentiment (Indirect)</v>
      </c>
      <c r="F91">
        <v>1</v>
      </c>
      <c r="G91" t="s">
        <v>336</v>
      </c>
      <c r="H91">
        <v>8.7201510159699005</v>
      </c>
      <c r="I91">
        <v>6.9923395140323201</v>
      </c>
      <c r="J91">
        <v>0.53357635086669797</v>
      </c>
      <c r="K91">
        <v>7.1642622091801202</v>
      </c>
      <c r="L91">
        <v>0.27686743245772699</v>
      </c>
      <c r="M91">
        <v>5.4519497429653603</v>
      </c>
      <c r="N91">
        <v>0.399856116622542</v>
      </c>
      <c r="O91">
        <v>4.584228515625</v>
      </c>
      <c r="P91">
        <v>0.33526829187583401</v>
      </c>
      <c r="Q91" t="s">
        <v>90</v>
      </c>
    </row>
    <row r="92" spans="1:17" x14ac:dyDescent="0.6">
      <c r="A92" t="s">
        <v>337</v>
      </c>
      <c r="B92">
        <v>5</v>
      </c>
      <c r="C92" t="s">
        <v>6</v>
      </c>
      <c r="D92" t="s">
        <v>174</v>
      </c>
      <c r="E92" t="str">
        <f>"5."&amp;D92</f>
        <v>5.Macro + Sentiment (Both)</v>
      </c>
      <c r="F92">
        <v>1</v>
      </c>
      <c r="G92" t="s">
        <v>338</v>
      </c>
      <c r="H92">
        <v>8.7132447647258306</v>
      </c>
      <c r="I92">
        <v>6.9792566925485202</v>
      </c>
      <c r="J92">
        <v>0.53241565917077505</v>
      </c>
      <c r="K92">
        <v>7.1018774055388798</v>
      </c>
      <c r="L92">
        <v>0.271599973188346</v>
      </c>
      <c r="M92">
        <v>5.4605311274012402</v>
      </c>
      <c r="N92">
        <v>0.40031509518429098</v>
      </c>
      <c r="O92">
        <v>4.5845947265625</v>
      </c>
      <c r="P92">
        <v>0.34339883370237401</v>
      </c>
      <c r="Q92" t="s">
        <v>90</v>
      </c>
    </row>
    <row r="93" spans="1:17" x14ac:dyDescent="0.6">
      <c r="A93" t="s">
        <v>339</v>
      </c>
      <c r="B93">
        <v>90</v>
      </c>
      <c r="C93" t="s">
        <v>99</v>
      </c>
      <c r="D93" t="s">
        <v>184</v>
      </c>
      <c r="E93" t="str">
        <f>"7."&amp;D93</f>
        <v>7.Macro + Event + Sentiment (Indirect)</v>
      </c>
      <c r="F93">
        <v>1</v>
      </c>
      <c r="G93" t="s">
        <v>340</v>
      </c>
      <c r="H93">
        <v>6.9923286285821904</v>
      </c>
      <c r="I93">
        <v>5.5405791311553001</v>
      </c>
      <c r="J93">
        <v>0.432063225794315</v>
      </c>
      <c r="K93">
        <v>7.4856228089276797</v>
      </c>
      <c r="L93">
        <v>0.29739613142697802</v>
      </c>
      <c r="M93">
        <v>5.7703765451091602</v>
      </c>
      <c r="N93">
        <v>0.41945157428680402</v>
      </c>
      <c r="O93">
        <v>4.5849609375</v>
      </c>
      <c r="P93">
        <v>0.331845705798479</v>
      </c>
      <c r="Q93" t="s">
        <v>114</v>
      </c>
    </row>
    <row r="94" spans="1:17" x14ac:dyDescent="0.6">
      <c r="A94" t="s">
        <v>341</v>
      </c>
      <c r="B94">
        <v>20</v>
      </c>
      <c r="C94" t="s">
        <v>92</v>
      </c>
      <c r="D94" t="s">
        <v>177</v>
      </c>
      <c r="E94" t="str">
        <f>"8."&amp;D94</f>
        <v>8.Macro + Event + Sentiment (Both)</v>
      </c>
      <c r="F94">
        <v>1</v>
      </c>
      <c r="G94" t="s">
        <v>342</v>
      </c>
      <c r="H94">
        <v>8.6778312930772206</v>
      </c>
      <c r="I94">
        <v>6.9673632453469603</v>
      </c>
      <c r="J94">
        <v>0.53165618109395896</v>
      </c>
      <c r="K94">
        <v>7.0545336862258701</v>
      </c>
      <c r="L94">
        <v>0.266284738251296</v>
      </c>
      <c r="M94">
        <v>5.4904400860821703</v>
      </c>
      <c r="N94">
        <v>0.40153060887244801</v>
      </c>
      <c r="O94">
        <v>4.5888671875</v>
      </c>
      <c r="P94">
        <v>0.33780606759429299</v>
      </c>
      <c r="Q94" t="s">
        <v>90</v>
      </c>
    </row>
    <row r="95" spans="1:17" x14ac:dyDescent="0.6">
      <c r="A95" t="s">
        <v>344</v>
      </c>
      <c r="B95">
        <v>5</v>
      </c>
      <c r="C95" t="s">
        <v>92</v>
      </c>
      <c r="D95" t="s">
        <v>181</v>
      </c>
      <c r="E95" t="str">
        <f>"3."&amp;D95</f>
        <v>3.Macro + Sentiment (Direct)</v>
      </c>
      <c r="F95">
        <v>1</v>
      </c>
      <c r="G95" t="s">
        <v>345</v>
      </c>
      <c r="H95">
        <v>8.7027375804305702</v>
      </c>
      <c r="I95">
        <v>6.9667092464942204</v>
      </c>
      <c r="J95">
        <v>0.531494873515858</v>
      </c>
      <c r="K95">
        <v>7.1550957418073704</v>
      </c>
      <c r="L95">
        <v>0.276606947889251</v>
      </c>
      <c r="M95">
        <v>5.4251307367762402</v>
      </c>
      <c r="N95">
        <v>0.39810931920072501</v>
      </c>
      <c r="O95">
        <v>4.591796875</v>
      </c>
      <c r="P95">
        <v>0.338867475828802</v>
      </c>
      <c r="Q95" t="s">
        <v>90</v>
      </c>
    </row>
    <row r="96" spans="1:17" x14ac:dyDescent="0.6">
      <c r="A96" t="s">
        <v>347</v>
      </c>
      <c r="B96">
        <v>20</v>
      </c>
      <c r="C96" t="s">
        <v>6</v>
      </c>
      <c r="D96" t="s">
        <v>171</v>
      </c>
      <c r="E96" t="str">
        <f>"4."&amp;D96</f>
        <v>4.Macro + Sentiment (Indirect)</v>
      </c>
      <c r="F96">
        <v>1</v>
      </c>
      <c r="G96" t="s">
        <v>348</v>
      </c>
      <c r="H96">
        <v>8.6563440098153794</v>
      </c>
      <c r="I96">
        <v>6.9959102152558499</v>
      </c>
      <c r="J96">
        <v>0.53384571083729304</v>
      </c>
      <c r="K96">
        <v>6.9405278475153596</v>
      </c>
      <c r="L96">
        <v>0.25834558266251001</v>
      </c>
      <c r="M96">
        <v>5.3529685691550899</v>
      </c>
      <c r="N96">
        <v>0.391818458960002</v>
      </c>
      <c r="O96">
        <v>4.5950927734375</v>
      </c>
      <c r="P96">
        <v>0.33699677842472803</v>
      </c>
      <c r="Q96" t="s">
        <v>90</v>
      </c>
    </row>
    <row r="97" spans="1:17" x14ac:dyDescent="0.6">
      <c r="A97" t="s">
        <v>349</v>
      </c>
      <c r="B97">
        <v>30</v>
      </c>
      <c r="C97" t="s">
        <v>99</v>
      </c>
      <c r="D97" t="s">
        <v>177</v>
      </c>
      <c r="E97" t="str">
        <f>"8."&amp;D97</f>
        <v>8.Macro + Event + Sentiment (Both)</v>
      </c>
      <c r="F97">
        <v>1</v>
      </c>
      <c r="G97" t="s">
        <v>350</v>
      </c>
      <c r="H97">
        <v>8.8890903154136307</v>
      </c>
      <c r="I97">
        <v>7.1892312758103198</v>
      </c>
      <c r="J97">
        <v>0.54933692930748201</v>
      </c>
      <c r="K97">
        <v>7.0389696100155197</v>
      </c>
      <c r="L97">
        <v>0.26562296626681697</v>
      </c>
      <c r="M97">
        <v>5.4290623340791804</v>
      </c>
      <c r="N97">
        <v>0.39695362614912999</v>
      </c>
      <c r="O97">
        <v>4.595703125</v>
      </c>
      <c r="P97">
        <v>0.33182676581592102</v>
      </c>
      <c r="Q97" t="s">
        <v>93</v>
      </c>
    </row>
    <row r="98" spans="1:17" x14ac:dyDescent="0.6">
      <c r="A98" t="s">
        <v>351</v>
      </c>
      <c r="B98">
        <v>90</v>
      </c>
      <c r="C98" t="s">
        <v>99</v>
      </c>
      <c r="D98" t="s">
        <v>167</v>
      </c>
      <c r="E98" t="str">
        <f>"6."&amp;D98</f>
        <v>6.Macro + Event + Sentiment (Direct)</v>
      </c>
      <c r="F98">
        <v>1</v>
      </c>
      <c r="G98" t="s">
        <v>352</v>
      </c>
      <c r="H98">
        <v>6.9782731030253498</v>
      </c>
      <c r="I98">
        <v>5.5843283913352204</v>
      </c>
      <c r="J98">
        <v>0.43533793074797</v>
      </c>
      <c r="K98">
        <v>7.3829863182899098</v>
      </c>
      <c r="L98">
        <v>0.28935656533454701</v>
      </c>
      <c r="M98">
        <v>5.6978801570526496</v>
      </c>
      <c r="N98">
        <v>0.41419384309034801</v>
      </c>
      <c r="O98">
        <v>4.59844970703125</v>
      </c>
      <c r="P98">
        <v>0.34079479247799399</v>
      </c>
      <c r="Q98" t="s">
        <v>114</v>
      </c>
    </row>
    <row r="99" spans="1:17" x14ac:dyDescent="0.6">
      <c r="A99" t="s">
        <v>353</v>
      </c>
      <c r="B99">
        <v>10</v>
      </c>
      <c r="C99" t="s">
        <v>6</v>
      </c>
      <c r="D99" t="s">
        <v>7</v>
      </c>
      <c r="E99" t="str">
        <f>"1."&amp;D99</f>
        <v>1.Macro Only</v>
      </c>
      <c r="F99">
        <v>1</v>
      </c>
      <c r="G99" t="s">
        <v>132</v>
      </c>
      <c r="H99" s="13">
        <v>8.7002373541890794</v>
      </c>
      <c r="I99">
        <v>6.9711880460943396</v>
      </c>
      <c r="J99" s="13">
        <v>0.53148353868904796</v>
      </c>
      <c r="K99" s="13">
        <v>7.2635887135389696</v>
      </c>
      <c r="L99">
        <v>0.28290686131512799</v>
      </c>
      <c r="M99" s="13">
        <v>5.6067413060011004</v>
      </c>
      <c r="N99" s="13">
        <v>0.41041722261715402</v>
      </c>
      <c r="O99">
        <v>4.60052490234375</v>
      </c>
      <c r="P99" s="13">
        <v>0.34298178101701499</v>
      </c>
      <c r="Q99" t="s">
        <v>90</v>
      </c>
    </row>
    <row r="100" spans="1:17" x14ac:dyDescent="0.6">
      <c r="A100" t="s">
        <v>354</v>
      </c>
      <c r="B100">
        <v>20</v>
      </c>
      <c r="C100" t="s">
        <v>6</v>
      </c>
      <c r="D100" t="s">
        <v>184</v>
      </c>
      <c r="E100" t="str">
        <f>"7."&amp;D100</f>
        <v>7.Macro + Event + Sentiment (Indirect)</v>
      </c>
      <c r="F100">
        <v>1</v>
      </c>
      <c r="G100" t="s">
        <v>355</v>
      </c>
      <c r="H100">
        <v>8.6404812587646695</v>
      </c>
      <c r="I100">
        <v>6.9578148141846299</v>
      </c>
      <c r="J100">
        <v>0.53093684253981799</v>
      </c>
      <c r="K100">
        <v>6.9648967058183997</v>
      </c>
      <c r="L100">
        <v>0.25993715366877501</v>
      </c>
      <c r="M100">
        <v>5.3860321044921804</v>
      </c>
      <c r="N100">
        <v>0.39412579394716901</v>
      </c>
      <c r="O100">
        <v>4.601806640625</v>
      </c>
      <c r="P100">
        <v>0.340299341191103</v>
      </c>
      <c r="Q100" t="s">
        <v>90</v>
      </c>
    </row>
    <row r="101" spans="1:17" x14ac:dyDescent="0.6">
      <c r="A101" t="s">
        <v>356</v>
      </c>
      <c r="B101">
        <v>5</v>
      </c>
      <c r="C101" t="s">
        <v>6</v>
      </c>
      <c r="D101" t="s">
        <v>184</v>
      </c>
      <c r="E101" t="str">
        <f>"7."&amp;D101</f>
        <v>7.Macro + Event + Sentiment (Indirect)</v>
      </c>
      <c r="F101">
        <v>1</v>
      </c>
      <c r="G101" t="s">
        <v>357</v>
      </c>
      <c r="H101">
        <v>8.7362821150911305</v>
      </c>
      <c r="I101">
        <v>6.9534979219869397</v>
      </c>
      <c r="J101">
        <v>0.53045984220599496</v>
      </c>
      <c r="K101">
        <v>7.1763785188424301</v>
      </c>
      <c r="L101">
        <v>0.27840726973459001</v>
      </c>
      <c r="M101">
        <v>5.4287067099567103</v>
      </c>
      <c r="N101">
        <v>0.39859199766475101</v>
      </c>
      <c r="O101">
        <v>4.60400390625</v>
      </c>
      <c r="P101">
        <v>0.337476435361869</v>
      </c>
      <c r="Q101" t="s">
        <v>90</v>
      </c>
    </row>
    <row r="102" spans="1:17" x14ac:dyDescent="0.6">
      <c r="A102" t="s">
        <v>358</v>
      </c>
      <c r="B102">
        <v>30</v>
      </c>
      <c r="C102" t="s">
        <v>6</v>
      </c>
      <c r="D102" t="s">
        <v>167</v>
      </c>
      <c r="E102" t="str">
        <f>"6."&amp;D102</f>
        <v>6.Macro + Event + Sentiment (Direct)</v>
      </c>
      <c r="F102">
        <v>1</v>
      </c>
      <c r="G102" t="s">
        <v>359</v>
      </c>
      <c r="H102">
        <v>8.8832643768561592</v>
      </c>
      <c r="I102">
        <v>7.2110687076193196</v>
      </c>
      <c r="J102">
        <v>0.55103126799380198</v>
      </c>
      <c r="K102">
        <v>7.0867419252618697</v>
      </c>
      <c r="L102">
        <v>0.26887227627917104</v>
      </c>
      <c r="M102">
        <v>5.4375284435679596</v>
      </c>
      <c r="N102">
        <v>0.39761129456209099</v>
      </c>
      <c r="O102">
        <v>4.60833740234375</v>
      </c>
      <c r="P102">
        <v>0.33992134923824702</v>
      </c>
      <c r="Q102" t="s">
        <v>93</v>
      </c>
    </row>
    <row r="103" spans="1:17" x14ac:dyDescent="0.6">
      <c r="A103" t="s">
        <v>360</v>
      </c>
      <c r="B103">
        <v>90</v>
      </c>
      <c r="C103" t="s">
        <v>6</v>
      </c>
      <c r="D103" t="s">
        <v>167</v>
      </c>
      <c r="E103" t="str">
        <f>"6."&amp;D103</f>
        <v>6.Macro + Event + Sentiment (Direct)</v>
      </c>
      <c r="F103">
        <v>1</v>
      </c>
      <c r="G103" t="s">
        <v>239</v>
      </c>
      <c r="H103">
        <v>6.9893201971297003</v>
      </c>
      <c r="I103">
        <v>5.5132261334043502</v>
      </c>
      <c r="J103">
        <v>0.43011161643824702</v>
      </c>
      <c r="K103">
        <v>7.3061403396874196</v>
      </c>
      <c r="L103">
        <v>0.283822174896595</v>
      </c>
      <c r="M103">
        <v>5.5949656865368098</v>
      </c>
      <c r="N103">
        <v>0.40689484089529598</v>
      </c>
      <c r="O103">
        <v>4.6087646484375</v>
      </c>
      <c r="P103">
        <v>0.34112878437538502</v>
      </c>
      <c r="Q103" t="s">
        <v>114</v>
      </c>
    </row>
    <row r="104" spans="1:17" x14ac:dyDescent="0.6">
      <c r="A104" t="s">
        <v>361</v>
      </c>
      <c r="B104">
        <v>10</v>
      </c>
      <c r="C104" t="s">
        <v>6</v>
      </c>
      <c r="D104" t="s">
        <v>167</v>
      </c>
      <c r="E104" t="str">
        <f>"6."&amp;D104</f>
        <v>6.Macro + Event + Sentiment (Direct)</v>
      </c>
      <c r="F104">
        <v>1</v>
      </c>
      <c r="G104" t="s">
        <v>362</v>
      </c>
      <c r="H104">
        <v>8.7629513185049603</v>
      </c>
      <c r="I104">
        <v>7.0205296535117903</v>
      </c>
      <c r="J104">
        <v>0.53525075868077998</v>
      </c>
      <c r="K104">
        <v>7.0570886358482197</v>
      </c>
      <c r="L104">
        <v>0.26787085977325803</v>
      </c>
      <c r="M104">
        <v>5.4104095729051398</v>
      </c>
      <c r="N104">
        <v>0.39643145372688199</v>
      </c>
      <c r="O104">
        <v>4.61297607421875</v>
      </c>
      <c r="P104">
        <v>0.33730529614363303</v>
      </c>
      <c r="Q104" t="s">
        <v>90</v>
      </c>
    </row>
    <row r="105" spans="1:17" x14ac:dyDescent="0.6">
      <c r="A105" t="s">
        <v>363</v>
      </c>
      <c r="B105">
        <v>10</v>
      </c>
      <c r="C105" t="s">
        <v>6</v>
      </c>
      <c r="D105" t="s">
        <v>184</v>
      </c>
      <c r="E105" t="str">
        <f>"7."&amp;D105</f>
        <v>7.Macro + Event + Sentiment (Indirect)</v>
      </c>
      <c r="F105">
        <v>1</v>
      </c>
      <c r="G105" t="s">
        <v>364</v>
      </c>
      <c r="H105">
        <v>8.7251677758871509</v>
      </c>
      <c r="I105">
        <v>7.0351538794792203</v>
      </c>
      <c r="J105">
        <v>0.53629518913296803</v>
      </c>
      <c r="K105">
        <v>7.1531664457308999</v>
      </c>
      <c r="L105">
        <v>0.27550402328531398</v>
      </c>
      <c r="M105">
        <v>5.42493864076327</v>
      </c>
      <c r="N105">
        <v>0.39757794597645502</v>
      </c>
      <c r="O105">
        <v>4.613037109375</v>
      </c>
      <c r="P105">
        <v>0.33746517820618499</v>
      </c>
      <c r="Q105" t="s">
        <v>90</v>
      </c>
    </row>
    <row r="106" spans="1:17" x14ac:dyDescent="0.6">
      <c r="A106" t="s">
        <v>365</v>
      </c>
      <c r="B106">
        <v>5</v>
      </c>
      <c r="C106" t="s">
        <v>6</v>
      </c>
      <c r="D106" t="s">
        <v>8</v>
      </c>
      <c r="E106" t="str">
        <f>"2."&amp;D106</f>
        <v>2.Macro + Event</v>
      </c>
      <c r="F106">
        <v>1</v>
      </c>
      <c r="G106" t="s">
        <v>115</v>
      </c>
      <c r="H106" s="13">
        <v>8.6961930600441004</v>
      </c>
      <c r="I106" s="13">
        <v>6.9890003081928302</v>
      </c>
      <c r="J106" s="13">
        <v>0.53325289059635905</v>
      </c>
      <c r="K106" s="13">
        <v>7.1444564286316004</v>
      </c>
      <c r="L106">
        <v>0.27593425972084501</v>
      </c>
      <c r="M106" s="13">
        <v>5.3940382127637898</v>
      </c>
      <c r="N106" s="13">
        <v>0.39588277358062901</v>
      </c>
      <c r="O106">
        <v>4.6175537109375</v>
      </c>
      <c r="P106" s="13">
        <v>0.338844693192139</v>
      </c>
      <c r="Q106" t="s">
        <v>90</v>
      </c>
    </row>
    <row r="107" spans="1:17" x14ac:dyDescent="0.6">
      <c r="A107" t="s">
        <v>366</v>
      </c>
      <c r="B107">
        <v>5</v>
      </c>
      <c r="C107" t="s">
        <v>9</v>
      </c>
      <c r="D107" t="s">
        <v>184</v>
      </c>
      <c r="E107" t="str">
        <f>"7."&amp;D107</f>
        <v>7.Macro + Event + Sentiment (Indirect)</v>
      </c>
      <c r="F107">
        <v>1</v>
      </c>
      <c r="G107" t="s">
        <v>367</v>
      </c>
      <c r="H107">
        <v>8.79904595730018</v>
      </c>
      <c r="I107">
        <v>7.0300426639934397</v>
      </c>
      <c r="J107">
        <v>0.53629964514922501</v>
      </c>
      <c r="K107">
        <v>7.32452175217992</v>
      </c>
      <c r="L107">
        <v>0.289092425150067</v>
      </c>
      <c r="M107">
        <v>5.5709968335700699</v>
      </c>
      <c r="N107">
        <v>0.40837718293624697</v>
      </c>
      <c r="O107">
        <v>4.6185302734375</v>
      </c>
      <c r="P107">
        <v>0.34320772136493599</v>
      </c>
      <c r="Q107" t="s">
        <v>90</v>
      </c>
    </row>
    <row r="108" spans="1:17" x14ac:dyDescent="0.6">
      <c r="A108" t="s">
        <v>368</v>
      </c>
      <c r="B108">
        <v>60</v>
      </c>
      <c r="C108" t="s">
        <v>99</v>
      </c>
      <c r="D108" t="s">
        <v>171</v>
      </c>
      <c r="E108" t="str">
        <f>"4."&amp;D108</f>
        <v>4.Macro + Sentiment (Indirect)</v>
      </c>
      <c r="F108">
        <v>1</v>
      </c>
      <c r="G108" t="s">
        <v>369</v>
      </c>
      <c r="H108">
        <v>8.4713589175148591</v>
      </c>
      <c r="I108">
        <v>6.8693348811222901</v>
      </c>
      <c r="J108">
        <v>0.53131671209533504</v>
      </c>
      <c r="K108">
        <v>7.3593117391534602</v>
      </c>
      <c r="L108">
        <v>0.287788257485387</v>
      </c>
      <c r="M108">
        <v>5.70770749178799</v>
      </c>
      <c r="N108">
        <v>0.41535426094452599</v>
      </c>
      <c r="O108">
        <v>4.62445068359375</v>
      </c>
      <c r="P108">
        <v>0.33636452091615499</v>
      </c>
      <c r="Q108" t="s">
        <v>135</v>
      </c>
    </row>
    <row r="109" spans="1:17" x14ac:dyDescent="0.6">
      <c r="A109" t="s">
        <v>370</v>
      </c>
      <c r="B109">
        <v>10</v>
      </c>
      <c r="C109" t="s">
        <v>99</v>
      </c>
      <c r="D109" t="s">
        <v>8</v>
      </c>
      <c r="E109" t="str">
        <f>"2."&amp;D109</f>
        <v>2.Macro + Event</v>
      </c>
      <c r="F109">
        <v>1</v>
      </c>
      <c r="G109" t="s">
        <v>108</v>
      </c>
      <c r="H109">
        <v>8.6456389999999992</v>
      </c>
      <c r="I109">
        <v>6.8323669999999996</v>
      </c>
      <c r="J109">
        <v>0.52072099999999999</v>
      </c>
      <c r="K109">
        <v>7.1114889999999997</v>
      </c>
      <c r="L109">
        <v>0.2722</v>
      </c>
      <c r="M109">
        <v>5.431991</v>
      </c>
      <c r="N109">
        <v>0.39815299999999998</v>
      </c>
      <c r="O109">
        <v>4.627014</v>
      </c>
      <c r="P109">
        <v>0.34491699999999997</v>
      </c>
      <c r="Q109" t="s">
        <v>90</v>
      </c>
    </row>
    <row r="110" spans="1:17" x14ac:dyDescent="0.6">
      <c r="A110" t="s">
        <v>371</v>
      </c>
      <c r="B110">
        <v>10</v>
      </c>
      <c r="C110" t="s">
        <v>99</v>
      </c>
      <c r="D110" t="s">
        <v>181</v>
      </c>
      <c r="E110" t="str">
        <f>"3."&amp;D110</f>
        <v>3.Macro + Sentiment (Direct)</v>
      </c>
      <c r="F110">
        <v>1</v>
      </c>
      <c r="G110" t="s">
        <v>372</v>
      </c>
      <c r="H110">
        <v>8.7444066450674001</v>
      </c>
      <c r="I110">
        <v>7.0166131159119196</v>
      </c>
      <c r="J110">
        <v>0.53503135592738005</v>
      </c>
      <c r="K110">
        <v>7.2158739814816801</v>
      </c>
      <c r="L110">
        <v>0.278922230648532</v>
      </c>
      <c r="M110">
        <v>5.5692090059803601</v>
      </c>
      <c r="N110">
        <v>0.40756084704942902</v>
      </c>
      <c r="O110">
        <v>4.6282958984375</v>
      </c>
      <c r="P110">
        <v>0.34074605390534402</v>
      </c>
      <c r="Q110" t="s">
        <v>90</v>
      </c>
    </row>
    <row r="111" spans="1:17" x14ac:dyDescent="0.6">
      <c r="A111" t="s">
        <v>373</v>
      </c>
      <c r="B111">
        <v>90</v>
      </c>
      <c r="C111" t="s">
        <v>9</v>
      </c>
      <c r="D111" t="s">
        <v>177</v>
      </c>
      <c r="E111" t="str">
        <f>"8."&amp;D111</f>
        <v>8.Macro + Event + Sentiment (Both)</v>
      </c>
      <c r="F111">
        <v>1</v>
      </c>
      <c r="G111" t="s">
        <v>374</v>
      </c>
      <c r="H111">
        <v>7.1161071875797699</v>
      </c>
      <c r="I111">
        <v>5.48372210878314</v>
      </c>
      <c r="J111">
        <v>0.42806987767764298</v>
      </c>
      <c r="K111">
        <v>7.7585138058188603</v>
      </c>
      <c r="L111">
        <v>0.32037516698767898</v>
      </c>
      <c r="M111">
        <v>6.0094596131207103</v>
      </c>
      <c r="N111">
        <v>0.43744283511870902</v>
      </c>
      <c r="O111">
        <v>4.63336181640625</v>
      </c>
      <c r="P111">
        <v>0.32960342413779697</v>
      </c>
      <c r="Q111" t="s">
        <v>114</v>
      </c>
    </row>
    <row r="112" spans="1:17" x14ac:dyDescent="0.6">
      <c r="A112" t="s">
        <v>375</v>
      </c>
      <c r="B112">
        <v>30</v>
      </c>
      <c r="C112" t="s">
        <v>9</v>
      </c>
      <c r="D112" t="s">
        <v>174</v>
      </c>
      <c r="E112" t="str">
        <f>"5."&amp;D112</f>
        <v>5.Macro + Sentiment (Both)</v>
      </c>
      <c r="F112">
        <v>1</v>
      </c>
      <c r="G112" t="s">
        <v>376</v>
      </c>
      <c r="H112">
        <v>8.8986155270151706</v>
      </c>
      <c r="I112">
        <v>7.1844565581633697</v>
      </c>
      <c r="J112">
        <v>0.54872979038542402</v>
      </c>
      <c r="K112">
        <v>7.3205897261233801</v>
      </c>
      <c r="L112">
        <v>0.28517133306265602</v>
      </c>
      <c r="M112">
        <v>5.7015777884177696</v>
      </c>
      <c r="N112">
        <v>0.41610052073683601</v>
      </c>
      <c r="O112">
        <v>4.63372802734375</v>
      </c>
      <c r="P112">
        <v>0.33984132753114499</v>
      </c>
      <c r="Q112" t="s">
        <v>93</v>
      </c>
    </row>
    <row r="113" spans="1:17" x14ac:dyDescent="0.6">
      <c r="A113" t="s">
        <v>377</v>
      </c>
      <c r="B113">
        <v>90</v>
      </c>
      <c r="C113" t="s">
        <v>99</v>
      </c>
      <c r="D113" t="s">
        <v>7</v>
      </c>
      <c r="E113" t="str">
        <f>"1."&amp;D113</f>
        <v>1.Macro Only</v>
      </c>
      <c r="F113">
        <v>1</v>
      </c>
      <c r="G113" t="s">
        <v>143</v>
      </c>
      <c r="H113">
        <v>6.9688939999999997</v>
      </c>
      <c r="I113">
        <v>5.5165740000000003</v>
      </c>
      <c r="J113">
        <v>0.43058000000000002</v>
      </c>
      <c r="K113">
        <v>7.3648809999999996</v>
      </c>
      <c r="L113">
        <v>0.28849999999999998</v>
      </c>
      <c r="M113">
        <v>5.6419259999999998</v>
      </c>
      <c r="N113">
        <v>0.41033900000000001</v>
      </c>
      <c r="O113">
        <v>4.6347659999999999</v>
      </c>
      <c r="P113">
        <v>0.33742</v>
      </c>
      <c r="Q113" t="s">
        <v>114</v>
      </c>
    </row>
    <row r="114" spans="1:17" x14ac:dyDescent="0.6">
      <c r="A114" t="s">
        <v>378</v>
      </c>
      <c r="B114">
        <v>5</v>
      </c>
      <c r="C114" t="s">
        <v>6</v>
      </c>
      <c r="D114" t="s">
        <v>167</v>
      </c>
      <c r="E114" t="str">
        <f>"6."&amp;D114</f>
        <v>6.Macro + Event + Sentiment (Direct)</v>
      </c>
      <c r="F114">
        <v>1</v>
      </c>
      <c r="G114" t="s">
        <v>364</v>
      </c>
      <c r="H114">
        <v>8.7512522035991793</v>
      </c>
      <c r="I114">
        <v>7.0562089907802203</v>
      </c>
      <c r="J114">
        <v>0.538205367598666</v>
      </c>
      <c r="K114">
        <v>7.2259619110420896</v>
      </c>
      <c r="L114">
        <v>0.281985910975312</v>
      </c>
      <c r="M114">
        <v>5.4821074514678001</v>
      </c>
      <c r="N114">
        <v>0.40222822587616602</v>
      </c>
      <c r="O114">
        <v>4.63623046875</v>
      </c>
      <c r="P114">
        <v>0.342098112034457</v>
      </c>
      <c r="Q114" t="s">
        <v>90</v>
      </c>
    </row>
    <row r="115" spans="1:17" x14ac:dyDescent="0.6">
      <c r="A115" t="s">
        <v>379</v>
      </c>
      <c r="B115">
        <v>90</v>
      </c>
      <c r="C115" t="s">
        <v>92</v>
      </c>
      <c r="D115" t="s">
        <v>167</v>
      </c>
      <c r="E115" t="str">
        <f>"6."&amp;D115</f>
        <v>6.Macro + Event + Sentiment (Direct)</v>
      </c>
      <c r="F115">
        <v>1</v>
      </c>
      <c r="G115" t="s">
        <v>380</v>
      </c>
      <c r="H115">
        <v>6.9366745123253502</v>
      </c>
      <c r="I115">
        <v>5.5578058416193103</v>
      </c>
      <c r="J115">
        <v>0.43383743933817198</v>
      </c>
      <c r="K115">
        <v>7.2921080689461002</v>
      </c>
      <c r="L115">
        <v>0.28358121502351796</v>
      </c>
      <c r="M115">
        <v>5.55034647902397</v>
      </c>
      <c r="N115">
        <v>0.40400552717175803</v>
      </c>
      <c r="O115">
        <v>4.6378173828125</v>
      </c>
      <c r="P115">
        <v>0.33613716261034199</v>
      </c>
      <c r="Q115" t="s">
        <v>114</v>
      </c>
    </row>
    <row r="116" spans="1:17" x14ac:dyDescent="0.6">
      <c r="A116" t="s">
        <v>381</v>
      </c>
      <c r="B116">
        <v>90</v>
      </c>
      <c r="C116" t="s">
        <v>9</v>
      </c>
      <c r="D116" t="s">
        <v>7</v>
      </c>
      <c r="E116" t="str">
        <f>"1."&amp;D116</f>
        <v>1.Macro Only</v>
      </c>
      <c r="F116">
        <v>1</v>
      </c>
      <c r="G116" t="s">
        <v>157</v>
      </c>
      <c r="H116" s="13">
        <v>6.8653947856092001</v>
      </c>
      <c r="I116" s="13">
        <v>5.4196222478693103</v>
      </c>
      <c r="J116" s="13">
        <v>0.422612175926948</v>
      </c>
      <c r="K116" s="13">
        <v>7.6237277753961603</v>
      </c>
      <c r="L116">
        <v>0.30664734052742898</v>
      </c>
      <c r="M116" s="13">
        <v>5.9513658497431496</v>
      </c>
      <c r="N116">
        <v>0.43191930452456301</v>
      </c>
      <c r="O116">
        <v>4.63812255859375</v>
      </c>
      <c r="P116" s="13">
        <v>0.33464390093780699</v>
      </c>
      <c r="Q116" t="s">
        <v>114</v>
      </c>
    </row>
    <row r="117" spans="1:17" x14ac:dyDescent="0.6">
      <c r="A117" t="s">
        <v>382</v>
      </c>
      <c r="B117">
        <v>10</v>
      </c>
      <c r="C117" t="s">
        <v>92</v>
      </c>
      <c r="D117" t="s">
        <v>171</v>
      </c>
      <c r="E117" t="str">
        <f>"4."&amp;D117</f>
        <v>4.Macro + Sentiment (Indirect)</v>
      </c>
      <c r="F117">
        <v>1</v>
      </c>
      <c r="G117" t="s">
        <v>383</v>
      </c>
      <c r="H117">
        <v>8.7002416321835607</v>
      </c>
      <c r="I117">
        <v>6.9171266857854903</v>
      </c>
      <c r="J117">
        <v>0.52753113084332304</v>
      </c>
      <c r="K117">
        <v>7.0525043958054798</v>
      </c>
      <c r="L117">
        <v>0.26778474446574302</v>
      </c>
      <c r="M117">
        <v>5.3917528000552997</v>
      </c>
      <c r="N117">
        <v>0.39514547581331499</v>
      </c>
      <c r="O117">
        <v>4.6395263671875</v>
      </c>
      <c r="P117">
        <v>0.33735504092539498</v>
      </c>
      <c r="Q117" t="s">
        <v>90</v>
      </c>
    </row>
    <row r="118" spans="1:17" x14ac:dyDescent="0.6">
      <c r="A118" t="s">
        <v>384</v>
      </c>
      <c r="B118">
        <v>5</v>
      </c>
      <c r="C118" t="s">
        <v>92</v>
      </c>
      <c r="D118" t="s">
        <v>177</v>
      </c>
      <c r="E118" t="str">
        <f>"8."&amp;D118</f>
        <v>8.Macro + Event + Sentiment (Both)</v>
      </c>
      <c r="F118">
        <v>1</v>
      </c>
      <c r="G118" t="s">
        <v>385</v>
      </c>
      <c r="H118">
        <v>8.7379989577400003</v>
      </c>
      <c r="I118">
        <v>6.9731691899754296</v>
      </c>
      <c r="J118">
        <v>0.53208160843939301</v>
      </c>
      <c r="K118">
        <v>7.1763460210166397</v>
      </c>
      <c r="L118">
        <v>0.27783581162850801</v>
      </c>
      <c r="M118">
        <v>5.4718112697849</v>
      </c>
      <c r="N118">
        <v>0.401332013174858</v>
      </c>
      <c r="O118">
        <v>4.6424560546875</v>
      </c>
      <c r="P118">
        <v>0.33895199298620399</v>
      </c>
      <c r="Q118" t="s">
        <v>90</v>
      </c>
    </row>
    <row r="119" spans="1:17" x14ac:dyDescent="0.6">
      <c r="A119" t="s">
        <v>386</v>
      </c>
      <c r="B119">
        <v>10</v>
      </c>
      <c r="C119" t="s">
        <v>92</v>
      </c>
      <c r="D119" t="s">
        <v>174</v>
      </c>
      <c r="E119" t="str">
        <f>"5."&amp;D119</f>
        <v>5.Macro + Sentiment (Both)</v>
      </c>
      <c r="F119">
        <v>1</v>
      </c>
      <c r="G119" t="s">
        <v>387</v>
      </c>
      <c r="H119">
        <v>8.6939082871343096</v>
      </c>
      <c r="I119">
        <v>6.9945714383822901</v>
      </c>
      <c r="J119">
        <v>0.53323873582341197</v>
      </c>
      <c r="K119">
        <v>7.2145968803774698</v>
      </c>
      <c r="L119">
        <v>0.27885130186110502</v>
      </c>
      <c r="M119">
        <v>5.5742862667657596</v>
      </c>
      <c r="N119">
        <v>0.40792730383599002</v>
      </c>
      <c r="O119">
        <v>4.642822265625</v>
      </c>
      <c r="P119">
        <v>0.33711135341323101</v>
      </c>
      <c r="Q119" t="s">
        <v>90</v>
      </c>
    </row>
    <row r="120" spans="1:17" x14ac:dyDescent="0.6">
      <c r="A120" t="s">
        <v>388</v>
      </c>
      <c r="B120">
        <v>5</v>
      </c>
      <c r="C120" t="s">
        <v>92</v>
      </c>
      <c r="D120" t="s">
        <v>8</v>
      </c>
      <c r="E120" t="str">
        <f>"2."&amp;D120</f>
        <v>2.Macro + Event</v>
      </c>
      <c r="F120">
        <v>1</v>
      </c>
      <c r="G120" t="s">
        <v>117</v>
      </c>
      <c r="H120">
        <v>8.7020579999999992</v>
      </c>
      <c r="I120">
        <v>6.9538469999999997</v>
      </c>
      <c r="J120">
        <v>0.53055399999999997</v>
      </c>
      <c r="K120">
        <v>7.1516469999999996</v>
      </c>
      <c r="L120">
        <v>0.27659999999999996</v>
      </c>
      <c r="M120">
        <v>5.4203900000000003</v>
      </c>
      <c r="N120">
        <v>0.397868</v>
      </c>
      <c r="O120">
        <v>4.642944</v>
      </c>
      <c r="P120">
        <v>0.33465699999999998</v>
      </c>
      <c r="Q120" t="s">
        <v>90</v>
      </c>
    </row>
    <row r="121" spans="1:17" x14ac:dyDescent="0.6">
      <c r="A121" t="s">
        <v>389</v>
      </c>
      <c r="B121">
        <v>90</v>
      </c>
      <c r="C121" t="s">
        <v>9</v>
      </c>
      <c r="D121" t="s">
        <v>167</v>
      </c>
      <c r="E121" t="str">
        <f>"6."&amp;D121</f>
        <v>6.Macro + Event + Sentiment (Direct)</v>
      </c>
      <c r="F121">
        <v>1</v>
      </c>
      <c r="G121" t="s">
        <v>390</v>
      </c>
      <c r="H121">
        <v>7.1019632840401297</v>
      </c>
      <c r="I121">
        <v>5.7325328480113598</v>
      </c>
      <c r="J121">
        <v>0.447586383810049</v>
      </c>
      <c r="K121">
        <v>7.6604377884602401</v>
      </c>
      <c r="L121">
        <v>0.31437827924956602</v>
      </c>
      <c r="M121">
        <v>5.7231328258775598</v>
      </c>
      <c r="N121">
        <v>0.41705939307897899</v>
      </c>
      <c r="O121">
        <v>4.64361572265625</v>
      </c>
      <c r="P121">
        <v>0.33006569205092501</v>
      </c>
      <c r="Q121" t="s">
        <v>114</v>
      </c>
    </row>
    <row r="122" spans="1:17" x14ac:dyDescent="0.6">
      <c r="A122" t="s">
        <v>391</v>
      </c>
      <c r="B122">
        <v>30</v>
      </c>
      <c r="C122" t="s">
        <v>6</v>
      </c>
      <c r="D122" t="s">
        <v>174</v>
      </c>
      <c r="E122" t="str">
        <f>"5."&amp;D122</f>
        <v>5.Macro + Sentiment (Both)</v>
      </c>
      <c r="F122">
        <v>1</v>
      </c>
      <c r="G122" t="s">
        <v>392</v>
      </c>
      <c r="H122">
        <v>8.9526549049167308</v>
      </c>
      <c r="I122">
        <v>7.1989741987095197</v>
      </c>
      <c r="J122">
        <v>0.55005995402508301</v>
      </c>
      <c r="K122">
        <v>7.3132836038622404</v>
      </c>
      <c r="L122">
        <v>0.28748316913089</v>
      </c>
      <c r="M122">
        <v>5.6368722267521196</v>
      </c>
      <c r="N122">
        <v>0.41241311872768599</v>
      </c>
      <c r="O122">
        <v>4.64453125</v>
      </c>
      <c r="P122">
        <v>0.33701328351869497</v>
      </c>
      <c r="Q122" t="s">
        <v>93</v>
      </c>
    </row>
    <row r="123" spans="1:17" x14ac:dyDescent="0.6">
      <c r="A123" t="s">
        <v>393</v>
      </c>
      <c r="B123">
        <v>10</v>
      </c>
      <c r="C123" t="s">
        <v>92</v>
      </c>
      <c r="D123" t="s">
        <v>167</v>
      </c>
      <c r="E123" t="str">
        <f>"6."&amp;D123</f>
        <v>6.Macro + Event + Sentiment (Direct)</v>
      </c>
      <c r="F123">
        <v>1</v>
      </c>
      <c r="G123" t="s">
        <v>394</v>
      </c>
      <c r="H123">
        <v>8.7385722848447607</v>
      </c>
      <c r="I123">
        <v>6.9592882619544199</v>
      </c>
      <c r="J123">
        <v>0.530693077211977</v>
      </c>
      <c r="K123">
        <v>7.0659314553125601</v>
      </c>
      <c r="L123">
        <v>0.26829408486026002</v>
      </c>
      <c r="M123">
        <v>5.4309805810978897</v>
      </c>
      <c r="N123">
        <v>0.39783717526518497</v>
      </c>
      <c r="O123">
        <v>4.646484375</v>
      </c>
      <c r="P123">
        <v>0.34405323508373897</v>
      </c>
      <c r="Q123" t="s">
        <v>90</v>
      </c>
    </row>
    <row r="124" spans="1:17" x14ac:dyDescent="0.6">
      <c r="A124" t="s">
        <v>395</v>
      </c>
      <c r="B124">
        <v>90</v>
      </c>
      <c r="C124" t="s">
        <v>92</v>
      </c>
      <c r="D124" t="s">
        <v>174</v>
      </c>
      <c r="E124" t="str">
        <f>"5."&amp;D124</f>
        <v>5.Macro + Sentiment (Both)</v>
      </c>
      <c r="F124">
        <v>1</v>
      </c>
      <c r="G124" t="s">
        <v>396</v>
      </c>
      <c r="H124">
        <v>6.9824003421249197</v>
      </c>
      <c r="I124">
        <v>5.6009336529356002</v>
      </c>
      <c r="J124">
        <v>0.43738369804145</v>
      </c>
      <c r="K124">
        <v>7.3084167625205403</v>
      </c>
      <c r="L124">
        <v>0.28416694373596202</v>
      </c>
      <c r="M124">
        <v>5.5689722348565898</v>
      </c>
      <c r="N124">
        <v>0.40508889316400898</v>
      </c>
      <c r="O124">
        <v>4.64886474609375</v>
      </c>
      <c r="P124">
        <v>0.34294493929323899</v>
      </c>
      <c r="Q124" t="s">
        <v>114</v>
      </c>
    </row>
    <row r="125" spans="1:17" x14ac:dyDescent="0.6">
      <c r="A125" t="s">
        <v>399</v>
      </c>
      <c r="B125">
        <v>90</v>
      </c>
      <c r="C125" t="s">
        <v>6</v>
      </c>
      <c r="D125" t="s">
        <v>171</v>
      </c>
      <c r="E125" t="str">
        <f>"4."&amp;D125</f>
        <v>4.Macro + Sentiment (Indirect)</v>
      </c>
      <c r="F125">
        <v>1</v>
      </c>
      <c r="G125" t="s">
        <v>400</v>
      </c>
      <c r="H125">
        <v>6.9410422607662596</v>
      </c>
      <c r="I125">
        <v>5.4809311375473397</v>
      </c>
      <c r="J125">
        <v>0.42763767218452298</v>
      </c>
      <c r="K125">
        <v>7.3749232163488596</v>
      </c>
      <c r="L125">
        <v>0.28960662887310001</v>
      </c>
      <c r="M125">
        <v>5.6479124304366399</v>
      </c>
      <c r="N125">
        <v>0.41086609026426701</v>
      </c>
      <c r="O125">
        <v>4.65625</v>
      </c>
      <c r="P125">
        <v>0.34347582789745301</v>
      </c>
      <c r="Q125" t="s">
        <v>114</v>
      </c>
    </row>
    <row r="126" spans="1:17" x14ac:dyDescent="0.6">
      <c r="A126" t="s">
        <v>401</v>
      </c>
      <c r="B126">
        <v>5</v>
      </c>
      <c r="C126" t="s">
        <v>6</v>
      </c>
      <c r="D126" t="s">
        <v>181</v>
      </c>
      <c r="E126" t="str">
        <f>"3."&amp;D126</f>
        <v>3.Macro + Sentiment (Direct)</v>
      </c>
      <c r="F126">
        <v>1</v>
      </c>
      <c r="G126" t="s">
        <v>402</v>
      </c>
      <c r="H126">
        <v>8.7493274051996206</v>
      </c>
      <c r="I126">
        <v>7.0805945631056604</v>
      </c>
      <c r="J126">
        <v>0.54009704991291396</v>
      </c>
      <c r="K126">
        <v>7.1820808355408703</v>
      </c>
      <c r="L126">
        <v>0.27845229147290501</v>
      </c>
      <c r="M126">
        <v>5.4664576146509702</v>
      </c>
      <c r="N126">
        <v>0.40104206090554601</v>
      </c>
      <c r="O126">
        <v>4.6578369140625</v>
      </c>
      <c r="P126">
        <v>0.34462971253671298</v>
      </c>
      <c r="Q126" t="s">
        <v>90</v>
      </c>
    </row>
    <row r="127" spans="1:17" x14ac:dyDescent="0.6">
      <c r="A127" t="s">
        <v>403</v>
      </c>
      <c r="B127">
        <v>20</v>
      </c>
      <c r="C127" t="s">
        <v>9</v>
      </c>
      <c r="D127" t="s">
        <v>7</v>
      </c>
      <c r="E127" t="str">
        <f>"1."&amp;D127</f>
        <v>1.Macro Only</v>
      </c>
      <c r="F127">
        <v>1</v>
      </c>
      <c r="G127" t="s">
        <v>129</v>
      </c>
      <c r="H127" s="13">
        <v>8.7757982914965407</v>
      </c>
      <c r="I127" s="13">
        <v>7.0594505251520996</v>
      </c>
      <c r="J127" s="13">
        <v>0.53841825360541395</v>
      </c>
      <c r="K127">
        <v>7.2321264129907004</v>
      </c>
      <c r="L127">
        <v>0.27998303400910501</v>
      </c>
      <c r="M127" s="13">
        <v>5.5785319010416599</v>
      </c>
      <c r="N127" s="13">
        <v>0.40792258672520099</v>
      </c>
      <c r="O127">
        <v>4.66253662109375</v>
      </c>
      <c r="P127" s="13">
        <v>0.34455413704927101</v>
      </c>
      <c r="Q127" t="s">
        <v>90</v>
      </c>
    </row>
    <row r="128" spans="1:17" x14ac:dyDescent="0.6">
      <c r="A128" t="s">
        <v>404</v>
      </c>
      <c r="B128">
        <v>20</v>
      </c>
      <c r="C128" t="s">
        <v>9</v>
      </c>
      <c r="D128" t="s">
        <v>171</v>
      </c>
      <c r="E128" t="str">
        <f>"4."&amp;D128</f>
        <v>4.Macro + Sentiment (Indirect)</v>
      </c>
      <c r="F128">
        <v>1</v>
      </c>
      <c r="G128" t="s">
        <v>405</v>
      </c>
      <c r="H128">
        <v>8.6926324931409908</v>
      </c>
      <c r="I128">
        <v>7.03764173502812</v>
      </c>
      <c r="J128">
        <v>0.53698618847993396</v>
      </c>
      <c r="K128">
        <v>7.0147425107692998</v>
      </c>
      <c r="L128">
        <v>0.26422597280589799</v>
      </c>
      <c r="M128">
        <v>5.3937383581090801</v>
      </c>
      <c r="N128">
        <v>0.394918445637228</v>
      </c>
      <c r="O128">
        <v>4.666259765625</v>
      </c>
      <c r="P128">
        <v>0.345290657902106</v>
      </c>
      <c r="Q128" t="s">
        <v>90</v>
      </c>
    </row>
    <row r="129" spans="1:17" x14ac:dyDescent="0.6">
      <c r="A129" t="s">
        <v>407</v>
      </c>
      <c r="B129">
        <v>10</v>
      </c>
      <c r="C129" t="s">
        <v>92</v>
      </c>
      <c r="D129" t="s">
        <v>7</v>
      </c>
      <c r="E129" t="str">
        <f>"1."&amp;D129</f>
        <v>1.Macro Only</v>
      </c>
      <c r="F129">
        <v>1</v>
      </c>
      <c r="G129" t="s">
        <v>110</v>
      </c>
      <c r="H129">
        <v>8.69163</v>
      </c>
      <c r="I129">
        <v>6.9685360000000003</v>
      </c>
      <c r="J129">
        <v>0.53141499999999997</v>
      </c>
      <c r="K129">
        <v>7.1164800000000001</v>
      </c>
      <c r="L129">
        <v>0.27200000000000002</v>
      </c>
      <c r="M129">
        <v>5.4687929999999998</v>
      </c>
      <c r="N129">
        <v>0.40054499999999998</v>
      </c>
      <c r="O129">
        <v>4.6674189999999998</v>
      </c>
      <c r="P129">
        <v>0.34352199999999999</v>
      </c>
      <c r="Q129" t="s">
        <v>90</v>
      </c>
    </row>
    <row r="130" spans="1:17" x14ac:dyDescent="0.6">
      <c r="A130" t="s">
        <v>408</v>
      </c>
      <c r="B130">
        <v>60</v>
      </c>
      <c r="C130" t="s">
        <v>92</v>
      </c>
      <c r="D130" t="s">
        <v>171</v>
      </c>
      <c r="E130" t="str">
        <f>"4."&amp;D130</f>
        <v>4.Macro + Sentiment (Indirect)</v>
      </c>
      <c r="F130">
        <v>1</v>
      </c>
      <c r="G130" t="s">
        <v>409</v>
      </c>
      <c r="H130">
        <v>8.4628294451149202</v>
      </c>
      <c r="I130">
        <v>6.8429747361403201</v>
      </c>
      <c r="J130">
        <v>0.52908364317769996</v>
      </c>
      <c r="K130">
        <v>7.3124180179365199</v>
      </c>
      <c r="L130">
        <v>0.284874932503275</v>
      </c>
      <c r="M130">
        <v>5.6562527743252797</v>
      </c>
      <c r="N130">
        <v>0.41188939315374401</v>
      </c>
      <c r="O130">
        <v>4.67230224609375</v>
      </c>
      <c r="P130">
        <v>0.34119604253692298</v>
      </c>
      <c r="Q130" t="s">
        <v>135</v>
      </c>
    </row>
    <row r="131" spans="1:17" x14ac:dyDescent="0.6">
      <c r="A131" t="s">
        <v>410</v>
      </c>
      <c r="B131">
        <v>30</v>
      </c>
      <c r="C131" t="s">
        <v>92</v>
      </c>
      <c r="D131" t="s">
        <v>167</v>
      </c>
      <c r="E131" t="str">
        <f>"6."&amp;D131</f>
        <v>6.Macro + Event + Sentiment (Direct)</v>
      </c>
      <c r="F131">
        <v>1</v>
      </c>
      <c r="G131" t="s">
        <v>411</v>
      </c>
      <c r="H131">
        <v>8.8844292708784494</v>
      </c>
      <c r="I131">
        <v>7.1715495476109101</v>
      </c>
      <c r="J131">
        <v>0.548031525480285</v>
      </c>
      <c r="K131">
        <v>7.3448530398125502</v>
      </c>
      <c r="L131">
        <v>0.28724003228810197</v>
      </c>
      <c r="M131">
        <v>5.7409259092460498</v>
      </c>
      <c r="N131">
        <v>0.41901546465815598</v>
      </c>
      <c r="O131">
        <v>4.67449951171875</v>
      </c>
      <c r="P131">
        <v>0.34660005144541101</v>
      </c>
      <c r="Q131" t="s">
        <v>93</v>
      </c>
    </row>
    <row r="132" spans="1:17" x14ac:dyDescent="0.6">
      <c r="A132" t="s">
        <v>412</v>
      </c>
      <c r="B132">
        <v>5</v>
      </c>
      <c r="C132" t="s">
        <v>9</v>
      </c>
      <c r="D132" t="s">
        <v>171</v>
      </c>
      <c r="E132" t="str">
        <f>"4."&amp;D132</f>
        <v>4.Macro + Sentiment (Indirect)</v>
      </c>
      <c r="F132">
        <v>1</v>
      </c>
      <c r="G132" t="s">
        <v>413</v>
      </c>
      <c r="H132">
        <v>8.8539301507731594</v>
      </c>
      <c r="I132">
        <v>7.03611180997353</v>
      </c>
      <c r="J132">
        <v>0.53661881079271101</v>
      </c>
      <c r="K132">
        <v>7.5553119917067004</v>
      </c>
      <c r="L132">
        <v>0.30639942705391204</v>
      </c>
      <c r="M132">
        <v>5.8581225903003196</v>
      </c>
      <c r="N132">
        <v>0.42890978603382401</v>
      </c>
      <c r="O132">
        <v>4.6826171875</v>
      </c>
      <c r="P132">
        <v>0.344150553041143</v>
      </c>
      <c r="Q132" t="s">
        <v>90</v>
      </c>
    </row>
    <row r="133" spans="1:17" x14ac:dyDescent="0.6">
      <c r="A133" t="s">
        <v>414</v>
      </c>
      <c r="B133">
        <v>10</v>
      </c>
      <c r="C133" t="s">
        <v>6</v>
      </c>
      <c r="D133" t="s">
        <v>174</v>
      </c>
      <c r="E133" t="str">
        <f>"5."&amp;D133</f>
        <v>5.Macro + Sentiment (Both)</v>
      </c>
      <c r="F133">
        <v>1</v>
      </c>
      <c r="G133" t="s">
        <v>415</v>
      </c>
      <c r="H133">
        <v>8.7035584878290795</v>
      </c>
      <c r="I133">
        <v>6.99040233675351</v>
      </c>
      <c r="J133">
        <v>0.53305700436503001</v>
      </c>
      <c r="K133">
        <v>7.2660344151961498</v>
      </c>
      <c r="L133">
        <v>0.28537178353830001</v>
      </c>
      <c r="M133">
        <v>5.5441462423949099</v>
      </c>
      <c r="N133">
        <v>0.40684344699911601</v>
      </c>
      <c r="O133">
        <v>4.69000244140625</v>
      </c>
      <c r="P133">
        <v>0.34720037359139599</v>
      </c>
      <c r="Q133" t="s">
        <v>90</v>
      </c>
    </row>
    <row r="134" spans="1:17" x14ac:dyDescent="0.6">
      <c r="A134" t="s">
        <v>416</v>
      </c>
      <c r="B134">
        <v>5</v>
      </c>
      <c r="C134" t="s">
        <v>99</v>
      </c>
      <c r="D134" t="s">
        <v>184</v>
      </c>
      <c r="E134" t="str">
        <f>"7."&amp;D134</f>
        <v>7.Macro + Event + Sentiment (Indirect)</v>
      </c>
      <c r="F134">
        <v>1</v>
      </c>
      <c r="G134" t="s">
        <v>417</v>
      </c>
      <c r="H134">
        <v>8.72736280506615</v>
      </c>
      <c r="I134">
        <v>6.9393144815223904</v>
      </c>
      <c r="J134">
        <v>0.52955366903621204</v>
      </c>
      <c r="K134">
        <v>7.25306791124759</v>
      </c>
      <c r="L134">
        <v>0.28371624795300399</v>
      </c>
      <c r="M134">
        <v>5.5204914307697504</v>
      </c>
      <c r="N134">
        <v>0.40481444776612102</v>
      </c>
      <c r="O134">
        <v>4.6929931640625</v>
      </c>
      <c r="P134">
        <v>0.343381678549535</v>
      </c>
      <c r="Q134" t="s">
        <v>90</v>
      </c>
    </row>
    <row r="135" spans="1:17" x14ac:dyDescent="0.6">
      <c r="A135" t="s">
        <v>419</v>
      </c>
      <c r="B135">
        <v>90</v>
      </c>
      <c r="C135" t="s">
        <v>9</v>
      </c>
      <c r="D135" t="s">
        <v>171</v>
      </c>
      <c r="E135" t="str">
        <f>"4."&amp;D135</f>
        <v>4.Macro + Sentiment (Indirect)</v>
      </c>
      <c r="F135">
        <v>1</v>
      </c>
      <c r="G135" t="s">
        <v>420</v>
      </c>
      <c r="H135">
        <v>6.90360057954216</v>
      </c>
      <c r="I135">
        <v>5.4312984582149602</v>
      </c>
      <c r="J135">
        <v>0.423955671485375</v>
      </c>
      <c r="K135">
        <v>7.6994646796775896</v>
      </c>
      <c r="L135">
        <v>0.312974443410244</v>
      </c>
      <c r="M135">
        <v>6.0165756434610396</v>
      </c>
      <c r="N135">
        <v>0.43660273249015702</v>
      </c>
      <c r="O135">
        <v>4.69482421875</v>
      </c>
      <c r="P135">
        <v>0.34256580186311397</v>
      </c>
      <c r="Q135" t="s">
        <v>114</v>
      </c>
    </row>
    <row r="136" spans="1:17" x14ac:dyDescent="0.6">
      <c r="A136" t="s">
        <v>422</v>
      </c>
      <c r="B136">
        <v>90</v>
      </c>
      <c r="C136" t="s">
        <v>99</v>
      </c>
      <c r="D136" t="s">
        <v>181</v>
      </c>
      <c r="E136" t="str">
        <f>"3."&amp;D136</f>
        <v>3.Macro + Sentiment (Direct)</v>
      </c>
      <c r="F136">
        <v>1</v>
      </c>
      <c r="G136" t="s">
        <v>423</v>
      </c>
      <c r="H136">
        <v>6.9234935603607504</v>
      </c>
      <c r="I136">
        <v>5.4822517163825699</v>
      </c>
      <c r="J136">
        <v>0.42746514338577302</v>
      </c>
      <c r="K136">
        <v>7.6098460562832901</v>
      </c>
      <c r="L136">
        <v>0.30686392654026901</v>
      </c>
      <c r="M136">
        <v>5.8823024802011901</v>
      </c>
      <c r="N136">
        <v>0.427302608746081</v>
      </c>
      <c r="O136">
        <v>4.699462890625</v>
      </c>
      <c r="P136">
        <v>0.336130694753147</v>
      </c>
      <c r="Q136" t="s">
        <v>114</v>
      </c>
    </row>
    <row r="137" spans="1:17" x14ac:dyDescent="0.6">
      <c r="A137" t="s">
        <v>424</v>
      </c>
      <c r="B137">
        <v>60</v>
      </c>
      <c r="C137" t="s">
        <v>99</v>
      </c>
      <c r="D137" t="s">
        <v>174</v>
      </c>
      <c r="E137" t="str">
        <f>"5."&amp;D137</f>
        <v>5.Macro + Sentiment (Both)</v>
      </c>
      <c r="F137">
        <v>1</v>
      </c>
      <c r="G137" t="s">
        <v>425</v>
      </c>
      <c r="H137">
        <v>8.4553001834462798</v>
      </c>
      <c r="I137">
        <v>6.8362669053968403</v>
      </c>
      <c r="J137">
        <v>0.528597292038536</v>
      </c>
      <c r="K137">
        <v>7.32781605705659</v>
      </c>
      <c r="L137">
        <v>0.28613997452560097</v>
      </c>
      <c r="M137">
        <v>5.5937832919034003</v>
      </c>
      <c r="N137">
        <v>0.40741885551096702</v>
      </c>
      <c r="O137">
        <v>4.70294189453125</v>
      </c>
      <c r="P137">
        <v>0.34730410517617699</v>
      </c>
      <c r="Q137" t="s">
        <v>135</v>
      </c>
    </row>
    <row r="138" spans="1:17" x14ac:dyDescent="0.6">
      <c r="A138" t="s">
        <v>426</v>
      </c>
      <c r="B138">
        <v>60</v>
      </c>
      <c r="C138" t="s">
        <v>6</v>
      </c>
      <c r="D138" t="s">
        <v>177</v>
      </c>
      <c r="E138" t="str">
        <f>"8."&amp;D138</f>
        <v>8.Macro + Event + Sentiment (Both)</v>
      </c>
      <c r="F138">
        <v>1</v>
      </c>
      <c r="G138" t="s">
        <v>357</v>
      </c>
      <c r="H138">
        <v>8.5184613368889508</v>
      </c>
      <c r="I138">
        <v>6.8522136813991601</v>
      </c>
      <c r="J138">
        <v>0.52986344317604495</v>
      </c>
      <c r="K138">
        <v>7.2612476137220998</v>
      </c>
      <c r="L138">
        <v>0.28027560940291302</v>
      </c>
      <c r="M138">
        <v>5.6495160189541904</v>
      </c>
      <c r="N138">
        <v>0.41121107275218399</v>
      </c>
      <c r="O138">
        <v>4.7030029296875</v>
      </c>
      <c r="P138">
        <v>0.345495597480868</v>
      </c>
      <c r="Q138" t="s">
        <v>135</v>
      </c>
    </row>
    <row r="139" spans="1:17" x14ac:dyDescent="0.6">
      <c r="A139" t="s">
        <v>427</v>
      </c>
      <c r="B139">
        <v>5</v>
      </c>
      <c r="C139" t="s">
        <v>99</v>
      </c>
      <c r="D139" t="s">
        <v>181</v>
      </c>
      <c r="E139" t="str">
        <f>"3."&amp;D139</f>
        <v>3.Macro + Sentiment (Direct)</v>
      </c>
      <c r="F139">
        <v>1</v>
      </c>
      <c r="G139" t="s">
        <v>428</v>
      </c>
      <c r="H139">
        <v>8.7271697719243093</v>
      </c>
      <c r="I139">
        <v>7.0582875158453602</v>
      </c>
      <c r="J139">
        <v>0.53823454729656495</v>
      </c>
      <c r="K139">
        <v>7.3164643827257496</v>
      </c>
      <c r="L139">
        <v>0.28857901898050603</v>
      </c>
      <c r="M139">
        <v>5.5876005098417201</v>
      </c>
      <c r="N139">
        <v>0.40965368709128702</v>
      </c>
      <c r="O139">
        <v>4.7071533203125</v>
      </c>
      <c r="P139">
        <v>0.350443747561754</v>
      </c>
      <c r="Q139" t="s">
        <v>90</v>
      </c>
    </row>
    <row r="140" spans="1:17" x14ac:dyDescent="0.6">
      <c r="A140" t="s">
        <v>429</v>
      </c>
      <c r="B140">
        <v>60</v>
      </c>
      <c r="C140" t="s">
        <v>92</v>
      </c>
      <c r="D140" t="s">
        <v>184</v>
      </c>
      <c r="E140" t="str">
        <f>"7."&amp;D140</f>
        <v>7.Macro + Event + Sentiment (Indirect)</v>
      </c>
      <c r="F140">
        <v>1</v>
      </c>
      <c r="G140" t="s">
        <v>430</v>
      </c>
      <c r="H140">
        <v>8.4727671494430492</v>
      </c>
      <c r="I140">
        <v>6.8421861418000898</v>
      </c>
      <c r="J140">
        <v>0.52923504658030696</v>
      </c>
      <c r="K140">
        <v>7.3560864645286204</v>
      </c>
      <c r="L140">
        <v>0.288087678727379</v>
      </c>
      <c r="M140">
        <v>5.6902049671519803</v>
      </c>
      <c r="N140">
        <v>0.41428189162756601</v>
      </c>
      <c r="O140">
        <v>4.71270751953125</v>
      </c>
      <c r="P140">
        <v>0.34084819087610102</v>
      </c>
      <c r="Q140" t="s">
        <v>135</v>
      </c>
    </row>
    <row r="141" spans="1:17" x14ac:dyDescent="0.6">
      <c r="A141" t="s">
        <v>431</v>
      </c>
      <c r="B141">
        <v>10</v>
      </c>
      <c r="C141" t="s">
        <v>9</v>
      </c>
      <c r="D141" t="s">
        <v>8</v>
      </c>
      <c r="E141" t="str">
        <f>"2."&amp;D141</f>
        <v>2.Macro + Event</v>
      </c>
      <c r="F141">
        <v>1</v>
      </c>
      <c r="G141" t="s">
        <v>155</v>
      </c>
      <c r="H141" s="13">
        <v>8.7932978914653397</v>
      </c>
      <c r="I141">
        <v>6.9862463305259004</v>
      </c>
      <c r="J141" s="13">
        <v>0.53310595664150895</v>
      </c>
      <c r="K141" s="13">
        <v>7.5700876998084103</v>
      </c>
      <c r="L141">
        <v>0.30700049499795001</v>
      </c>
      <c r="M141" s="13">
        <v>5.8563513291620497</v>
      </c>
      <c r="N141" s="13">
        <v>0.42847433538913698</v>
      </c>
      <c r="O141">
        <v>4.71337890625</v>
      </c>
      <c r="P141" s="13">
        <v>0.34797289463790698</v>
      </c>
      <c r="Q141" t="s">
        <v>90</v>
      </c>
    </row>
    <row r="142" spans="1:17" x14ac:dyDescent="0.6">
      <c r="A142" t="s">
        <v>432</v>
      </c>
      <c r="B142">
        <v>5</v>
      </c>
      <c r="C142" t="s">
        <v>9</v>
      </c>
      <c r="D142" t="s">
        <v>7</v>
      </c>
      <c r="E142" t="str">
        <f>"1."&amp;D142</f>
        <v>1.Macro Only</v>
      </c>
      <c r="F142">
        <v>1</v>
      </c>
      <c r="G142" t="s">
        <v>111</v>
      </c>
      <c r="H142" s="13">
        <v>8.7253390382096292</v>
      </c>
      <c r="I142" s="13">
        <v>7.0337735848200698</v>
      </c>
      <c r="J142" s="13">
        <v>0.53622051354803102</v>
      </c>
      <c r="K142" s="13">
        <v>7.9057553230941702</v>
      </c>
      <c r="L142">
        <v>0.33435530630523297</v>
      </c>
      <c r="M142">
        <v>6.2034996660240802</v>
      </c>
      <c r="N142" s="13">
        <v>0.45389565388400499</v>
      </c>
      <c r="O142">
        <v>4.714599609375</v>
      </c>
      <c r="P142" s="13">
        <v>0.34957932121485502</v>
      </c>
      <c r="Q142" t="s">
        <v>90</v>
      </c>
    </row>
    <row r="143" spans="1:17" x14ac:dyDescent="0.6">
      <c r="A143" t="s">
        <v>433</v>
      </c>
      <c r="B143">
        <v>10</v>
      </c>
      <c r="C143" t="s">
        <v>99</v>
      </c>
      <c r="D143" t="s">
        <v>167</v>
      </c>
      <c r="E143" t="str">
        <f>"6."&amp;D143</f>
        <v>6.Macro + Event + Sentiment (Direct)</v>
      </c>
      <c r="F143">
        <v>1</v>
      </c>
      <c r="G143" t="s">
        <v>434</v>
      </c>
      <c r="H143">
        <v>8.7321515687643494</v>
      </c>
      <c r="I143">
        <v>7.0009971837292602</v>
      </c>
      <c r="J143">
        <v>0.53398862333053998</v>
      </c>
      <c r="K143">
        <v>7.2947859071142096</v>
      </c>
      <c r="L143">
        <v>0.28531513066619801</v>
      </c>
      <c r="M143">
        <v>5.6279102426714598</v>
      </c>
      <c r="N143">
        <v>0.41199564832081398</v>
      </c>
      <c r="O143">
        <v>4.71820068359375</v>
      </c>
      <c r="P143">
        <v>0.34966537937533598</v>
      </c>
      <c r="Q143" t="s">
        <v>90</v>
      </c>
    </row>
    <row r="144" spans="1:17" x14ac:dyDescent="0.6">
      <c r="A144" t="s">
        <v>435</v>
      </c>
      <c r="B144">
        <v>10</v>
      </c>
      <c r="C144" t="s">
        <v>9</v>
      </c>
      <c r="D144" t="s">
        <v>171</v>
      </c>
      <c r="E144" t="str">
        <f>"4."&amp;D144</f>
        <v>4.Macro + Sentiment (Indirect)</v>
      </c>
      <c r="F144">
        <v>1</v>
      </c>
      <c r="G144" t="s">
        <v>436</v>
      </c>
      <c r="H144">
        <v>8.8153238358967894</v>
      </c>
      <c r="I144">
        <v>7.15273391930765</v>
      </c>
      <c r="J144">
        <v>0.54543639759102802</v>
      </c>
      <c r="K144">
        <v>7.4226188948973304</v>
      </c>
      <c r="L144">
        <v>0.29761907976365903</v>
      </c>
      <c r="M144">
        <v>5.6574318134679196</v>
      </c>
      <c r="N144">
        <v>0.415083236640442</v>
      </c>
      <c r="O144">
        <v>4.72760009765625</v>
      </c>
      <c r="P144">
        <v>0.34143272820905801</v>
      </c>
      <c r="Q144" t="s">
        <v>90</v>
      </c>
    </row>
    <row r="145" spans="1:17" x14ac:dyDescent="0.6">
      <c r="A145" t="s">
        <v>437</v>
      </c>
      <c r="B145">
        <v>90</v>
      </c>
      <c r="C145" t="s">
        <v>92</v>
      </c>
      <c r="D145" t="s">
        <v>171</v>
      </c>
      <c r="E145" t="str">
        <f>"4."&amp;D145</f>
        <v>4.Macro + Sentiment (Indirect)</v>
      </c>
      <c r="F145">
        <v>1</v>
      </c>
      <c r="G145" t="s">
        <v>438</v>
      </c>
      <c r="H145">
        <v>6.9968880096354704</v>
      </c>
      <c r="I145">
        <v>5.52183578953598</v>
      </c>
      <c r="J145">
        <v>0.43076675559257899</v>
      </c>
      <c r="K145">
        <v>7.1651081293329399</v>
      </c>
      <c r="L145">
        <v>0.27321265498536901</v>
      </c>
      <c r="M145">
        <v>5.48529052734375</v>
      </c>
      <c r="N145">
        <v>0.39905069176362601</v>
      </c>
      <c r="O145">
        <v>4.73004150390625</v>
      </c>
      <c r="P145">
        <v>0.34808540527424098</v>
      </c>
      <c r="Q145" t="s">
        <v>114</v>
      </c>
    </row>
    <row r="146" spans="1:17" x14ac:dyDescent="0.6">
      <c r="A146" t="s">
        <v>439</v>
      </c>
      <c r="B146">
        <v>10</v>
      </c>
      <c r="C146" t="s">
        <v>9</v>
      </c>
      <c r="D146" t="s">
        <v>181</v>
      </c>
      <c r="E146" t="str">
        <f>"3."&amp;D146</f>
        <v>3.Macro + Sentiment (Direct)</v>
      </c>
      <c r="F146">
        <v>1</v>
      </c>
      <c r="G146" t="s">
        <v>440</v>
      </c>
      <c r="H146">
        <v>8.7274215588814492</v>
      </c>
      <c r="I146">
        <v>7.0301428517245199</v>
      </c>
      <c r="J146">
        <v>0.53621518552584801</v>
      </c>
      <c r="K146">
        <v>7.6736323930710002</v>
      </c>
      <c r="L146">
        <v>0.31451542714890002</v>
      </c>
      <c r="M146">
        <v>6.0577279149958496</v>
      </c>
      <c r="N146">
        <v>0.44286991923153401</v>
      </c>
      <c r="O146">
        <v>4.73223876953125</v>
      </c>
      <c r="P146">
        <v>0.35045555498921899</v>
      </c>
      <c r="Q146" t="s">
        <v>90</v>
      </c>
    </row>
    <row r="147" spans="1:17" x14ac:dyDescent="0.6">
      <c r="A147" t="s">
        <v>441</v>
      </c>
      <c r="B147">
        <v>30</v>
      </c>
      <c r="C147" t="s">
        <v>6</v>
      </c>
      <c r="D147" t="s">
        <v>177</v>
      </c>
      <c r="E147" t="str">
        <f>"8."&amp;D147</f>
        <v>8.Macro + Event + Sentiment (Both)</v>
      </c>
      <c r="F147">
        <v>1</v>
      </c>
      <c r="G147" t="s">
        <v>442</v>
      </c>
      <c r="H147">
        <v>8.9872580356921397</v>
      </c>
      <c r="I147">
        <v>7.2062455314462897</v>
      </c>
      <c r="J147">
        <v>0.55084200822204898</v>
      </c>
      <c r="K147">
        <v>6.9798013124620901</v>
      </c>
      <c r="L147">
        <v>0.26082164329086599</v>
      </c>
      <c r="M147">
        <v>5.4144891535194102</v>
      </c>
      <c r="N147">
        <v>0.39583638770285101</v>
      </c>
      <c r="O147">
        <v>4.73431396484375</v>
      </c>
      <c r="P147">
        <v>0.34857923244910199</v>
      </c>
      <c r="Q147" t="s">
        <v>93</v>
      </c>
    </row>
    <row r="148" spans="1:17" x14ac:dyDescent="0.6">
      <c r="A148" t="s">
        <v>443</v>
      </c>
      <c r="B148">
        <v>10</v>
      </c>
      <c r="C148" t="s">
        <v>6</v>
      </c>
      <c r="D148" t="s">
        <v>181</v>
      </c>
      <c r="E148" t="str">
        <f>"3."&amp;D148</f>
        <v>3.Macro + Sentiment (Direct)</v>
      </c>
      <c r="F148">
        <v>1</v>
      </c>
      <c r="G148" t="s">
        <v>444</v>
      </c>
      <c r="H148">
        <v>8.7928004292582091</v>
      </c>
      <c r="I148">
        <v>7.0328106312010901</v>
      </c>
      <c r="J148">
        <v>0.53645452196939503</v>
      </c>
      <c r="K148">
        <v>7.1184178013132504</v>
      </c>
      <c r="L148">
        <v>0.27318807543470303</v>
      </c>
      <c r="M148">
        <v>5.4285737434319596</v>
      </c>
      <c r="N148">
        <v>0.39803273332605699</v>
      </c>
      <c r="O148">
        <v>4.74505615234375</v>
      </c>
      <c r="P148">
        <v>0.34974935026482301</v>
      </c>
      <c r="Q148" t="s">
        <v>90</v>
      </c>
    </row>
    <row r="149" spans="1:17" x14ac:dyDescent="0.6">
      <c r="A149" t="s">
        <v>445</v>
      </c>
      <c r="B149">
        <v>90</v>
      </c>
      <c r="C149" t="s">
        <v>6</v>
      </c>
      <c r="D149" t="s">
        <v>7</v>
      </c>
      <c r="E149" t="str">
        <f>"1."&amp;D149</f>
        <v>1.Macro Only</v>
      </c>
      <c r="F149">
        <v>1</v>
      </c>
      <c r="G149" t="s">
        <v>142</v>
      </c>
      <c r="H149" s="13">
        <v>7.1817983365045803</v>
      </c>
      <c r="I149" s="13">
        <v>5.6679317589962102</v>
      </c>
      <c r="J149" s="13">
        <v>0.44214617009805801</v>
      </c>
      <c r="K149" s="13">
        <v>7.3646177135076796</v>
      </c>
      <c r="L149">
        <v>0.28858870310324397</v>
      </c>
      <c r="M149" s="13">
        <v>5.6495085415774797</v>
      </c>
      <c r="N149" s="13">
        <v>0.41088423851464601</v>
      </c>
      <c r="O149">
        <v>4.7451171875</v>
      </c>
      <c r="P149" s="13">
        <v>0.34456918415495102</v>
      </c>
      <c r="Q149" t="s">
        <v>114</v>
      </c>
    </row>
    <row r="150" spans="1:17" x14ac:dyDescent="0.6">
      <c r="A150" t="s">
        <v>447</v>
      </c>
      <c r="B150">
        <v>10</v>
      </c>
      <c r="C150" t="s">
        <v>9</v>
      </c>
      <c r="D150" t="s">
        <v>174</v>
      </c>
      <c r="E150" t="str">
        <f>"5."&amp;D150</f>
        <v>5.Macro + Sentiment (Both)</v>
      </c>
      <c r="F150">
        <v>1</v>
      </c>
      <c r="G150" t="s">
        <v>448</v>
      </c>
      <c r="H150">
        <v>8.7251405323963596</v>
      </c>
      <c r="I150">
        <v>7.0472062745245303</v>
      </c>
      <c r="J150">
        <v>0.53754359428424003</v>
      </c>
      <c r="K150">
        <v>7.3395361896145204</v>
      </c>
      <c r="L150">
        <v>0.28775461404457303</v>
      </c>
      <c r="M150">
        <v>5.7080726285951302</v>
      </c>
      <c r="N150">
        <v>0.417446536240352</v>
      </c>
      <c r="O150">
        <v>4.7537841796875</v>
      </c>
      <c r="P150">
        <v>0.35221969897114402</v>
      </c>
      <c r="Q150" t="s">
        <v>90</v>
      </c>
    </row>
    <row r="151" spans="1:17" x14ac:dyDescent="0.6">
      <c r="A151" t="s">
        <v>449</v>
      </c>
      <c r="B151">
        <v>90</v>
      </c>
      <c r="C151" t="s">
        <v>6</v>
      </c>
      <c r="D151" t="s">
        <v>174</v>
      </c>
      <c r="E151" t="str">
        <f>"5."&amp;D151</f>
        <v>5.Macro + Sentiment (Both)</v>
      </c>
      <c r="F151">
        <v>1</v>
      </c>
      <c r="G151" t="s">
        <v>450</v>
      </c>
      <c r="H151">
        <v>6.9787853750523796</v>
      </c>
      <c r="I151">
        <v>5.5637502959280303</v>
      </c>
      <c r="J151">
        <v>0.43382506901921503</v>
      </c>
      <c r="K151">
        <v>7.2350759899235904</v>
      </c>
      <c r="L151">
        <v>0.27836455007248201</v>
      </c>
      <c r="M151">
        <v>5.5138156838613002</v>
      </c>
      <c r="N151">
        <v>0.40101829345992102</v>
      </c>
      <c r="O151">
        <v>4.75689697265625</v>
      </c>
      <c r="P151">
        <v>0.34506292345711898</v>
      </c>
      <c r="Q151" t="s">
        <v>114</v>
      </c>
    </row>
    <row r="152" spans="1:17" x14ac:dyDescent="0.6">
      <c r="A152" t="s">
        <v>451</v>
      </c>
      <c r="B152">
        <v>60</v>
      </c>
      <c r="C152" t="s">
        <v>6</v>
      </c>
      <c r="D152" t="s">
        <v>7</v>
      </c>
      <c r="E152" t="str">
        <f>"1."&amp;D152</f>
        <v>1.Macro Only</v>
      </c>
      <c r="F152">
        <v>1</v>
      </c>
      <c r="G152" t="s">
        <v>159</v>
      </c>
      <c r="H152" s="13">
        <v>8.4227743809161897</v>
      </c>
      <c r="I152" s="13">
        <v>6.7781490284007901</v>
      </c>
      <c r="J152" s="13">
        <v>0.52416896339033703</v>
      </c>
      <c r="K152" s="13">
        <v>7.64761302942697</v>
      </c>
      <c r="L152">
        <v>0.31321900543304299</v>
      </c>
      <c r="M152">
        <v>5.8081255826083096</v>
      </c>
      <c r="N152" s="13">
        <v>0.42361236748120401</v>
      </c>
      <c r="O152">
        <v>4.75750732421875</v>
      </c>
      <c r="P152" s="13">
        <v>0.349641073896789</v>
      </c>
      <c r="Q152" t="s">
        <v>135</v>
      </c>
    </row>
    <row r="153" spans="1:17" x14ac:dyDescent="0.6">
      <c r="A153" t="s">
        <v>453</v>
      </c>
      <c r="B153">
        <v>10</v>
      </c>
      <c r="C153" t="s">
        <v>9</v>
      </c>
      <c r="D153" t="s">
        <v>167</v>
      </c>
      <c r="E153" t="str">
        <f>"6."&amp;D153</f>
        <v>6.Macro + Event + Sentiment (Direct)</v>
      </c>
      <c r="F153">
        <v>1</v>
      </c>
      <c r="G153" t="s">
        <v>239</v>
      </c>
      <c r="H153">
        <v>8.7499056145477496</v>
      </c>
      <c r="I153">
        <v>7.0042934964325196</v>
      </c>
      <c r="J153">
        <v>0.53419181357830503</v>
      </c>
      <c r="K153">
        <v>7.2537872446932798</v>
      </c>
      <c r="L153">
        <v>0.283884721386781</v>
      </c>
      <c r="M153">
        <v>5.5576533764864404</v>
      </c>
      <c r="N153">
        <v>0.407546010856768</v>
      </c>
      <c r="O153">
        <v>4.76275634765625</v>
      </c>
      <c r="P153">
        <v>0.35536452389761197</v>
      </c>
      <c r="Q153" t="s">
        <v>90</v>
      </c>
    </row>
    <row r="154" spans="1:17" x14ac:dyDescent="0.6">
      <c r="A154" t="s">
        <v>454</v>
      </c>
      <c r="B154">
        <v>60</v>
      </c>
      <c r="C154" t="s">
        <v>9</v>
      </c>
      <c r="D154" t="s">
        <v>171</v>
      </c>
      <c r="E154" t="str">
        <f>"4."&amp;D154</f>
        <v>4.Macro + Sentiment (Indirect)</v>
      </c>
      <c r="F154">
        <v>1</v>
      </c>
      <c r="G154" t="s">
        <v>455</v>
      </c>
      <c r="H154">
        <v>8.5101380933122392</v>
      </c>
      <c r="I154">
        <v>6.8405174003852496</v>
      </c>
      <c r="J154">
        <v>0.52892139212356803</v>
      </c>
      <c r="K154">
        <v>7.54626779721458</v>
      </c>
      <c r="L154">
        <v>0.30261386437443399</v>
      </c>
      <c r="M154">
        <v>5.8844521262428904</v>
      </c>
      <c r="N154">
        <v>0.42830052535298102</v>
      </c>
      <c r="O154">
        <v>4.76800537109375</v>
      </c>
      <c r="P154">
        <v>0.34497756898159698</v>
      </c>
      <c r="Q154" t="s">
        <v>135</v>
      </c>
    </row>
    <row r="155" spans="1:17" x14ac:dyDescent="0.6">
      <c r="A155" t="s">
        <v>456</v>
      </c>
      <c r="B155">
        <v>10</v>
      </c>
      <c r="C155" t="s">
        <v>92</v>
      </c>
      <c r="D155" t="s">
        <v>8</v>
      </c>
      <c r="E155" t="str">
        <f>"2."&amp;D155</f>
        <v>2.Macro + Event</v>
      </c>
      <c r="F155">
        <v>1</v>
      </c>
      <c r="G155" t="s">
        <v>104</v>
      </c>
      <c r="H155">
        <v>8.6712380000000007</v>
      </c>
      <c r="I155">
        <v>6.9364549999999996</v>
      </c>
      <c r="J155">
        <v>0.52906200000000003</v>
      </c>
      <c r="K155">
        <v>7.0868869999999999</v>
      </c>
      <c r="L155">
        <v>0.2702</v>
      </c>
      <c r="M155">
        <v>5.4353389999999999</v>
      </c>
      <c r="N155">
        <v>0.398316</v>
      </c>
      <c r="O155">
        <v>4.7739260000000003</v>
      </c>
      <c r="P155">
        <v>0.35355300000000001</v>
      </c>
      <c r="Q155" t="s">
        <v>90</v>
      </c>
    </row>
    <row r="156" spans="1:17" x14ac:dyDescent="0.6">
      <c r="A156" t="s">
        <v>457</v>
      </c>
      <c r="B156">
        <v>60</v>
      </c>
      <c r="C156" t="s">
        <v>92</v>
      </c>
      <c r="D156" t="s">
        <v>177</v>
      </c>
      <c r="E156" t="str">
        <f>"8."&amp;D156</f>
        <v>8.Macro + Event + Sentiment (Both)</v>
      </c>
      <c r="F156">
        <v>1</v>
      </c>
      <c r="G156" t="s">
        <v>458</v>
      </c>
      <c r="H156">
        <v>8.45611977723288</v>
      </c>
      <c r="I156">
        <v>6.8436202164534601</v>
      </c>
      <c r="J156">
        <v>0.52921683018643295</v>
      </c>
      <c r="K156">
        <v>7.3231435715426496</v>
      </c>
      <c r="L156">
        <v>0.28557285003386101</v>
      </c>
      <c r="M156">
        <v>5.6495555530894803</v>
      </c>
      <c r="N156">
        <v>0.41140818053238398</v>
      </c>
      <c r="O156">
        <v>4.7750244140625</v>
      </c>
      <c r="P156">
        <v>0.347665050761577</v>
      </c>
      <c r="Q156" t="s">
        <v>135</v>
      </c>
    </row>
    <row r="157" spans="1:17" x14ac:dyDescent="0.6">
      <c r="A157" t="s">
        <v>459</v>
      </c>
      <c r="B157">
        <v>60</v>
      </c>
      <c r="C157" t="s">
        <v>9</v>
      </c>
      <c r="D157" t="s">
        <v>174</v>
      </c>
      <c r="E157" t="str">
        <f>"5."&amp;D157</f>
        <v>5.Macro + Sentiment (Both)</v>
      </c>
      <c r="F157">
        <v>1</v>
      </c>
      <c r="G157" t="s">
        <v>202</v>
      </c>
      <c r="H157">
        <v>8.5579672302040493</v>
      </c>
      <c r="I157">
        <v>6.9921169071407103</v>
      </c>
      <c r="J157">
        <v>0.54077751454273404</v>
      </c>
      <c r="K157">
        <v>7.4022491320757302</v>
      </c>
      <c r="L157">
        <v>0.29280848898636297</v>
      </c>
      <c r="M157">
        <v>5.6577973799272003</v>
      </c>
      <c r="N157">
        <v>0.41224095624104301</v>
      </c>
      <c r="O157">
        <v>4.776123046875</v>
      </c>
      <c r="P157">
        <v>0.34587998503832701</v>
      </c>
      <c r="Q157" t="s">
        <v>135</v>
      </c>
    </row>
    <row r="158" spans="1:17" x14ac:dyDescent="0.6">
      <c r="A158" t="s">
        <v>460</v>
      </c>
      <c r="B158">
        <v>30</v>
      </c>
      <c r="C158" t="s">
        <v>92</v>
      </c>
      <c r="D158" t="s">
        <v>8</v>
      </c>
      <c r="E158" t="str">
        <f>"2."&amp;D158</f>
        <v>2.Macro + Event</v>
      </c>
      <c r="F158">
        <v>1</v>
      </c>
      <c r="G158" t="s">
        <v>145</v>
      </c>
      <c r="H158">
        <v>8.8409189999999995</v>
      </c>
      <c r="I158">
        <v>7.1143619999999999</v>
      </c>
      <c r="J158">
        <v>0.54365799999999997</v>
      </c>
      <c r="K158">
        <v>7.3824569999999996</v>
      </c>
      <c r="L158">
        <v>0.2903</v>
      </c>
      <c r="M158">
        <v>5.7939259999999999</v>
      </c>
      <c r="N158">
        <v>0.42299999999999999</v>
      </c>
      <c r="O158">
        <v>4.7860719999999999</v>
      </c>
      <c r="P158">
        <v>0.34620400000000001</v>
      </c>
      <c r="Q158" t="s">
        <v>93</v>
      </c>
    </row>
    <row r="159" spans="1:17" x14ac:dyDescent="0.6">
      <c r="A159" t="s">
        <v>461</v>
      </c>
      <c r="B159">
        <v>30</v>
      </c>
      <c r="C159" t="s">
        <v>9</v>
      </c>
      <c r="D159" t="s">
        <v>181</v>
      </c>
      <c r="E159" t="str">
        <f>"3."&amp;D159</f>
        <v>3.Macro + Sentiment (Direct)</v>
      </c>
      <c r="F159">
        <v>1</v>
      </c>
      <c r="G159" t="s">
        <v>462</v>
      </c>
      <c r="H159">
        <v>8.8991461628525403</v>
      </c>
      <c r="I159">
        <v>7.2642000549675698</v>
      </c>
      <c r="J159">
        <v>0.55503529068433499</v>
      </c>
      <c r="K159">
        <v>7.6559406937640704</v>
      </c>
      <c r="L159">
        <v>0.31150548917759202</v>
      </c>
      <c r="M159">
        <v>6.1104576333055203</v>
      </c>
      <c r="N159">
        <v>0.44575702008327101</v>
      </c>
      <c r="O159">
        <v>4.8057861328125</v>
      </c>
      <c r="P159">
        <v>0.35668302215224201</v>
      </c>
      <c r="Q159" t="s">
        <v>93</v>
      </c>
    </row>
    <row r="160" spans="1:17" x14ac:dyDescent="0.6">
      <c r="A160" t="s">
        <v>463</v>
      </c>
      <c r="B160">
        <v>20</v>
      </c>
      <c r="C160" t="s">
        <v>99</v>
      </c>
      <c r="D160" t="s">
        <v>7</v>
      </c>
      <c r="E160" t="str">
        <f>"1."&amp;D160</f>
        <v>1.Macro Only</v>
      </c>
      <c r="F160">
        <v>1</v>
      </c>
      <c r="G160" t="s">
        <v>100</v>
      </c>
      <c r="H160">
        <v>8.6930429999999994</v>
      </c>
      <c r="I160">
        <v>6.9213950000000004</v>
      </c>
      <c r="J160">
        <v>0.52815900000000005</v>
      </c>
      <c r="K160">
        <v>7.0688050000000002</v>
      </c>
      <c r="L160">
        <v>0.26840000000000003</v>
      </c>
      <c r="M160">
        <v>5.4607749999999999</v>
      </c>
      <c r="N160">
        <v>0.39980300000000002</v>
      </c>
      <c r="O160">
        <v>4.8067019999999996</v>
      </c>
      <c r="P160">
        <v>0.34881099999999998</v>
      </c>
      <c r="Q160" t="s">
        <v>90</v>
      </c>
    </row>
    <row r="161" spans="1:17" x14ac:dyDescent="0.6">
      <c r="A161" t="s">
        <v>464</v>
      </c>
      <c r="B161">
        <v>60</v>
      </c>
      <c r="C161" t="s">
        <v>6</v>
      </c>
      <c r="D161" t="s">
        <v>8</v>
      </c>
      <c r="E161" t="str">
        <f>"2."&amp;D161</f>
        <v>2.Macro + Event</v>
      </c>
      <c r="F161">
        <v>1</v>
      </c>
      <c r="G161" t="s">
        <v>152</v>
      </c>
      <c r="H161" s="13">
        <v>8.4546367438248797</v>
      </c>
      <c r="I161" s="13">
        <v>6.7967955201536698</v>
      </c>
      <c r="J161" s="13">
        <v>0.52560094765660204</v>
      </c>
      <c r="K161" s="13">
        <v>7.5197311902796899</v>
      </c>
      <c r="L161">
        <v>0.30258052650601697</v>
      </c>
      <c r="M161" s="13">
        <v>5.7225223888050403</v>
      </c>
      <c r="N161" s="13">
        <v>0.417181750445344</v>
      </c>
      <c r="O161">
        <v>4.81048583984375</v>
      </c>
      <c r="P161" s="13">
        <v>0.34794145670430998</v>
      </c>
      <c r="Q161" t="s">
        <v>135</v>
      </c>
    </row>
    <row r="162" spans="1:17" x14ac:dyDescent="0.6">
      <c r="A162" t="s">
        <v>465</v>
      </c>
      <c r="B162">
        <v>90</v>
      </c>
      <c r="C162" t="s">
        <v>92</v>
      </c>
      <c r="D162" t="s">
        <v>181</v>
      </c>
      <c r="E162" t="str">
        <f>"3."&amp;D162</f>
        <v>3.Macro + Sentiment (Direct)</v>
      </c>
      <c r="F162">
        <v>1</v>
      </c>
      <c r="G162" t="s">
        <v>466</v>
      </c>
      <c r="H162">
        <v>6.9960574108104003</v>
      </c>
      <c r="I162">
        <v>5.53389300722064</v>
      </c>
      <c r="J162">
        <v>0.431737190783477</v>
      </c>
      <c r="K162">
        <v>7.3029645210249399</v>
      </c>
      <c r="L162">
        <v>0.28436727033558301</v>
      </c>
      <c r="M162">
        <v>5.5629180490154102</v>
      </c>
      <c r="N162">
        <v>0.40486600115916499</v>
      </c>
      <c r="O162">
        <v>4.81304931640625</v>
      </c>
      <c r="P162">
        <v>0.34186826066634102</v>
      </c>
      <c r="Q162" t="s">
        <v>114</v>
      </c>
    </row>
    <row r="163" spans="1:17" x14ac:dyDescent="0.6">
      <c r="A163" t="s">
        <v>468</v>
      </c>
      <c r="B163">
        <v>60</v>
      </c>
      <c r="C163" t="s">
        <v>9</v>
      </c>
      <c r="D163" t="s">
        <v>177</v>
      </c>
      <c r="E163" t="str">
        <f>"8."&amp;D163</f>
        <v>8.Macro + Event + Sentiment (Both)</v>
      </c>
      <c r="F163">
        <v>1</v>
      </c>
      <c r="G163" t="s">
        <v>469</v>
      </c>
      <c r="H163">
        <v>8.3916550202199502</v>
      </c>
      <c r="I163">
        <v>6.8334509880988099</v>
      </c>
      <c r="J163">
        <v>0.52800674555390703</v>
      </c>
      <c r="K163">
        <v>7.37626180038394</v>
      </c>
      <c r="L163">
        <v>0.29004984907526199</v>
      </c>
      <c r="M163">
        <v>5.6494709361683197</v>
      </c>
      <c r="N163">
        <v>0.41165577686693999</v>
      </c>
      <c r="O163">
        <v>4.81903076171875</v>
      </c>
      <c r="P163">
        <v>0.35215536061831498</v>
      </c>
      <c r="Q163" t="s">
        <v>135</v>
      </c>
    </row>
    <row r="164" spans="1:17" x14ac:dyDescent="0.6">
      <c r="A164" t="s">
        <v>470</v>
      </c>
      <c r="B164">
        <v>20</v>
      </c>
      <c r="C164" t="s">
        <v>9</v>
      </c>
      <c r="D164" t="s">
        <v>8</v>
      </c>
      <c r="E164" t="str">
        <f>"2."&amp;D164</f>
        <v>2.Macro + Event</v>
      </c>
      <c r="F164">
        <v>1</v>
      </c>
      <c r="G164" t="s">
        <v>97</v>
      </c>
      <c r="H164" s="13">
        <v>8.6669084631691398</v>
      </c>
      <c r="I164" s="13">
        <v>6.9536505306468204</v>
      </c>
      <c r="J164" s="13">
        <v>0.53038521894520296</v>
      </c>
      <c r="K164" s="13">
        <v>6.9988769277651004</v>
      </c>
      <c r="L164">
        <v>0.26266763540183202</v>
      </c>
      <c r="M164" s="13">
        <v>5.3779223406756298</v>
      </c>
      <c r="N164" s="13">
        <v>0.39357667406389801</v>
      </c>
      <c r="O164">
        <v>4.82080078125</v>
      </c>
      <c r="P164" s="13">
        <v>0.35856878623634098</v>
      </c>
      <c r="Q164" t="s">
        <v>90</v>
      </c>
    </row>
    <row r="165" spans="1:17" x14ac:dyDescent="0.6">
      <c r="A165" t="s">
        <v>471</v>
      </c>
      <c r="B165">
        <v>20</v>
      </c>
      <c r="C165" t="s">
        <v>99</v>
      </c>
      <c r="D165" t="s">
        <v>174</v>
      </c>
      <c r="E165" t="str">
        <f>"5."&amp;D165</f>
        <v>5.Macro + Sentiment (Both)</v>
      </c>
      <c r="F165">
        <v>1</v>
      </c>
      <c r="G165" t="s">
        <v>472</v>
      </c>
      <c r="H165">
        <v>8.6907892198157803</v>
      </c>
      <c r="I165">
        <v>6.9767812353265803</v>
      </c>
      <c r="J165">
        <v>0.53262794261620905</v>
      </c>
      <c r="K165">
        <v>7.1590788883339096</v>
      </c>
      <c r="L165">
        <v>0.27363082178873299</v>
      </c>
      <c r="M165">
        <v>5.5988294813368</v>
      </c>
      <c r="N165">
        <v>0.40915770507754101</v>
      </c>
      <c r="O165">
        <v>4.8211669921875</v>
      </c>
      <c r="P165">
        <v>0.35089346536636701</v>
      </c>
      <c r="Q165" t="s">
        <v>90</v>
      </c>
    </row>
    <row r="166" spans="1:17" x14ac:dyDescent="0.6">
      <c r="A166" t="s">
        <v>473</v>
      </c>
      <c r="B166">
        <v>30</v>
      </c>
      <c r="C166" t="s">
        <v>99</v>
      </c>
      <c r="D166" t="s">
        <v>181</v>
      </c>
      <c r="E166" t="str">
        <f>"3."&amp;D166</f>
        <v>3.Macro + Sentiment (Direct)</v>
      </c>
      <c r="F166">
        <v>1</v>
      </c>
      <c r="G166" t="s">
        <v>474</v>
      </c>
      <c r="H166">
        <v>8.8110462843122903</v>
      </c>
      <c r="I166">
        <v>7.0888984237427</v>
      </c>
      <c r="J166">
        <v>0.54163860229384897</v>
      </c>
      <c r="K166">
        <v>7.2015741183594502</v>
      </c>
      <c r="L166">
        <v>0.277904134572794</v>
      </c>
      <c r="M166">
        <v>5.4982489428473897</v>
      </c>
      <c r="N166">
        <v>0.401961006605496</v>
      </c>
      <c r="O166">
        <v>4.825439453125</v>
      </c>
      <c r="P166">
        <v>0.35399384259641598</v>
      </c>
      <c r="Q166" t="s">
        <v>93</v>
      </c>
    </row>
    <row r="167" spans="1:17" x14ac:dyDescent="0.6">
      <c r="A167" t="s">
        <v>475</v>
      </c>
      <c r="B167">
        <v>60</v>
      </c>
      <c r="C167" t="s">
        <v>6</v>
      </c>
      <c r="D167" t="s">
        <v>181</v>
      </c>
      <c r="E167" t="str">
        <f>"3."&amp;D167</f>
        <v>3.Macro + Sentiment (Direct)</v>
      </c>
      <c r="F167">
        <v>1</v>
      </c>
      <c r="G167" t="s">
        <v>476</v>
      </c>
      <c r="H167">
        <v>8.5012392623478306</v>
      </c>
      <c r="I167">
        <v>6.8809406154758301</v>
      </c>
      <c r="J167">
        <v>0.53203447111958102</v>
      </c>
      <c r="K167">
        <v>7.30784420965343</v>
      </c>
      <c r="L167">
        <v>0.28358682077658803</v>
      </c>
      <c r="M167">
        <v>5.6755794178355803</v>
      </c>
      <c r="N167">
        <v>0.412918643932984</v>
      </c>
      <c r="O167">
        <v>4.83056640625</v>
      </c>
      <c r="P167">
        <v>0.35216855020230198</v>
      </c>
      <c r="Q167" t="s">
        <v>135</v>
      </c>
    </row>
    <row r="168" spans="1:17" x14ac:dyDescent="0.6">
      <c r="A168" t="s">
        <v>477</v>
      </c>
      <c r="B168">
        <v>90</v>
      </c>
      <c r="C168" t="s">
        <v>9</v>
      </c>
      <c r="D168" t="s">
        <v>184</v>
      </c>
      <c r="E168" t="str">
        <f>"7."&amp;D168</f>
        <v>7.Macro + Event + Sentiment (Indirect)</v>
      </c>
      <c r="F168">
        <v>1</v>
      </c>
      <c r="G168" t="s">
        <v>279</v>
      </c>
      <c r="H168">
        <v>7.1091731673947098</v>
      </c>
      <c r="I168">
        <v>5.6164828213778399</v>
      </c>
      <c r="J168">
        <v>0.43861545904206101</v>
      </c>
      <c r="K168">
        <v>7.3784115958374699</v>
      </c>
      <c r="L168">
        <v>0.29007639683795799</v>
      </c>
      <c r="M168">
        <v>5.6676100639447702</v>
      </c>
      <c r="N168">
        <v>0.41246891827340798</v>
      </c>
      <c r="O168">
        <v>4.85382080078125</v>
      </c>
      <c r="P168">
        <v>0.34834370254367197</v>
      </c>
      <c r="Q168" t="s">
        <v>114</v>
      </c>
    </row>
    <row r="169" spans="1:17" x14ac:dyDescent="0.6">
      <c r="A169" t="s">
        <v>478</v>
      </c>
      <c r="B169">
        <v>30</v>
      </c>
      <c r="C169" t="s">
        <v>9</v>
      </c>
      <c r="D169" t="s">
        <v>184</v>
      </c>
      <c r="E169" t="str">
        <f>"7."&amp;D169</f>
        <v>7.Macro + Event + Sentiment (Indirect)</v>
      </c>
      <c r="F169">
        <v>1</v>
      </c>
      <c r="G169" t="s">
        <v>479</v>
      </c>
      <c r="H169">
        <v>8.9456934502875995</v>
      </c>
      <c r="I169">
        <v>7.1996250393212096</v>
      </c>
      <c r="J169">
        <v>0.550249093754686</v>
      </c>
      <c r="K169">
        <v>7.3475514076060398</v>
      </c>
      <c r="L169">
        <v>0.28750274999018499</v>
      </c>
      <c r="M169">
        <v>5.7964430133115901</v>
      </c>
      <c r="N169">
        <v>0.42306592490230899</v>
      </c>
      <c r="O169">
        <v>4.862060546875</v>
      </c>
      <c r="P169">
        <v>0.35609102374177898</v>
      </c>
      <c r="Q169" t="s">
        <v>93</v>
      </c>
    </row>
    <row r="170" spans="1:17" x14ac:dyDescent="0.6">
      <c r="A170" t="s">
        <v>481</v>
      </c>
      <c r="B170">
        <v>20</v>
      </c>
      <c r="C170" t="s">
        <v>9</v>
      </c>
      <c r="D170" t="s">
        <v>177</v>
      </c>
      <c r="E170" t="str">
        <f>"8."&amp;D170</f>
        <v>8.Macro + Event + Sentiment (Both)</v>
      </c>
      <c r="F170">
        <v>1</v>
      </c>
      <c r="G170" t="s">
        <v>482</v>
      </c>
      <c r="H170">
        <v>8.6923914436300098</v>
      </c>
      <c r="I170">
        <v>6.9108248659411897</v>
      </c>
      <c r="J170">
        <v>0.52712663147449001</v>
      </c>
      <c r="K170">
        <v>7.1770669020604698</v>
      </c>
      <c r="L170">
        <v>0.27684675420888</v>
      </c>
      <c r="M170">
        <v>5.5409432870370301</v>
      </c>
      <c r="N170">
        <v>0.40575503653005801</v>
      </c>
      <c r="O170">
        <v>4.86456298828125</v>
      </c>
      <c r="P170">
        <v>0.35346825011495597</v>
      </c>
      <c r="Q170" t="s">
        <v>90</v>
      </c>
    </row>
    <row r="171" spans="1:17" x14ac:dyDescent="0.6">
      <c r="A171" t="s">
        <v>483</v>
      </c>
      <c r="B171">
        <v>60</v>
      </c>
      <c r="C171" t="s">
        <v>99</v>
      </c>
      <c r="D171" t="s">
        <v>177</v>
      </c>
      <c r="E171" t="str">
        <f>"8."&amp;D171</f>
        <v>8.Macro + Event + Sentiment (Both)</v>
      </c>
      <c r="F171">
        <v>1</v>
      </c>
      <c r="G171" t="s">
        <v>484</v>
      </c>
      <c r="H171">
        <v>8.35493218463224</v>
      </c>
      <c r="I171">
        <v>6.8471704000955098</v>
      </c>
      <c r="J171">
        <v>0.52924593685908305</v>
      </c>
      <c r="K171">
        <v>7.3469796233474902</v>
      </c>
      <c r="L171">
        <v>0.287759521678638</v>
      </c>
      <c r="M171">
        <v>5.6367152820933901</v>
      </c>
      <c r="N171">
        <v>0.41066738992697299</v>
      </c>
      <c r="O171">
        <v>4.87017822265625</v>
      </c>
      <c r="P171">
        <v>0.35273478554103399</v>
      </c>
      <c r="Q171" t="s">
        <v>135</v>
      </c>
    </row>
    <row r="172" spans="1:17" x14ac:dyDescent="0.6">
      <c r="A172" t="s">
        <v>485</v>
      </c>
      <c r="B172">
        <v>60</v>
      </c>
      <c r="C172" t="s">
        <v>99</v>
      </c>
      <c r="D172" t="s">
        <v>184</v>
      </c>
      <c r="E172" t="str">
        <f>"7."&amp;D172</f>
        <v>7.Macro + Event + Sentiment (Indirect)</v>
      </c>
      <c r="F172">
        <v>1</v>
      </c>
      <c r="G172" t="s">
        <v>486</v>
      </c>
      <c r="H172">
        <v>8.43844576759526</v>
      </c>
      <c r="I172">
        <v>6.8093557672186202</v>
      </c>
      <c r="J172">
        <v>0.52672990391220198</v>
      </c>
      <c r="K172">
        <v>7.7454439846394001</v>
      </c>
      <c r="L172">
        <v>0.31773376668291603</v>
      </c>
      <c r="M172">
        <v>6.0763272372159003</v>
      </c>
      <c r="N172">
        <v>0.44181479734763102</v>
      </c>
      <c r="O172">
        <v>4.87310791015625</v>
      </c>
      <c r="P172">
        <v>0.35573152882837</v>
      </c>
      <c r="Q172" t="s">
        <v>135</v>
      </c>
    </row>
    <row r="173" spans="1:17" x14ac:dyDescent="0.6">
      <c r="A173" t="s">
        <v>487</v>
      </c>
      <c r="B173">
        <v>30</v>
      </c>
      <c r="C173" t="s">
        <v>6</v>
      </c>
      <c r="D173" t="s">
        <v>8</v>
      </c>
      <c r="E173" t="str">
        <f>"2."&amp;D173</f>
        <v>2.Macro + Event</v>
      </c>
      <c r="F173">
        <v>1</v>
      </c>
      <c r="G173" t="s">
        <v>148</v>
      </c>
      <c r="H173" s="13">
        <v>8.9019591773170497</v>
      </c>
      <c r="I173" s="13">
        <v>7.1205688681895198</v>
      </c>
      <c r="J173" s="13">
        <v>0.54399636865956602</v>
      </c>
      <c r="K173" s="13">
        <v>7.4534726521353596</v>
      </c>
      <c r="L173">
        <v>0.297923999794178</v>
      </c>
      <c r="M173" s="13">
        <v>5.6844968332827603</v>
      </c>
      <c r="N173" s="13">
        <v>0.41555569837169198</v>
      </c>
      <c r="O173">
        <v>4.8734130859375</v>
      </c>
      <c r="P173">
        <v>0.35191326993736</v>
      </c>
      <c r="Q173" t="s">
        <v>93</v>
      </c>
    </row>
    <row r="174" spans="1:17" x14ac:dyDescent="0.6">
      <c r="A174" t="s">
        <v>488</v>
      </c>
      <c r="B174">
        <v>5</v>
      </c>
      <c r="C174" t="s">
        <v>9</v>
      </c>
      <c r="D174" t="s">
        <v>181</v>
      </c>
      <c r="E174" t="str">
        <f>"3."&amp;D174</f>
        <v>3.Macro + Sentiment (Direct)</v>
      </c>
      <c r="F174">
        <v>1</v>
      </c>
      <c r="G174" t="s">
        <v>489</v>
      </c>
      <c r="H174">
        <v>8.8131852468105496</v>
      </c>
      <c r="I174">
        <v>7.1070443724555004</v>
      </c>
      <c r="J174">
        <v>0.54216563981148902</v>
      </c>
      <c r="K174">
        <v>7.8153564668495701</v>
      </c>
      <c r="L174">
        <v>0.32665605654852503</v>
      </c>
      <c r="M174">
        <v>6.0984082242627098</v>
      </c>
      <c r="N174">
        <v>0.44620880016050501</v>
      </c>
      <c r="O174">
        <v>4.8770751953125</v>
      </c>
      <c r="P174">
        <v>0.35800665112229002</v>
      </c>
      <c r="Q174" t="s">
        <v>90</v>
      </c>
    </row>
    <row r="175" spans="1:17" x14ac:dyDescent="0.6">
      <c r="A175" t="s">
        <v>490</v>
      </c>
      <c r="B175">
        <v>30</v>
      </c>
      <c r="C175" t="s">
        <v>9</v>
      </c>
      <c r="D175" t="s">
        <v>8</v>
      </c>
      <c r="E175" t="str">
        <f>"2."&amp;D175</f>
        <v>2.Macro + Event</v>
      </c>
      <c r="F175">
        <v>1</v>
      </c>
      <c r="G175" t="s">
        <v>142</v>
      </c>
      <c r="H175" s="13">
        <v>8.9341371463538</v>
      </c>
      <c r="I175" s="13">
        <v>7.18222605430147</v>
      </c>
      <c r="J175" s="13">
        <v>0.54882554776852699</v>
      </c>
      <c r="K175" s="13">
        <v>7.6305046082067403</v>
      </c>
      <c r="L175">
        <v>0.30891904762220601</v>
      </c>
      <c r="M175" s="13">
        <v>5.89081877180673</v>
      </c>
      <c r="N175" s="13">
        <v>0.429472085769944</v>
      </c>
      <c r="O175">
        <v>4.89654541015625</v>
      </c>
      <c r="P175" s="13">
        <v>0.36789645511561497</v>
      </c>
      <c r="Q175" t="s">
        <v>93</v>
      </c>
    </row>
    <row r="176" spans="1:17" x14ac:dyDescent="0.6">
      <c r="A176" t="s">
        <v>491</v>
      </c>
      <c r="B176">
        <v>20</v>
      </c>
      <c r="C176" t="s">
        <v>9</v>
      </c>
      <c r="D176" t="s">
        <v>181</v>
      </c>
      <c r="E176" t="str">
        <f>"3."&amp;D176</f>
        <v>3.Macro + Sentiment (Direct)</v>
      </c>
      <c r="F176">
        <v>1</v>
      </c>
      <c r="G176" t="s">
        <v>492</v>
      </c>
      <c r="H176">
        <v>8.7599004546532893</v>
      </c>
      <c r="I176">
        <v>7.0939811843130602</v>
      </c>
      <c r="J176">
        <v>0.54095334134578499</v>
      </c>
      <c r="K176">
        <v>7.1281889888302103</v>
      </c>
      <c r="L176">
        <v>0.27280504637108</v>
      </c>
      <c r="M176">
        <v>5.5096119068286997</v>
      </c>
      <c r="N176">
        <v>0.40321809579413098</v>
      </c>
      <c r="O176">
        <v>4.90338134765625</v>
      </c>
      <c r="P176">
        <v>0.35899666830147298</v>
      </c>
      <c r="Q176" t="s">
        <v>90</v>
      </c>
    </row>
    <row r="177" spans="1:17" x14ac:dyDescent="0.6">
      <c r="A177" t="s">
        <v>493</v>
      </c>
      <c r="B177">
        <v>60</v>
      </c>
      <c r="C177" t="s">
        <v>99</v>
      </c>
      <c r="D177" t="s">
        <v>7</v>
      </c>
      <c r="E177" t="str">
        <f>"1."&amp;D177</f>
        <v>1.Macro Only</v>
      </c>
      <c r="F177">
        <v>1</v>
      </c>
      <c r="G177" t="s">
        <v>146</v>
      </c>
      <c r="H177">
        <v>8.5050179999999997</v>
      </c>
      <c r="I177">
        <v>6.8979920000000003</v>
      </c>
      <c r="J177">
        <v>0.53338200000000002</v>
      </c>
      <c r="K177">
        <v>7.4350009999999997</v>
      </c>
      <c r="L177">
        <v>0.29480000000000001</v>
      </c>
      <c r="M177">
        <v>5.7304399999999998</v>
      </c>
      <c r="N177">
        <v>0.41740500000000003</v>
      </c>
      <c r="O177">
        <v>4.920471</v>
      </c>
      <c r="P177">
        <v>0.36538900000000002</v>
      </c>
      <c r="Q177" t="s">
        <v>135</v>
      </c>
    </row>
    <row r="178" spans="1:17" x14ac:dyDescent="0.6">
      <c r="A178" t="s">
        <v>494</v>
      </c>
      <c r="B178">
        <v>30</v>
      </c>
      <c r="C178" t="s">
        <v>9</v>
      </c>
      <c r="D178" t="s">
        <v>167</v>
      </c>
      <c r="E178" t="str">
        <f>"6."&amp;D178</f>
        <v>6.Macro + Event + Sentiment (Direct)</v>
      </c>
      <c r="F178">
        <v>1</v>
      </c>
      <c r="G178" t="s">
        <v>495</v>
      </c>
      <c r="H178">
        <v>9.0288617058515293</v>
      </c>
      <c r="I178">
        <v>7.2732422413998403</v>
      </c>
      <c r="J178">
        <v>0.55605312826123099</v>
      </c>
      <c r="K178">
        <v>7.5860740225330501</v>
      </c>
      <c r="L178">
        <v>0.306127902829955</v>
      </c>
      <c r="M178">
        <v>5.9595176918992703</v>
      </c>
      <c r="N178">
        <v>0.434843067375556</v>
      </c>
      <c r="O178">
        <v>4.92999267578125</v>
      </c>
      <c r="P178">
        <v>0.35561045297433203</v>
      </c>
      <c r="Q178" t="s">
        <v>93</v>
      </c>
    </row>
    <row r="179" spans="1:17" x14ac:dyDescent="0.6">
      <c r="A179" t="s">
        <v>497</v>
      </c>
      <c r="B179">
        <v>60</v>
      </c>
      <c r="C179" t="s">
        <v>9</v>
      </c>
      <c r="D179" t="s">
        <v>181</v>
      </c>
      <c r="E179" t="str">
        <f>"3."&amp;D179</f>
        <v>3.Macro + Sentiment (Direct)</v>
      </c>
      <c r="F179">
        <v>1</v>
      </c>
      <c r="G179" t="s">
        <v>498</v>
      </c>
      <c r="H179">
        <v>8.4275419344071594</v>
      </c>
      <c r="I179">
        <v>6.8962098006363703</v>
      </c>
      <c r="J179">
        <v>0.53325182268081095</v>
      </c>
      <c r="K179">
        <v>7.9026667244677</v>
      </c>
      <c r="L179">
        <v>0.33001757237976403</v>
      </c>
      <c r="M179">
        <v>6.26910192316228</v>
      </c>
      <c r="N179">
        <v>0.45541081717975301</v>
      </c>
      <c r="O179">
        <v>4.94244384765625</v>
      </c>
      <c r="P179">
        <v>0.35711145075657102</v>
      </c>
      <c r="Q179" t="s">
        <v>135</v>
      </c>
    </row>
    <row r="180" spans="1:17" x14ac:dyDescent="0.6">
      <c r="A180" t="s">
        <v>499</v>
      </c>
      <c r="B180">
        <v>60</v>
      </c>
      <c r="C180" t="s">
        <v>99</v>
      </c>
      <c r="D180" t="s">
        <v>181</v>
      </c>
      <c r="E180" t="str">
        <f>"3."&amp;D180</f>
        <v>3.Macro + Sentiment (Direct)</v>
      </c>
      <c r="F180">
        <v>1</v>
      </c>
      <c r="G180" t="s">
        <v>500</v>
      </c>
      <c r="H180">
        <v>8.4026799112959996</v>
      </c>
      <c r="I180">
        <v>6.7740459232539898</v>
      </c>
      <c r="J180">
        <v>0.52363805007484199</v>
      </c>
      <c r="K180">
        <v>7.26221736148542</v>
      </c>
      <c r="L180">
        <v>0.28053172886977101</v>
      </c>
      <c r="M180">
        <v>5.6549204046075996</v>
      </c>
      <c r="N180">
        <v>0.41162120498544202</v>
      </c>
      <c r="O180">
        <v>4.94586181640625</v>
      </c>
      <c r="P180">
        <v>0.36269718029901998</v>
      </c>
      <c r="Q180" t="s">
        <v>135</v>
      </c>
    </row>
    <row r="181" spans="1:17" x14ac:dyDescent="0.6">
      <c r="A181" t="s">
        <v>501</v>
      </c>
      <c r="B181">
        <v>30</v>
      </c>
      <c r="C181" t="s">
        <v>9</v>
      </c>
      <c r="D181" t="s">
        <v>7</v>
      </c>
      <c r="E181" t="str">
        <f>"1."&amp;D181</f>
        <v>1.Macro Only</v>
      </c>
      <c r="F181">
        <v>1</v>
      </c>
      <c r="G181" t="s">
        <v>131</v>
      </c>
      <c r="H181" s="13">
        <v>8.8739930205350408</v>
      </c>
      <c r="I181" s="13">
        <v>7.1211096376205703</v>
      </c>
      <c r="J181" s="13">
        <v>0.54376340261262601</v>
      </c>
      <c r="K181" s="13">
        <v>7.2593668102643196</v>
      </c>
      <c r="L181">
        <v>0.281065693167936</v>
      </c>
      <c r="M181" s="13">
        <v>5.6277566557948999</v>
      </c>
      <c r="N181" s="13">
        <v>0.41086201470158601</v>
      </c>
      <c r="O181">
        <v>4.9595947265625</v>
      </c>
      <c r="P181" s="13">
        <v>0.35968189239605097</v>
      </c>
      <c r="Q181" t="s">
        <v>93</v>
      </c>
    </row>
    <row r="182" spans="1:17" x14ac:dyDescent="0.6">
      <c r="A182" t="s">
        <v>502</v>
      </c>
      <c r="B182">
        <v>60</v>
      </c>
      <c r="C182" t="s">
        <v>99</v>
      </c>
      <c r="D182" t="s">
        <v>8</v>
      </c>
      <c r="E182" t="str">
        <f>"2."&amp;D182</f>
        <v>2.Macro + Event</v>
      </c>
      <c r="F182">
        <v>1</v>
      </c>
      <c r="G182" t="s">
        <v>147</v>
      </c>
      <c r="H182">
        <v>8.3207690000000003</v>
      </c>
      <c r="I182">
        <v>6.7146280000000003</v>
      </c>
      <c r="J182">
        <v>0.51918600000000004</v>
      </c>
      <c r="K182">
        <v>7.4376990000000003</v>
      </c>
      <c r="L182">
        <v>0.29450000000000004</v>
      </c>
      <c r="M182">
        <v>5.6944710000000001</v>
      </c>
      <c r="N182">
        <v>0.41458800000000001</v>
      </c>
      <c r="O182">
        <v>4.959778</v>
      </c>
      <c r="P182">
        <v>0.34940700000000002</v>
      </c>
      <c r="Q182" t="s">
        <v>135</v>
      </c>
    </row>
    <row r="183" spans="1:17" x14ac:dyDescent="0.6">
      <c r="A183" t="s">
        <v>503</v>
      </c>
      <c r="B183">
        <v>90</v>
      </c>
      <c r="C183" t="s">
        <v>9</v>
      </c>
      <c r="D183" t="s">
        <v>174</v>
      </c>
      <c r="E183" t="str">
        <f>"5."&amp;D183</f>
        <v>5.Macro + Sentiment (Both)</v>
      </c>
      <c r="F183">
        <v>1</v>
      </c>
      <c r="G183" t="s">
        <v>504</v>
      </c>
      <c r="H183">
        <v>6.9628105548455199</v>
      </c>
      <c r="I183">
        <v>5.5185713334516997</v>
      </c>
      <c r="J183">
        <v>0.43025861526637099</v>
      </c>
      <c r="K183">
        <v>7.69863226859691</v>
      </c>
      <c r="L183">
        <v>0.31373632310565203</v>
      </c>
      <c r="M183">
        <v>5.9821116826305598</v>
      </c>
      <c r="N183">
        <v>0.43451663128978602</v>
      </c>
      <c r="O183">
        <v>4.9730224609375</v>
      </c>
      <c r="P183">
        <v>0.35725420148611398</v>
      </c>
      <c r="Q183" t="s">
        <v>114</v>
      </c>
    </row>
    <row r="184" spans="1:17" x14ac:dyDescent="0.6">
      <c r="A184" t="s">
        <v>506</v>
      </c>
      <c r="B184">
        <v>5</v>
      </c>
      <c r="C184" t="s">
        <v>9</v>
      </c>
      <c r="D184" t="s">
        <v>174</v>
      </c>
      <c r="E184" t="str">
        <f>"5."&amp;D184</f>
        <v>5.Macro + Sentiment (Both)</v>
      </c>
      <c r="F184">
        <v>1</v>
      </c>
      <c r="G184" t="s">
        <v>507</v>
      </c>
      <c r="H184">
        <v>8.8475952623840097</v>
      </c>
      <c r="I184">
        <v>7.1050947971298797</v>
      </c>
      <c r="J184">
        <v>0.54179603130251897</v>
      </c>
      <c r="K184">
        <v>7.5260731211752496</v>
      </c>
      <c r="L184">
        <v>0.30478380704257502</v>
      </c>
      <c r="M184">
        <v>5.8091787363027496</v>
      </c>
      <c r="N184">
        <v>0.425661662904531</v>
      </c>
      <c r="O184">
        <v>4.9931640625</v>
      </c>
      <c r="P184">
        <v>0.36733003602327102</v>
      </c>
      <c r="Q184" t="s">
        <v>90</v>
      </c>
    </row>
    <row r="185" spans="1:17" x14ac:dyDescent="0.6">
      <c r="A185" t="s">
        <v>508</v>
      </c>
      <c r="B185">
        <v>30</v>
      </c>
      <c r="C185" t="s">
        <v>99</v>
      </c>
      <c r="D185" t="s">
        <v>8</v>
      </c>
      <c r="E185" t="str">
        <f>"2."&amp;D185</f>
        <v>2.Macro + Event</v>
      </c>
      <c r="F185">
        <v>1</v>
      </c>
      <c r="G185" t="s">
        <v>123</v>
      </c>
      <c r="H185">
        <v>8.9601459999999999</v>
      </c>
      <c r="I185">
        <v>7.140936</v>
      </c>
      <c r="J185">
        <v>0.545902</v>
      </c>
      <c r="K185">
        <v>7.1938149999999998</v>
      </c>
      <c r="L185">
        <v>0.27739999999999998</v>
      </c>
      <c r="M185">
        <v>5.5053179999999999</v>
      </c>
      <c r="N185">
        <v>0.40247699999999997</v>
      </c>
      <c r="O185">
        <v>5.0181269999999998</v>
      </c>
      <c r="P185">
        <v>0.36741200000000002</v>
      </c>
      <c r="Q185" t="s">
        <v>93</v>
      </c>
    </row>
    <row r="186" spans="1:17" x14ac:dyDescent="0.6">
      <c r="A186" t="s">
        <v>509</v>
      </c>
      <c r="B186">
        <v>10</v>
      </c>
      <c r="C186" t="s">
        <v>9</v>
      </c>
      <c r="D186" t="s">
        <v>177</v>
      </c>
      <c r="E186" t="str">
        <f>"8."&amp;D186</f>
        <v>8.Macro + Event + Sentiment (Both)</v>
      </c>
      <c r="F186">
        <v>1</v>
      </c>
      <c r="G186" t="s">
        <v>510</v>
      </c>
      <c r="H186">
        <v>8.8173881404505892</v>
      </c>
      <c r="I186">
        <v>7.0042532666236497</v>
      </c>
      <c r="J186">
        <v>0.53413118367795098</v>
      </c>
      <c r="K186">
        <v>7.90428773126101</v>
      </c>
      <c r="L186">
        <v>0.33355741985811804</v>
      </c>
      <c r="M186">
        <v>6.1869263775580698</v>
      </c>
      <c r="N186">
        <v>0.45222766404382803</v>
      </c>
      <c r="O186">
        <v>5.03265380859375</v>
      </c>
      <c r="P186">
        <v>0.37123944864299402</v>
      </c>
      <c r="Q186" t="s">
        <v>90</v>
      </c>
    </row>
    <row r="187" spans="1:17" x14ac:dyDescent="0.6">
      <c r="A187" t="s">
        <v>511</v>
      </c>
      <c r="B187">
        <v>60</v>
      </c>
      <c r="C187" t="s">
        <v>6</v>
      </c>
      <c r="D187" t="s">
        <v>184</v>
      </c>
      <c r="E187" t="str">
        <f>"7."&amp;D187</f>
        <v>7.Macro + Event + Sentiment (Indirect)</v>
      </c>
      <c r="F187">
        <v>1</v>
      </c>
      <c r="G187" t="s">
        <v>512</v>
      </c>
      <c r="H187">
        <v>8.5795763157925808</v>
      </c>
      <c r="I187">
        <v>6.9870960948231398</v>
      </c>
      <c r="J187">
        <v>0.54004097813003504</v>
      </c>
      <c r="K187">
        <v>7.4011120402700499</v>
      </c>
      <c r="L187">
        <v>0.29177870784014698</v>
      </c>
      <c r="M187">
        <v>5.6897693980823796</v>
      </c>
      <c r="N187">
        <v>0.41433295624949801</v>
      </c>
      <c r="O187">
        <v>5.03582763671875</v>
      </c>
      <c r="P187">
        <v>0.36658699078364498</v>
      </c>
      <c r="Q187" t="s">
        <v>135</v>
      </c>
    </row>
    <row r="188" spans="1:17" x14ac:dyDescent="0.6">
      <c r="A188" t="s">
        <v>513</v>
      </c>
      <c r="B188">
        <v>60</v>
      </c>
      <c r="C188" t="s">
        <v>9</v>
      </c>
      <c r="D188" t="s">
        <v>7</v>
      </c>
      <c r="E188" t="str">
        <f>"1."&amp;D188</f>
        <v>1.Macro Only</v>
      </c>
      <c r="F188">
        <v>1</v>
      </c>
      <c r="G188" t="s">
        <v>151</v>
      </c>
      <c r="H188" s="13">
        <v>8.4122978795674204</v>
      </c>
      <c r="I188" s="13">
        <v>6.7384807880108104</v>
      </c>
      <c r="J188" s="13">
        <v>0.52093204641101198</v>
      </c>
      <c r="K188" s="13">
        <v>7.4964709123166404</v>
      </c>
      <c r="L188">
        <v>0.29857578610777497</v>
      </c>
      <c r="M188" s="13">
        <v>5.80583121559836</v>
      </c>
      <c r="N188" s="13">
        <v>0.42238218251780701</v>
      </c>
      <c r="O188">
        <v>5.040283203125</v>
      </c>
      <c r="P188" s="13">
        <v>0.36676610353741701</v>
      </c>
      <c r="Q188" t="s">
        <v>135</v>
      </c>
    </row>
    <row r="189" spans="1:17" x14ac:dyDescent="0.6">
      <c r="A189" t="s">
        <v>514</v>
      </c>
      <c r="B189">
        <v>5</v>
      </c>
      <c r="C189" t="s">
        <v>92</v>
      </c>
      <c r="D189" t="s">
        <v>7</v>
      </c>
      <c r="E189" t="str">
        <f>"1."&amp;D189</f>
        <v>1.Macro Only</v>
      </c>
      <c r="F189">
        <v>1</v>
      </c>
      <c r="G189" t="s">
        <v>161</v>
      </c>
      <c r="H189">
        <v>8.7052849999999999</v>
      </c>
      <c r="I189">
        <v>6.9406249999999998</v>
      </c>
      <c r="J189">
        <v>0.52950699999999995</v>
      </c>
      <c r="K189">
        <v>7.942977</v>
      </c>
      <c r="L189">
        <v>0.3372</v>
      </c>
      <c r="M189">
        <v>6.1162039999999998</v>
      </c>
      <c r="N189">
        <v>0.44723200000000002</v>
      </c>
      <c r="O189">
        <v>5.09314</v>
      </c>
      <c r="P189">
        <v>0.36770399999999998</v>
      </c>
      <c r="Q189" t="s">
        <v>90</v>
      </c>
    </row>
    <row r="190" spans="1:17" x14ac:dyDescent="0.6">
      <c r="A190" t="s">
        <v>515</v>
      </c>
      <c r="B190">
        <v>20</v>
      </c>
      <c r="C190" t="s">
        <v>99</v>
      </c>
      <c r="D190" t="s">
        <v>181</v>
      </c>
      <c r="E190" t="str">
        <f>"3."&amp;D190</f>
        <v>3.Macro + Sentiment (Direct)</v>
      </c>
      <c r="F190">
        <v>1</v>
      </c>
      <c r="G190" t="s">
        <v>516</v>
      </c>
      <c r="H190">
        <v>8.6663720940151201</v>
      </c>
      <c r="I190">
        <v>6.9919034562757201</v>
      </c>
      <c r="J190">
        <v>0.53359337471985602</v>
      </c>
      <c r="K190">
        <v>7.7886830169821701</v>
      </c>
      <c r="L190">
        <v>0.32140821459116997</v>
      </c>
      <c r="M190">
        <v>6.1441819932725696</v>
      </c>
      <c r="N190">
        <v>0.44815480141739</v>
      </c>
      <c r="O190">
        <v>5.101318359375</v>
      </c>
      <c r="P190">
        <v>0.37490279869072701</v>
      </c>
      <c r="Q190" t="s">
        <v>90</v>
      </c>
    </row>
    <row r="191" spans="1:17" x14ac:dyDescent="0.6">
      <c r="A191" t="s">
        <v>517</v>
      </c>
      <c r="B191">
        <v>30</v>
      </c>
      <c r="C191" t="s">
        <v>99</v>
      </c>
      <c r="D191" t="s">
        <v>171</v>
      </c>
      <c r="E191" t="str">
        <f>"4."&amp;D191</f>
        <v>4.Macro + Sentiment (Indirect)</v>
      </c>
      <c r="F191">
        <v>1</v>
      </c>
      <c r="G191" t="s">
        <v>518</v>
      </c>
      <c r="H191">
        <v>8.9479494476045804</v>
      </c>
      <c r="I191">
        <v>7.2351347311290999</v>
      </c>
      <c r="J191">
        <v>0.55292169301476102</v>
      </c>
      <c r="K191">
        <v>7.3695552686568204</v>
      </c>
      <c r="L191">
        <v>0.28993969433729</v>
      </c>
      <c r="M191">
        <v>5.7950273532311796</v>
      </c>
      <c r="N191">
        <v>0.42326796982553799</v>
      </c>
      <c r="O191">
        <v>5.1556396484375</v>
      </c>
      <c r="P191">
        <v>0.37674241214093401</v>
      </c>
      <c r="Q191" t="s">
        <v>93</v>
      </c>
    </row>
    <row r="192" spans="1:17" x14ac:dyDescent="0.6">
      <c r="A192" t="s">
        <v>519</v>
      </c>
      <c r="B192">
        <v>5</v>
      </c>
      <c r="C192" t="s">
        <v>9</v>
      </c>
      <c r="D192" t="s">
        <v>167</v>
      </c>
      <c r="E192" t="str">
        <f>"6."&amp;D192</f>
        <v>6.Macro + Event + Sentiment (Direct)</v>
      </c>
      <c r="F192">
        <v>1</v>
      </c>
      <c r="G192" t="s">
        <v>520</v>
      </c>
      <c r="H192">
        <v>8.8106496881332603</v>
      </c>
      <c r="I192">
        <v>7.1220133596410999</v>
      </c>
      <c r="J192">
        <v>0.54329429447225097</v>
      </c>
      <c r="K192">
        <v>8.4645931985328904</v>
      </c>
      <c r="L192">
        <v>0.38259773982981798</v>
      </c>
      <c r="M192">
        <v>6.6893971100513996</v>
      </c>
      <c r="N192">
        <v>0.489208471328962</v>
      </c>
      <c r="O192">
        <v>5.6036376953125</v>
      </c>
      <c r="P192">
        <v>0.41343295075061198</v>
      </c>
      <c r="Q192" t="s">
        <v>90</v>
      </c>
    </row>
    <row r="193" spans="1:17" x14ac:dyDescent="0.6">
      <c r="A193" t="s">
        <v>521</v>
      </c>
      <c r="B193">
        <v>20</v>
      </c>
      <c r="C193" t="s">
        <v>9</v>
      </c>
      <c r="D193" t="s">
        <v>174</v>
      </c>
      <c r="E193" t="str">
        <f>"5."&amp;D193</f>
        <v>5.Macro + Sentiment (Both)</v>
      </c>
      <c r="F193">
        <v>1</v>
      </c>
      <c r="G193" t="s">
        <v>522</v>
      </c>
      <c r="H193">
        <v>8.6495261083544808</v>
      </c>
      <c r="I193">
        <v>6.97481234421205</v>
      </c>
      <c r="J193">
        <v>0.53231305028138598</v>
      </c>
      <c r="K193">
        <v>8.5861351734384694</v>
      </c>
      <c r="L193">
        <v>0.38921599682209401</v>
      </c>
      <c r="M193">
        <v>6.9375333432798003</v>
      </c>
      <c r="N193">
        <v>0.505550684847207</v>
      </c>
      <c r="O193">
        <v>6.66937255859375</v>
      </c>
      <c r="P193">
        <v>0.48618920957419698</v>
      </c>
      <c r="Q193" t="s">
        <v>90</v>
      </c>
    </row>
  </sheetData>
  <autoFilter ref="A1:Q193" xr:uid="{45A83A16-C463-4530-B652-221EE5F573A9}">
    <sortState xmlns:xlrd2="http://schemas.microsoft.com/office/spreadsheetml/2017/richdata2" ref="A2:Q193">
      <sortCondition ref="O1:O193"/>
    </sortState>
  </autoFilter>
  <sortState xmlns:xlrd2="http://schemas.microsoft.com/office/spreadsheetml/2017/richdata2" ref="A2:Q175">
    <sortCondition ref="A2:A175"/>
    <sortCondition descending="1" ref="B2:B175"/>
    <sortCondition ref="D2:D175"/>
  </sortState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AB68-54D6-4E57-B51C-3C52895577F3}">
  <dimension ref="A1:Q50"/>
  <sheetViews>
    <sheetView workbookViewId="0">
      <selection activeCell="A4" sqref="A4:I4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531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533</v>
      </c>
      <c r="K1" t="s">
        <v>528</v>
      </c>
    </row>
    <row r="2" spans="1:17" x14ac:dyDescent="0.6">
      <c r="A2">
        <v>5</v>
      </c>
      <c r="B2" t="s">
        <v>9</v>
      </c>
      <c r="C2" t="s">
        <v>177</v>
      </c>
      <c r="D2">
        <v>7.1823392070000001</v>
      </c>
      <c r="E2">
        <v>0.27906638</v>
      </c>
      <c r="F2">
        <v>5.4315624150000001</v>
      </c>
      <c r="G2">
        <v>0.39875422300000002</v>
      </c>
      <c r="H2">
        <v>4.271484375</v>
      </c>
      <c r="I2">
        <v>0.313879674</v>
      </c>
      <c r="J2">
        <f>SUM(L2:Q2)</f>
        <v>5.8988006160253565</v>
      </c>
      <c r="K2">
        <f>0.5*SIN(RADIANS(60))*((L2*M2)+(M2*N2)+(N2*O2)+(O2*P2)+(P2*Q2)+(Q2*L2))</f>
        <v>2.5112639177097731</v>
      </c>
      <c r="L2">
        <f>(MAX(D:D)-D2)/(MAX(D:D)-MIN(D:D))</f>
        <v>0.96163796314647532</v>
      </c>
      <c r="M2">
        <f>(MAX(E:E)-E2)/(MAX(E:E)-MIN(E:E))</f>
        <v>0.97084623967171979</v>
      </c>
      <c r="N2">
        <f>(MAX(F:F)-F2)/(MAX(F:F)-MIN(F:F))</f>
        <v>0.98240764711504269</v>
      </c>
      <c r="O2">
        <f>(MAX(G:G)-G2)/(MAX(G:G)-MIN(G:G))</f>
        <v>0.98390876609211908</v>
      </c>
      <c r="P2">
        <f>(MAX(H:H)-H2)/(MAX(H:H)-MIN(H:H))</f>
        <v>1</v>
      </c>
      <c r="Q2">
        <f>(MAX(I:I)-I2)/(MAX(I:I)-MIN(I:I))</f>
        <v>1</v>
      </c>
    </row>
    <row r="3" spans="1:17" x14ac:dyDescent="0.6">
      <c r="A3">
        <v>5</v>
      </c>
      <c r="B3" t="s">
        <v>99</v>
      </c>
      <c r="C3" t="s">
        <v>167</v>
      </c>
      <c r="D3">
        <v>7.1365300339999997</v>
      </c>
      <c r="E3">
        <v>0.27521844099999998</v>
      </c>
      <c r="F3">
        <v>5.4294058400000003</v>
      </c>
      <c r="G3">
        <v>0.39845836899999998</v>
      </c>
      <c r="H3">
        <v>4.3968505860000002</v>
      </c>
      <c r="I3">
        <v>0.32197364499999998</v>
      </c>
      <c r="J3">
        <f>SUM(L3:Q3)</f>
        <v>5.8377289089290469</v>
      </c>
      <c r="K3">
        <f>0.5*SIN(RADIANS(60))*((L3*M3)+(M3*N3)+(N3*O3)+(O3*P3)+(P3*Q3)+(Q3*L3))</f>
        <v>2.4595976135317947</v>
      </c>
      <c r="L3">
        <f>(MAX(D:D)-D3)/(MAX(D:D)-MIN(D:D))</f>
        <v>0.98113795176556229</v>
      </c>
      <c r="M3">
        <f>(MAX(E:E)-E3)/(MAX(E:E)-MIN(E:E))</f>
        <v>0.98587112263936982</v>
      </c>
      <c r="N3">
        <f>(MAX(F:F)-F3)/(MAX(F:F)-MIN(F:F))</f>
        <v>0.98335753432360429</v>
      </c>
      <c r="O3">
        <f>(MAX(G:G)-G3)/(MAX(G:G)-MIN(G:G))</f>
        <v>0.98548049313810615</v>
      </c>
      <c r="P3">
        <f>(MAX(H:H)-H3)/(MAX(H:H)-MIN(H:H))</f>
        <v>0.94583904648707928</v>
      </c>
      <c r="Q3">
        <f>(MAX(I:I)-I3)/(MAX(I:I)-MIN(I:I))</f>
        <v>0.95604276057532533</v>
      </c>
    </row>
    <row r="4" spans="1:17" x14ac:dyDescent="0.6">
      <c r="A4">
        <v>5</v>
      </c>
      <c r="B4" t="s">
        <v>99</v>
      </c>
      <c r="C4" t="s">
        <v>174</v>
      </c>
      <c r="D4">
        <v>7.092219504</v>
      </c>
      <c r="E4">
        <v>0.271810475</v>
      </c>
      <c r="F4">
        <v>5.3916216429999997</v>
      </c>
      <c r="G4">
        <v>0.39572529000000001</v>
      </c>
      <c r="H4">
        <v>4.5201416019999998</v>
      </c>
      <c r="I4">
        <v>0.32848809400000001</v>
      </c>
      <c r="J4">
        <f>SUM(L4:Q4)</f>
        <v>5.8124163717151562</v>
      </c>
      <c r="K4">
        <f>0.5*SIN(RADIANS(60))*((L4*M4)+(M4*N4)+(N4*O4)+(O4*P4)+(P4*Q4)+(Q4*L4))</f>
        <v>2.4393144757154666</v>
      </c>
      <c r="L4">
        <f>(MAX(D:D)-D4)/(MAX(D:D)-MIN(D:D))</f>
        <v>1</v>
      </c>
      <c r="M4">
        <f>(MAX(E:E)-E4)/(MAX(E:E)-MIN(E:E))</f>
        <v>0.9991780618366205</v>
      </c>
      <c r="N4">
        <f>(MAX(F:F)-F4)/(MAX(F:F)-MIN(F:F))</f>
        <v>1</v>
      </c>
      <c r="O4">
        <f>(MAX(G:G)-G4)/(MAX(G:G)-MIN(G:G))</f>
        <v>1</v>
      </c>
      <c r="P4">
        <f>(MAX(H:H)-H4)/(MAX(H:H)-MIN(H:H))</f>
        <v>0.89257462274106114</v>
      </c>
      <c r="Q4">
        <f>(MAX(I:I)-I4)/(MAX(I:I)-MIN(I:I))</f>
        <v>0.92066368713747448</v>
      </c>
    </row>
    <row r="5" spans="1:17" x14ac:dyDescent="0.6">
      <c r="A5">
        <v>5</v>
      </c>
      <c r="B5" t="s">
        <v>6</v>
      </c>
      <c r="C5" t="s">
        <v>177</v>
      </c>
      <c r="D5" s="13">
        <v>7.1274443940000003</v>
      </c>
      <c r="E5">
        <v>0.27499322900000001</v>
      </c>
      <c r="F5">
        <v>5.4261025429999998</v>
      </c>
      <c r="G5">
        <v>0.398301829</v>
      </c>
      <c r="H5">
        <v>4.4005126949999998</v>
      </c>
      <c r="I5">
        <v>0.33017576999999998</v>
      </c>
      <c r="J5">
        <f>SUM(L5:Q5)</f>
        <v>5.7986357213110056</v>
      </c>
      <c r="K5">
        <f>0.5*SIN(RADIANS(60))*((L5*M5)+(M5*N5)+(N5*O5)+(O5*P5)+(P5*Q5)+(Q5*L5))</f>
        <v>2.4269940325746342</v>
      </c>
      <c r="L5">
        <f>(MAX(D:D)-D5)/(MAX(D:D)-MIN(D:D))</f>
        <v>0.98500551507208844</v>
      </c>
      <c r="M5">
        <f>(MAX(E:E)-E5)/(MAX(E:E)-MIN(E:E))</f>
        <v>0.98675049831110206</v>
      </c>
      <c r="N5">
        <f>(MAX(F:F)-F5)/(MAX(F:F)-MIN(F:F))</f>
        <v>0.98481250786562369</v>
      </c>
      <c r="O5">
        <f>(MAX(G:G)-G5)/(MAX(G:G)-MIN(G:G))</f>
        <v>0.98631211330135815</v>
      </c>
      <c r="P5">
        <f>(MAX(H:H)-H5)/(MAX(H:H)-MIN(H:H))</f>
        <v>0.94425693505748354</v>
      </c>
      <c r="Q5">
        <f>(MAX(I:I)-I5)/(MAX(I:I)-MIN(I:I))</f>
        <v>0.91149815170334991</v>
      </c>
    </row>
    <row r="6" spans="1:17" x14ac:dyDescent="0.6">
      <c r="A6">
        <v>5</v>
      </c>
      <c r="B6" t="s">
        <v>99</v>
      </c>
      <c r="C6" t="s">
        <v>171</v>
      </c>
      <c r="D6">
        <v>7.1488639369999998</v>
      </c>
      <c r="E6">
        <v>0.27624827499999999</v>
      </c>
      <c r="F6">
        <v>5.4371781779999999</v>
      </c>
      <c r="G6">
        <v>0.399022551</v>
      </c>
      <c r="H6">
        <v>4.4279785159999996</v>
      </c>
      <c r="I6">
        <v>0.33270807299999999</v>
      </c>
      <c r="J6">
        <f>SUM(L6:Q6)</f>
        <v>5.7502917010123333</v>
      </c>
      <c r="K6">
        <f>0.5*SIN(RADIANS(60))*((L6*M6)+(M6*N6)+(N6*O6)+(O6*P6)+(P6*Q6)+(Q6*L6))</f>
        <v>2.3868958801092779</v>
      </c>
      <c r="L6">
        <f>(MAX(D:D)-D6)/(MAX(D:D)-MIN(D:D))</f>
        <v>0.97588767212988925</v>
      </c>
      <c r="M6">
        <f>(MAX(E:E)-E6)/(MAX(E:E)-MIN(E:E))</f>
        <v>0.98184997383059003</v>
      </c>
      <c r="N6">
        <f>(MAX(F:F)-F6)/(MAX(F:F)-MIN(F:F))</f>
        <v>0.97993412245672407</v>
      </c>
      <c r="O6">
        <f>(MAX(G:G)-G6)/(MAX(G:G)-MIN(G:G))</f>
        <v>0.98248327116963863</v>
      </c>
      <c r="P6">
        <f>(MAX(H:H)-H6)/(MAX(H:H)-MIN(H:H))</f>
        <v>0.93239109782343654</v>
      </c>
      <c r="Q6">
        <f>(MAX(I:I)-I6)/(MAX(I:I)-MIN(I:I))</f>
        <v>0.89774556360205537</v>
      </c>
    </row>
    <row r="7" spans="1:17" x14ac:dyDescent="0.6">
      <c r="A7">
        <v>5</v>
      </c>
      <c r="B7" t="s">
        <v>99</v>
      </c>
      <c r="C7" t="s">
        <v>7</v>
      </c>
      <c r="D7">
        <v>7.1601179999999998</v>
      </c>
      <c r="E7">
        <v>0.2772</v>
      </c>
      <c r="F7">
        <v>5.4565830000000002</v>
      </c>
      <c r="G7">
        <v>0.40040500000000001</v>
      </c>
      <c r="H7">
        <v>4.5373539999999997</v>
      </c>
      <c r="I7">
        <v>0.32225999999999999</v>
      </c>
      <c r="J7">
        <f>SUM(L7:Q7)</f>
        <v>5.7353830198265383</v>
      </c>
      <c r="K7">
        <f>0.5*SIN(RADIANS(60))*((L7*M7)+(M7*N7)+(N7*O7)+(O7*P7)+(P7*Q7)+(Q7*L7))</f>
        <v>2.3738335151247143</v>
      </c>
      <c r="L7">
        <f>(MAX(D:D)-D7)/(MAX(D:D)-MIN(D:D))</f>
        <v>0.97109705736767815</v>
      </c>
      <c r="M7">
        <f>(MAX(E:E)-E7)/(MAX(E:E)-MIN(E:E))</f>
        <v>0.97813381389604148</v>
      </c>
      <c r="N7">
        <f>(MAX(F:F)-F7)/(MAX(F:F)-MIN(F:F))</f>
        <v>0.97138705490645783</v>
      </c>
      <c r="O7">
        <f>(MAX(G:G)-G7)/(MAX(G:G)-MIN(G:G))</f>
        <v>0.97513899837630968</v>
      </c>
      <c r="P7">
        <f>(MAX(H:H)-H7)/(MAX(H:H)-MIN(H:H))</f>
        <v>0.88513848918890425</v>
      </c>
      <c r="Q7">
        <f>(MAX(I:I)-I7)/(MAX(I:I)-MIN(I:I))</f>
        <v>0.95448760609114769</v>
      </c>
    </row>
    <row r="8" spans="1:17" x14ac:dyDescent="0.6">
      <c r="A8">
        <v>5</v>
      </c>
      <c r="B8" t="s">
        <v>99</v>
      </c>
      <c r="C8" t="s">
        <v>8</v>
      </c>
      <c r="D8">
        <v>7.2173910000000001</v>
      </c>
      <c r="E8">
        <v>0.28079999999999999</v>
      </c>
      <c r="F8">
        <v>5.4710340000000004</v>
      </c>
      <c r="G8">
        <v>0.40113599999999999</v>
      </c>
      <c r="H8">
        <v>4.3646240000000001</v>
      </c>
      <c r="I8">
        <v>0.32753700000000002</v>
      </c>
      <c r="J8">
        <f>SUM(L8:Q8)</f>
        <v>5.7326623027895831</v>
      </c>
      <c r="K8">
        <f>0.5*SIN(RADIANS(60))*((L8*M8)+(M8*N8)+(N8*O8)+(O8*P8)+(P8*Q8)+(Q8*L8))</f>
        <v>2.3718676985338556</v>
      </c>
      <c r="L8">
        <f>(MAX(D:D)-D8)/(MAX(D:D)-MIN(D:D))</f>
        <v>0.9467171619222623</v>
      </c>
      <c r="M8">
        <f>(MAX(E:E)-E8)/(MAX(E:E)-MIN(E:E))</f>
        <v>0.96407704774576219</v>
      </c>
      <c r="N8">
        <f>(MAX(F:F)-F8)/(MAX(F:F)-MIN(F:F))</f>
        <v>0.96502195281127257</v>
      </c>
      <c r="O8">
        <f>(MAX(G:G)-G8)/(MAX(G:G)-MIN(G:G))</f>
        <v>0.97125555427679988</v>
      </c>
      <c r="P8">
        <f>(MAX(H:H)-H8)/(MAX(H:H)-MIN(H:H))</f>
        <v>0.9597616386457124</v>
      </c>
      <c r="Q8">
        <f>(MAX(I:I)-I8)/(MAX(I:I)-MIN(I:I))</f>
        <v>0.92582894738777322</v>
      </c>
    </row>
    <row r="9" spans="1:17" x14ac:dyDescent="0.6">
      <c r="A9">
        <v>5</v>
      </c>
      <c r="B9" t="s">
        <v>92</v>
      </c>
      <c r="C9" t="s">
        <v>174</v>
      </c>
      <c r="D9">
        <v>7.1141418810000001</v>
      </c>
      <c r="E9">
        <v>0.27338674800000001</v>
      </c>
      <c r="F9">
        <v>5.4146337469999999</v>
      </c>
      <c r="G9">
        <v>0.39730070099999998</v>
      </c>
      <c r="H9">
        <v>4.578613281</v>
      </c>
      <c r="I9">
        <v>0.33754725200000002</v>
      </c>
      <c r="J9">
        <f>SUM(L9:Q9)</f>
        <v>5.7039642725143747</v>
      </c>
      <c r="K9">
        <f>0.5*SIN(RADIANS(60))*((L9*M9)+(M9*N9)+(N9*O9)+(O9*P9)+(P9*Q9)+(Q9*L9))</f>
        <v>2.3501825346253562</v>
      </c>
      <c r="L9">
        <f>(MAX(D:D)-D9)/(MAX(D:D)-MIN(D:D))</f>
        <v>0.99066811134085886</v>
      </c>
      <c r="M9">
        <f>(MAX(E:E)-E9)/(MAX(E:E)-MIN(E:E))</f>
        <v>0.99302325601717623</v>
      </c>
      <c r="N9">
        <f>(MAX(F:F)-F9)/(MAX(F:F)-MIN(F:F))</f>
        <v>0.9898640653667552</v>
      </c>
      <c r="O9">
        <f>(MAX(G:G)-G9)/(MAX(G:G)-MIN(G:G))</f>
        <v>0.99163061483959924</v>
      </c>
      <c r="P9">
        <f>(MAX(H:H)-H9)/(MAX(H:H)-MIN(H:H))</f>
        <v>0.86731357462546144</v>
      </c>
      <c r="Q9">
        <f>(MAX(I:I)-I9)/(MAX(I:I)-MIN(I:I))</f>
        <v>0.87146465032452336</v>
      </c>
    </row>
    <row r="10" spans="1:17" x14ac:dyDescent="0.6">
      <c r="A10">
        <v>5</v>
      </c>
      <c r="B10" t="s">
        <v>6</v>
      </c>
      <c r="C10" t="s">
        <v>8</v>
      </c>
      <c r="D10" s="13">
        <v>7.1444564289999999</v>
      </c>
      <c r="E10">
        <v>0.27593425999999999</v>
      </c>
      <c r="F10">
        <v>5.394038213</v>
      </c>
      <c r="G10">
        <v>0.39588277399999999</v>
      </c>
      <c r="H10">
        <v>4.6175537110000002</v>
      </c>
      <c r="I10">
        <v>0.33884469299999997</v>
      </c>
      <c r="J10">
        <f>SUM(L10:Q10)</f>
        <v>5.6738477909727774</v>
      </c>
      <c r="K10">
        <f>0.5*SIN(RADIANS(60))*((L10*M10)+(M10*N10)+(N10*O10)+(O10*P10)+(P10*Q10)+(Q10*L10))</f>
        <v>2.3259283537509554</v>
      </c>
      <c r="L10">
        <f>(MAX(D:D)-D10)/(MAX(D:D)-MIN(D:D))</f>
        <v>0.97776385434864566</v>
      </c>
      <c r="M10">
        <f>(MAX(E:E)-E10)/(MAX(E:E)-MIN(E:E))</f>
        <v>0.98307609478133451</v>
      </c>
      <c r="N10">
        <f>(MAX(F:F)-F10)/(MAX(F:F)-MIN(F:F))</f>
        <v>0.99893559513042951</v>
      </c>
      <c r="O10">
        <f>(MAX(G:G)-G10)/(MAX(G:G)-MIN(G:G))</f>
        <v>0.99916336482822554</v>
      </c>
      <c r="P10">
        <f>(MAX(H:H)-H10)/(MAX(H:H)-MIN(H:H))</f>
        <v>0.85049045456639583</v>
      </c>
      <c r="Q10">
        <f>(MAX(I:I)-I10)/(MAX(I:I)-MIN(I:I))</f>
        <v>0.8644184273177461</v>
      </c>
    </row>
    <row r="11" spans="1:17" x14ac:dyDescent="0.6">
      <c r="A11">
        <v>5</v>
      </c>
      <c r="B11" t="s">
        <v>92</v>
      </c>
      <c r="C11" t="s">
        <v>8</v>
      </c>
      <c r="D11">
        <v>7.1516469999999996</v>
      </c>
      <c r="E11">
        <v>0.27660000000000001</v>
      </c>
      <c r="F11">
        <v>5.4203900000000003</v>
      </c>
      <c r="G11">
        <v>0.397868</v>
      </c>
      <c r="H11">
        <v>4.642944</v>
      </c>
      <c r="I11">
        <v>0.33465699999999998</v>
      </c>
      <c r="J11">
        <f>SUM(L11:Q11)</f>
        <v>5.6578075866353528</v>
      </c>
      <c r="K11">
        <f>0.5*SIN(RADIANS(60))*((L11*M11)+(M11*N11)+(N11*O11)+(O11*P11)+(P11*Q11)+(Q11*L11))</f>
        <v>2.311980453287517</v>
      </c>
      <c r="L11">
        <f>(MAX(D:D)-D11)/(MAX(D:D)-MIN(D:D))</f>
        <v>0.97470298152597468</v>
      </c>
      <c r="M11">
        <f>(MAX(E:E)-E11)/(MAX(E:E)-MIN(E:E))</f>
        <v>0.9804766082544214</v>
      </c>
      <c r="N11">
        <f>(MAX(F:F)-F11)/(MAX(F:F)-MIN(F:F))</f>
        <v>0.98732866034075573</v>
      </c>
      <c r="O11">
        <f>(MAX(G:G)-G11)/(MAX(G:G)-MIN(G:G))</f>
        <v>0.98861683378049126</v>
      </c>
      <c r="P11">
        <f>(MAX(H:H)-H11)/(MAX(H:H)-MIN(H:H))</f>
        <v>0.83952129269064446</v>
      </c>
      <c r="Q11">
        <f>(MAX(I:I)-I11)/(MAX(I:I)-MIN(I:I))</f>
        <v>0.88716121004306536</v>
      </c>
    </row>
    <row r="12" spans="1:17" x14ac:dyDescent="0.6">
      <c r="A12">
        <v>5</v>
      </c>
      <c r="B12" t="s">
        <v>92</v>
      </c>
      <c r="C12" t="s">
        <v>181</v>
      </c>
      <c r="D12">
        <v>7.1550957420000003</v>
      </c>
      <c r="E12">
        <v>0.27660694800000002</v>
      </c>
      <c r="F12">
        <v>5.4251307369999999</v>
      </c>
      <c r="G12">
        <v>0.39810931900000002</v>
      </c>
      <c r="H12">
        <v>4.591796875</v>
      </c>
      <c r="I12">
        <v>0.338867476</v>
      </c>
      <c r="J12">
        <f>SUM(L12:Q12)</f>
        <v>5.6521724479667812</v>
      </c>
      <c r="K12">
        <f>0.5*SIN(RADIANS(60))*((L12*M12)+(M12*N12)+(N12*O12)+(O12*P12)+(P12*Q12)+(Q12*L12))</f>
        <v>2.3077444957424822</v>
      </c>
      <c r="L12">
        <f>(MAX(D:D)-D12)/(MAX(D:D)-MIN(D:D))</f>
        <v>0.97323492555931967</v>
      </c>
      <c r="M12">
        <f>(MAX(E:E)-E12)/(MAX(E:E)-MIN(E:E))</f>
        <v>0.98044947869575128</v>
      </c>
      <c r="N12">
        <f>(MAX(F:F)-F12)/(MAX(F:F)-MIN(F:F))</f>
        <v>0.9852405505205758</v>
      </c>
      <c r="O12">
        <f>(MAX(G:G)-G12)/(MAX(G:G)-MIN(G:G))</f>
        <v>0.98733482441434939</v>
      </c>
      <c r="P12">
        <f>(MAX(H:H)-H12)/(MAX(H:H)-MIN(H:H))</f>
        <v>0.8616179727876806</v>
      </c>
      <c r="Q12">
        <f>(MAX(I:I)-I12)/(MAX(I:I)-MIN(I:I))</f>
        <v>0.86429469598910491</v>
      </c>
    </row>
    <row r="13" spans="1:17" x14ac:dyDescent="0.6">
      <c r="A13">
        <v>5</v>
      </c>
      <c r="B13" t="s">
        <v>92</v>
      </c>
      <c r="C13" t="s">
        <v>184</v>
      </c>
      <c r="D13">
        <v>7.1642622090000003</v>
      </c>
      <c r="E13">
        <v>0.27686743200000002</v>
      </c>
      <c r="F13">
        <v>5.4519497430000001</v>
      </c>
      <c r="G13">
        <v>0.39985611700000001</v>
      </c>
      <c r="H13">
        <v>4.5842285159999996</v>
      </c>
      <c r="I13">
        <v>0.33526829200000002</v>
      </c>
      <c r="J13">
        <f>SUM(L13:Q13)</f>
        <v>5.6489771395932316</v>
      </c>
      <c r="K13">
        <f>0.5*SIN(RADIANS(60))*((L13*M13)+(M13*N13)+(N13*O13)+(O13*P13)+(P13*Q13)+(Q13*L13))</f>
        <v>2.3044660748963719</v>
      </c>
      <c r="L13">
        <f>(MAX(D:D)-D13)/(MAX(D:D)-MIN(D:D))</f>
        <v>0.96933295592155233</v>
      </c>
      <c r="M13">
        <f>(MAX(E:E)-E13)/(MAX(E:E)-MIN(E:E))</f>
        <v>0.9794323779530042</v>
      </c>
      <c r="N13">
        <f>(MAX(F:F)-F13)/(MAX(F:F)-MIN(F:F))</f>
        <v>0.97342782397698802</v>
      </c>
      <c r="O13">
        <f>(MAX(G:G)-G13)/(MAX(G:G)-MIN(G:G))</f>
        <v>0.97805494426915685</v>
      </c>
      <c r="P13">
        <f>(MAX(H:H)-H13)/(MAX(H:H)-MIN(H:H))</f>
        <v>0.864887669914988</v>
      </c>
      <c r="Q13">
        <f>(MAX(I:I)-I13)/(MAX(I:I)-MIN(I:I))</f>
        <v>0.88384136755754239</v>
      </c>
    </row>
    <row r="14" spans="1:17" x14ac:dyDescent="0.6">
      <c r="A14">
        <v>5</v>
      </c>
      <c r="B14" t="s">
        <v>6</v>
      </c>
      <c r="C14" t="s">
        <v>174</v>
      </c>
      <c r="D14" s="13">
        <v>7.1018774059999998</v>
      </c>
      <c r="E14">
        <v>0.27159997299999999</v>
      </c>
      <c r="F14">
        <v>5.4605311270000003</v>
      </c>
      <c r="G14">
        <v>0.40031509500000001</v>
      </c>
      <c r="H14">
        <v>4.5845947269999998</v>
      </c>
      <c r="I14">
        <v>0.34339883399999999</v>
      </c>
      <c r="J14">
        <f>SUM(L14:Q14)</f>
        <v>5.6455684901546945</v>
      </c>
      <c r="K14">
        <f>0.5*SIN(RADIANS(60))*((L14*M14)+(M14*N14)+(N14*O14)+(O14*P14)+(P14*Q14)+(Q14*L14))</f>
        <v>2.3025538421310023</v>
      </c>
      <c r="L14">
        <f>(MAX(D:D)-D14)/(MAX(D:D)-MIN(D:D))</f>
        <v>0.9958888369566451</v>
      </c>
      <c r="M14">
        <f>(MAX(E:E)-E14)/(MAX(E:E)-MIN(E:E))</f>
        <v>1</v>
      </c>
      <c r="N14">
        <f>(MAX(F:F)-F14)/(MAX(F:F)-MIN(F:F))</f>
        <v>0.96964805888958994</v>
      </c>
      <c r="O14">
        <f>(MAX(G:G)-G14)/(MAX(G:G)-MIN(G:G))</f>
        <v>0.97561661950047718</v>
      </c>
      <c r="P14">
        <f>(MAX(H:H)-H14)/(MAX(H:H)-MIN(H:H))</f>
        <v>0.86472945872882612</v>
      </c>
      <c r="Q14">
        <f>(MAX(I:I)-I14)/(MAX(I:I)-MIN(I:I))</f>
        <v>0.8396855160791552</v>
      </c>
    </row>
    <row r="15" spans="1:17" x14ac:dyDescent="0.6">
      <c r="A15">
        <v>5</v>
      </c>
      <c r="B15" t="s">
        <v>6</v>
      </c>
      <c r="C15" t="s">
        <v>184</v>
      </c>
      <c r="D15" s="13">
        <v>7.176378519</v>
      </c>
      <c r="E15">
        <v>0.27840726999999998</v>
      </c>
      <c r="F15">
        <v>5.4287067100000002</v>
      </c>
      <c r="G15">
        <v>0.398591998</v>
      </c>
      <c r="H15">
        <v>4.604003906</v>
      </c>
      <c r="I15">
        <v>0.33747643500000002</v>
      </c>
      <c r="J15">
        <f>SUM(L15:Q15)</f>
        <v>5.6342247162782195</v>
      </c>
      <c r="K15">
        <f>0.5*SIN(RADIANS(60))*((L15*M15)+(M15*N15)+(N15*O15)+(O15*P15)+(P15*Q15)+(Q15*L15))</f>
        <v>2.2929204443456022</v>
      </c>
      <c r="L15">
        <f>(MAX(D:D)-D15)/(MAX(D:D)-MIN(D:D))</f>
        <v>0.96417530098843829</v>
      </c>
      <c r="M15">
        <f>(MAX(E:E)-E15)/(MAX(E:E)-MIN(E:E))</f>
        <v>0.97341983832097279</v>
      </c>
      <c r="N15">
        <f>(MAX(F:F)-F15)/(MAX(F:F)-MIN(F:F))</f>
        <v>0.98366547383144509</v>
      </c>
      <c r="O15">
        <f>(MAX(G:G)-G15)/(MAX(G:G)-MIN(G:G))</f>
        <v>0.9847705878691958</v>
      </c>
      <c r="P15">
        <f>(MAX(H:H)-H15)/(MAX(H:H)-MIN(H:H))</f>
        <v>0.85634426759033855</v>
      </c>
      <c r="Q15">
        <f>(MAX(I:I)-I15)/(MAX(I:I)-MIN(I:I))</f>
        <v>0.87184924767782956</v>
      </c>
    </row>
    <row r="16" spans="1:17" x14ac:dyDescent="0.6">
      <c r="A16">
        <v>5</v>
      </c>
      <c r="B16" t="s">
        <v>92</v>
      </c>
      <c r="C16" t="s">
        <v>167</v>
      </c>
      <c r="D16">
        <v>7.2003101789999997</v>
      </c>
      <c r="E16">
        <v>0.27951829299999997</v>
      </c>
      <c r="F16">
        <v>5.502846194</v>
      </c>
      <c r="G16">
        <v>0.40349583500000002</v>
      </c>
      <c r="H16">
        <v>4.5789794920000002</v>
      </c>
      <c r="I16">
        <v>0.33384713399999999</v>
      </c>
      <c r="J16">
        <f>SUM(L16:Q16)</f>
        <v>5.5915134527884325</v>
      </c>
      <c r="K16">
        <f>0.5*SIN(RADIANS(60))*((L16*M16)+(M16*N16)+(N16*O16)+(O16*P16)+(P16*Q16)+(Q16*L16))</f>
        <v>2.2572371212312379</v>
      </c>
      <c r="L16">
        <f>(MAX(D:D)-D16)/(MAX(D:D)-MIN(D:D))</f>
        <v>0.95398810337987527</v>
      </c>
      <c r="M16">
        <f>(MAX(E:E)-E16)/(MAX(E:E)-MIN(E:E))</f>
        <v>0.96908167429358893</v>
      </c>
      <c r="N16">
        <f>(MAX(F:F)-F16)/(MAX(F:F)-MIN(F:F))</f>
        <v>0.95100992162437648</v>
      </c>
      <c r="O16">
        <f>(MAX(G:G)-G16)/(MAX(G:G)-MIN(G:G))</f>
        <v>0.95871890953457395</v>
      </c>
      <c r="P16">
        <f>(MAX(H:H)-H16)/(MAX(H:H)-MIN(H:H))</f>
        <v>0.86715536343929955</v>
      </c>
      <c r="Q16">
        <f>(MAX(I:I)-I16)/(MAX(I:I)-MIN(I:I))</f>
        <v>0.89155948051671829</v>
      </c>
    </row>
    <row r="17" spans="1:17" x14ac:dyDescent="0.6">
      <c r="A17">
        <v>5</v>
      </c>
      <c r="B17" t="s">
        <v>92</v>
      </c>
      <c r="C17" t="s">
        <v>177</v>
      </c>
      <c r="D17">
        <v>7.1763460209999996</v>
      </c>
      <c r="E17">
        <v>0.27783581200000002</v>
      </c>
      <c r="F17">
        <v>5.4718112699999999</v>
      </c>
      <c r="G17">
        <v>0.40133201299999999</v>
      </c>
      <c r="H17">
        <v>4.6424560550000002</v>
      </c>
      <c r="I17">
        <v>0.33895199300000001</v>
      </c>
      <c r="J17">
        <f>SUM(L17:Q17)</f>
        <v>5.5783019412327786</v>
      </c>
      <c r="K17">
        <f>0.5*SIN(RADIANS(60))*((L17*M17)+(M17*N17)+(N17*O17)+(O17*P17)+(P17*Q17)+(Q17*L17))</f>
        <v>2.2477085395436678</v>
      </c>
      <c r="L17">
        <f>(MAX(D:D)-D17)/(MAX(D:D)-MIN(D:D))</f>
        <v>0.96418913469441136</v>
      </c>
      <c r="M17">
        <f>(MAX(E:E)-E17)/(MAX(E:E)-MIN(E:E))</f>
        <v>0.9756511859517244</v>
      </c>
      <c r="N17">
        <f>(MAX(F:F)-F17)/(MAX(F:F)-MIN(F:F))</f>
        <v>0.96467959567989603</v>
      </c>
      <c r="O17">
        <f>(MAX(G:G)-G17)/(MAX(G:G)-MIN(G:G))</f>
        <v>0.97021423344468327</v>
      </c>
      <c r="P17">
        <f>(MAX(H:H)-H17)/(MAX(H:H)-MIN(H:H))</f>
        <v>0.83973209563548135</v>
      </c>
      <c r="Q17">
        <f>(MAX(I:I)-I17)/(MAX(I:I)-MIN(I:I))</f>
        <v>0.86383569582658204</v>
      </c>
    </row>
    <row r="18" spans="1:17" x14ac:dyDescent="0.6">
      <c r="A18">
        <v>5</v>
      </c>
      <c r="B18" t="s">
        <v>6</v>
      </c>
      <c r="C18" t="s">
        <v>7</v>
      </c>
      <c r="D18">
        <v>7.211831321</v>
      </c>
      <c r="E18">
        <v>0.279697639</v>
      </c>
      <c r="F18" s="13">
        <v>5.5325652940000003</v>
      </c>
      <c r="G18" s="13">
        <v>0.40542800000000001</v>
      </c>
      <c r="H18">
        <v>4.5231933590000004</v>
      </c>
      <c r="I18" s="13">
        <v>0.33638539499999998</v>
      </c>
      <c r="J18">
        <f>SUM(L18:Q18)</f>
        <v>5.57287000278584</v>
      </c>
      <c r="K18">
        <f>0.5*SIN(RADIANS(60))*((L18*M18)+(M18*N18)+(N18*O18)+(O18*P18)+(P18*Q18)+(Q18*L18))</f>
        <v>2.2419806643436107</v>
      </c>
      <c r="L18">
        <f>(MAX(D:D)-D18)/(MAX(D:D)-MIN(D:D))</f>
        <v>0.94908379877959603</v>
      </c>
      <c r="M18">
        <f>(MAX(E:E)-E18)/(MAX(E:E)-MIN(E:E))</f>
        <v>0.96838138963192555</v>
      </c>
      <c r="N18">
        <f>(MAX(F:F)-F18)/(MAX(F:F)-MIN(F:F))</f>
        <v>0.93791981674049152</v>
      </c>
      <c r="O18">
        <f>(MAX(G:G)-G18)/(MAX(G:G)-MIN(G:G))</f>
        <v>0.94845426552837753</v>
      </c>
      <c r="P18">
        <f>(MAX(H:H)-H18)/(MAX(H:H)-MIN(H:H))</f>
        <v>0.89125619676574186</v>
      </c>
      <c r="Q18">
        <f>(MAX(I:I)-I18)/(MAX(I:I)-MIN(I:I))</f>
        <v>0.87777453533970762</v>
      </c>
    </row>
    <row r="19" spans="1:17" x14ac:dyDescent="0.6">
      <c r="A19">
        <v>5</v>
      </c>
      <c r="B19" t="s">
        <v>99</v>
      </c>
      <c r="C19" t="s">
        <v>177</v>
      </c>
      <c r="D19">
        <v>7.245783716</v>
      </c>
      <c r="E19">
        <v>0.28280973700000001</v>
      </c>
      <c r="F19">
        <v>5.5456035659999996</v>
      </c>
      <c r="G19">
        <v>0.40650269300000003</v>
      </c>
      <c r="H19">
        <v>4.5252685550000002</v>
      </c>
      <c r="I19">
        <v>0.32929940200000002</v>
      </c>
      <c r="J19">
        <f>SUM(L19:Q19)</f>
        <v>5.5723998688647196</v>
      </c>
      <c r="K19">
        <f>0.5*SIN(RADIANS(60))*((L19*M19)+(M19*N19)+(N19*O19)+(O19*P19)+(P19*Q19)+(Q19*L19))</f>
        <v>2.2410338434015333</v>
      </c>
      <c r="L19">
        <f>(MAX(D:D)-D19)/(MAX(D:D)-MIN(D:D))</f>
        <v>0.93463098785260668</v>
      </c>
      <c r="M19">
        <f>(MAX(E:E)-E19)/(MAX(E:E)-MIN(E:E))</f>
        <v>0.95622971357004993</v>
      </c>
      <c r="N19">
        <f>(MAX(F:F)-F19)/(MAX(F:F)-MIN(F:F))</f>
        <v>0.93217696625092061</v>
      </c>
      <c r="O19">
        <f>(MAX(G:G)-G19)/(MAX(G:G)-MIN(G:G))</f>
        <v>0.9427449492634874</v>
      </c>
      <c r="P19">
        <f>(MAX(H:H)-H19)/(MAX(H:H)-MIN(H:H))</f>
        <v>0.89035966656681775</v>
      </c>
      <c r="Q19">
        <f>(MAX(I:I)-I19)/(MAX(I:I)-MIN(I:I))</f>
        <v>0.91625758536083668</v>
      </c>
    </row>
    <row r="20" spans="1:17" x14ac:dyDescent="0.6">
      <c r="A20">
        <v>5</v>
      </c>
      <c r="B20" t="s">
        <v>6</v>
      </c>
      <c r="C20" t="s">
        <v>171</v>
      </c>
      <c r="D20" s="13">
        <v>7.2455522400000003</v>
      </c>
      <c r="E20">
        <v>0.28318028000000001</v>
      </c>
      <c r="F20" s="13">
        <v>5.5436261330000001</v>
      </c>
      <c r="G20" s="13">
        <v>0.40654590499999999</v>
      </c>
      <c r="H20">
        <v>4.4367675780000004</v>
      </c>
      <c r="I20" s="13">
        <v>0.33768952800000002</v>
      </c>
      <c r="J20">
        <f>SUM(L20:Q20)</f>
        <v>5.5643617251460826</v>
      </c>
      <c r="K20">
        <f>0.5*SIN(RADIANS(60))*((L20*M20)+(M20*N20)+(N20*O20)+(O20*P20)+(P20*Q20)+(Q20*L20))</f>
        <v>2.2344880001102254</v>
      </c>
      <c r="L20">
        <f>(MAX(D:D)-D20)/(MAX(D:D)-MIN(D:D))</f>
        <v>0.93472952225237826</v>
      </c>
      <c r="M20">
        <f>(MAX(E:E)-E20)/(MAX(E:E)-MIN(E:E))</f>
        <v>0.95478287015348806</v>
      </c>
      <c r="N20">
        <f>(MAX(F:F)-F20)/(MAX(F:F)-MIN(F:F))</f>
        <v>0.93304794839273675</v>
      </c>
      <c r="O20">
        <f>(MAX(G:G)-G20)/(MAX(G:G)-MIN(G:G))</f>
        <v>0.94251538512336719</v>
      </c>
      <c r="P20">
        <f>(MAX(H:H)-H20)/(MAX(H:H)-MIN(H:H))</f>
        <v>0.92859403021959686</v>
      </c>
      <c r="Q20">
        <f>(MAX(I:I)-I20)/(MAX(I:I)-MIN(I:I))</f>
        <v>0.87069196900451551</v>
      </c>
    </row>
    <row r="21" spans="1:17" x14ac:dyDescent="0.6">
      <c r="A21">
        <v>5</v>
      </c>
      <c r="B21" t="s">
        <v>6</v>
      </c>
      <c r="C21" t="s">
        <v>181</v>
      </c>
      <c r="D21" s="13">
        <v>7.1820808359999999</v>
      </c>
      <c r="E21">
        <v>0.27845229100000002</v>
      </c>
      <c r="F21" s="13">
        <v>5.4664576150000004</v>
      </c>
      <c r="G21" s="13">
        <v>0.40104206100000001</v>
      </c>
      <c r="H21">
        <v>4.6578369139999998</v>
      </c>
      <c r="I21" s="13">
        <v>0.344629713</v>
      </c>
      <c r="J21">
        <f>SUM(L21:Q21)</f>
        <v>5.5398722801869829</v>
      </c>
      <c r="K21">
        <f>0.5*SIN(RADIANS(60))*((L21*M21)+(M21*N21)+(N21*O21)+(O21*P21)+(P21*Q21)+(Q21*L21))</f>
        <v>2.2176996179449011</v>
      </c>
      <c r="L21">
        <f>(MAX(D:D)-D21)/(MAX(D:D)-MIN(D:D))</f>
        <v>0.96174794617453618</v>
      </c>
      <c r="M21">
        <f>(MAX(E:E)-E21)/(MAX(E:E)-MIN(E:E))</f>
        <v>0.97324404674629161</v>
      </c>
      <c r="N21">
        <f>(MAX(F:F)-F21)/(MAX(F:F)-MIN(F:F))</f>
        <v>0.96703767198308588</v>
      </c>
      <c r="O21">
        <f>(MAX(G:G)-G21)/(MAX(G:G)-MIN(G:G))</f>
        <v>0.97175460606238651</v>
      </c>
      <c r="P21">
        <f>(MAX(H:H)-H21)/(MAX(H:H)-MIN(H:H))</f>
        <v>0.83308722711275196</v>
      </c>
      <c r="Q21">
        <f>(MAX(I:I)-I21)/(MAX(I:I)-MIN(I:I))</f>
        <v>0.83300078210793083</v>
      </c>
    </row>
    <row r="22" spans="1:17" x14ac:dyDescent="0.6">
      <c r="A22">
        <v>5</v>
      </c>
      <c r="B22" t="s">
        <v>6</v>
      </c>
      <c r="C22" t="s">
        <v>167</v>
      </c>
      <c r="D22" s="13">
        <v>7.2259619109999997</v>
      </c>
      <c r="E22">
        <v>0.28198591099999998</v>
      </c>
      <c r="F22">
        <v>5.4821074510000001</v>
      </c>
      <c r="G22">
        <v>0.40222822600000002</v>
      </c>
      <c r="H22">
        <v>4.636230469</v>
      </c>
      <c r="I22">
        <v>0.34209811200000001</v>
      </c>
      <c r="J22">
        <f>SUM(L22:Q22)</f>
        <v>5.5172840457985215</v>
      </c>
      <c r="K22">
        <f>0.5*SIN(RADIANS(60))*((L22*M22)+(M22*N22)+(N22*O22)+(O22*P22)+(P22*Q22)+(Q22*L22))</f>
        <v>2.1989197138622494</v>
      </c>
      <c r="L22">
        <f>(MAX(D:D)-D22)/(MAX(D:D)-MIN(D:D))</f>
        <v>0.94306870778066054</v>
      </c>
      <c r="M22">
        <f>(MAX(E:E)-E22)/(MAX(E:E)-MIN(E:E))</f>
        <v>0.95944647174519448</v>
      </c>
      <c r="N22">
        <f>(MAX(F:F)-F22)/(MAX(F:F)-MIN(F:F))</f>
        <v>0.96014452936922501</v>
      </c>
      <c r="O22">
        <f>(MAX(G:G)-G22)/(MAX(G:G)-MIN(G:G))</f>
        <v>0.96545309379112065</v>
      </c>
      <c r="P22">
        <f>(MAX(H:H)-H22)/(MAX(H:H)-MIN(H:H))</f>
        <v>0.84242168536821005</v>
      </c>
      <c r="Q22">
        <f>(MAX(I:I)-I22)/(MAX(I:I)-MIN(I:I))</f>
        <v>0.84674955774411065</v>
      </c>
    </row>
    <row r="23" spans="1:17" x14ac:dyDescent="0.6">
      <c r="A23">
        <v>5</v>
      </c>
      <c r="B23" t="s">
        <v>92</v>
      </c>
      <c r="C23" t="s">
        <v>171</v>
      </c>
      <c r="D23">
        <v>7.3180839579999999</v>
      </c>
      <c r="E23">
        <v>0.288439891</v>
      </c>
      <c r="F23">
        <v>5.6063993380000001</v>
      </c>
      <c r="G23">
        <v>0.410949332</v>
      </c>
      <c r="H23">
        <v>4.5218505860000002</v>
      </c>
      <c r="I23">
        <v>0.33376193199999998</v>
      </c>
      <c r="J23">
        <f>SUM(L23:Q23)</f>
        <v>5.4464796509754771</v>
      </c>
      <c r="K23">
        <f>0.5*SIN(RADIANS(60))*((L23*M23)+(M23*N23)+(N23*O23)+(O23*P23)+(P23*Q23)+(Q23*L23))</f>
        <v>2.1407982404190147</v>
      </c>
      <c r="L23">
        <f>(MAX(D:D)-D23)/(MAX(D:D)-MIN(D:D))</f>
        <v>0.90385431576212338</v>
      </c>
      <c r="M23">
        <f>(MAX(E:E)-E23)/(MAX(E:E)-MIN(E:E))</f>
        <v>0.93424589185669993</v>
      </c>
      <c r="N23">
        <f>(MAX(F:F)-F23)/(MAX(F:F)-MIN(F:F))</f>
        <v>0.90539879894515585</v>
      </c>
      <c r="O23">
        <f>(MAX(G:G)-G23)/(MAX(G:G)-MIN(G:G))</f>
        <v>0.91912213943147558</v>
      </c>
      <c r="P23">
        <f>(MAX(H:H)-H23)/(MAX(H:H)-MIN(H:H))</f>
        <v>0.89183630416032056</v>
      </c>
      <c r="Q23">
        <f>(MAX(I:I)-I23)/(MAX(I:I)-MIN(I:I))</f>
        <v>0.89202220081970196</v>
      </c>
    </row>
    <row r="24" spans="1:17" x14ac:dyDescent="0.6">
      <c r="A24">
        <v>5</v>
      </c>
      <c r="B24" t="s">
        <v>99</v>
      </c>
      <c r="C24" t="s">
        <v>184</v>
      </c>
      <c r="D24">
        <v>7.2530679109999996</v>
      </c>
      <c r="E24">
        <v>0.283716248</v>
      </c>
      <c r="F24">
        <v>5.5204914309999999</v>
      </c>
      <c r="G24">
        <v>0.40481444799999999</v>
      </c>
      <c r="H24">
        <v>4.6929931639999998</v>
      </c>
      <c r="I24">
        <v>0.343381679</v>
      </c>
      <c r="J24">
        <f>SUM(L24:Q24)</f>
        <v>5.4368496471802397</v>
      </c>
      <c r="K24">
        <f>0.5*SIN(RADIANS(60))*((L24*M24)+(M24*N24)+(N24*O24)+(O24*P24)+(P24*Q24)+(Q24*L24))</f>
        <v>2.1353175220076142</v>
      </c>
      <c r="L24">
        <f>(MAX(D:D)-D24)/(MAX(D:D)-MIN(D:D))</f>
        <v>0.93153026128853622</v>
      </c>
      <c r="M24">
        <f>(MAX(E:E)-E24)/(MAX(E:E)-MIN(E:E))</f>
        <v>0.95269009880903444</v>
      </c>
      <c r="N24">
        <f>(MAX(F:F)-F24)/(MAX(F:F)-MIN(F:F))</f>
        <v>0.94323788266522213</v>
      </c>
      <c r="O24">
        <f>(MAX(G:G)-G24)/(MAX(G:G)-MIN(G:G))</f>
        <v>0.95171376606756031</v>
      </c>
      <c r="P24">
        <f>(MAX(H:H)-H24)/(MAX(H:H)-MIN(H:H))</f>
        <v>0.81789895583335104</v>
      </c>
      <c r="Q24">
        <f>(MAX(I:I)-I24)/(MAX(I:I)-MIN(I:I))</f>
        <v>0.83977868251653565</v>
      </c>
    </row>
    <row r="25" spans="1:17" x14ac:dyDescent="0.6">
      <c r="A25">
        <v>5</v>
      </c>
      <c r="B25" t="s">
        <v>9</v>
      </c>
      <c r="C25" t="s">
        <v>184</v>
      </c>
      <c r="D25">
        <v>7.3245217519999999</v>
      </c>
      <c r="E25">
        <v>0.28909242499999999</v>
      </c>
      <c r="F25" s="13">
        <v>5.5709968339999998</v>
      </c>
      <c r="G25" s="13">
        <v>0.40837718299999998</v>
      </c>
      <c r="H25">
        <v>4.6185302730000002</v>
      </c>
      <c r="I25">
        <v>0.34320772100000002</v>
      </c>
      <c r="J25">
        <f>SUM(L25:Q25)</f>
        <v>5.377382762988284</v>
      </c>
      <c r="K25">
        <f>0.5*SIN(RADIANS(60))*((L25*M25)+(M25*N25)+(N25*O25)+(O25*P25)+(P25*Q25)+(Q25*L25))</f>
        <v>2.0879589329835304</v>
      </c>
      <c r="L25">
        <f>(MAX(D:D)-D25)/(MAX(D:D)-MIN(D:D))</f>
        <v>0.90111388406448012</v>
      </c>
      <c r="M25">
        <f>(MAX(E:E)-E25)/(MAX(E:E)-MIN(E:E))</f>
        <v>0.93169797023361489</v>
      </c>
      <c r="N25">
        <f>(MAX(F:F)-F25)/(MAX(F:F)-MIN(F:F))</f>
        <v>0.92099222171072259</v>
      </c>
      <c r="O25">
        <f>(MAX(G:G)-G25)/(MAX(G:G)-MIN(G:G))</f>
        <v>0.93278670421548449</v>
      </c>
      <c r="P25">
        <f>(MAX(H:H)-H25)/(MAX(H:H)-MIN(H:H))</f>
        <v>0.85006855835797901</v>
      </c>
      <c r="Q25">
        <f>(MAX(I:I)-I25)/(MAX(I:I)-MIN(I:I))</f>
        <v>0.84072342440600323</v>
      </c>
    </row>
    <row r="26" spans="1:17" x14ac:dyDescent="0.6">
      <c r="A26">
        <v>5</v>
      </c>
      <c r="B26" t="s">
        <v>99</v>
      </c>
      <c r="C26" t="s">
        <v>181</v>
      </c>
      <c r="D26">
        <v>7.3164643829999996</v>
      </c>
      <c r="E26">
        <v>0.28857901899999999</v>
      </c>
      <c r="F26">
        <v>5.5876005099999997</v>
      </c>
      <c r="G26">
        <v>0.40965368699999999</v>
      </c>
      <c r="H26">
        <v>4.7071533199999998</v>
      </c>
      <c r="I26">
        <v>0.350443748</v>
      </c>
      <c r="J26">
        <f>SUM(L26:Q26)</f>
        <v>5.291137612202963</v>
      </c>
      <c r="K26">
        <f>0.5*SIN(RADIANS(60))*((L26*M26)+(M26*N26)+(N26*O26)+(O26*P26)+(P26*Q26)+(Q26*L26))</f>
        <v>2.0225900459842623</v>
      </c>
      <c r="L26">
        <f>(MAX(D:D)-D26)/(MAX(D:D)-MIN(D:D))</f>
        <v>0.90454373432175916</v>
      </c>
      <c r="M26">
        <f>(MAX(E:E)-E26)/(MAX(E:E)-MIN(E:E))</f>
        <v>0.93370264470087894</v>
      </c>
      <c r="N26">
        <f>(MAX(F:F)-F26)/(MAX(F:F)-MIN(F:F))</f>
        <v>0.91367894976446451</v>
      </c>
      <c r="O26">
        <f>(MAX(G:G)-G26)/(MAX(G:G)-MIN(G:G))</f>
        <v>0.92600526519113302</v>
      </c>
      <c r="P26">
        <f>(MAX(H:H)-H26)/(MAX(H:H)-MIN(H:H))</f>
        <v>0.81178145778715338</v>
      </c>
      <c r="Q26">
        <f>(MAX(I:I)-I26)/(MAX(I:I)-MIN(I:I))</f>
        <v>0.80142556043757407</v>
      </c>
    </row>
    <row r="27" spans="1:17" x14ac:dyDescent="0.6">
      <c r="A27">
        <v>5</v>
      </c>
      <c r="B27" t="s">
        <v>9</v>
      </c>
      <c r="C27" t="s">
        <v>8</v>
      </c>
      <c r="D27">
        <v>7.4566945310000001</v>
      </c>
      <c r="E27">
        <v>0.29974140100000002</v>
      </c>
      <c r="F27" s="13">
        <v>5.6596484159999996</v>
      </c>
      <c r="G27" s="13">
        <v>0.414828003</v>
      </c>
      <c r="H27">
        <v>4.5623779300000002</v>
      </c>
      <c r="I27" s="13">
        <v>0.33639218500000001</v>
      </c>
      <c r="J27">
        <f>SUM(L27:Q27)</f>
        <v>5.2674947008468056</v>
      </c>
      <c r="K27">
        <f>0.5*SIN(RADIANS(60))*((L27*M27)+(M27*N27)+(N27*O27)+(O27*P27)+(P27*Q27)+(Q27*L27))</f>
        <v>2.002284533429509</v>
      </c>
      <c r="L27">
        <f>(MAX(D:D)-D27)/(MAX(D:D)-MIN(D:D))</f>
        <v>0.84485074903139223</v>
      </c>
      <c r="M27">
        <f>(MAX(E:E)-E27)/(MAX(E:E)-MIN(E:E))</f>
        <v>0.89011736874141001</v>
      </c>
      <c r="N27">
        <f>(MAX(F:F)-F27)/(MAX(F:F)-MIN(F:F))</f>
        <v>0.88194465612151207</v>
      </c>
      <c r="O27">
        <f>(MAX(G:G)-G27)/(MAX(G:G)-MIN(G:G))</f>
        <v>0.89851666472711134</v>
      </c>
      <c r="P27">
        <f>(MAX(H:H)-H27)/(MAX(H:H)-MIN(H:H))</f>
        <v>0.87432760243856122</v>
      </c>
      <c r="Q27">
        <f>(MAX(I:I)-I27)/(MAX(I:I)-MIN(I:I))</f>
        <v>0.87773765978681828</v>
      </c>
    </row>
    <row r="28" spans="1:17" x14ac:dyDescent="0.6">
      <c r="A28">
        <v>5</v>
      </c>
      <c r="B28" t="s">
        <v>9</v>
      </c>
      <c r="C28" t="s">
        <v>171</v>
      </c>
      <c r="D28">
        <v>7.555311992</v>
      </c>
      <c r="E28">
        <v>0.306399427</v>
      </c>
      <c r="F28" s="13">
        <v>5.8581225899999998</v>
      </c>
      <c r="G28" s="13">
        <v>0.42890978600000002</v>
      </c>
      <c r="H28">
        <v>4.682617188</v>
      </c>
      <c r="I28" s="13">
        <v>0.34415055300000003</v>
      </c>
      <c r="J28">
        <f>SUM(L28:Q28)</f>
        <v>4.9432076817495281</v>
      </c>
      <c r="K28">
        <f>0.5*SIN(RADIANS(60))*((L28*M28)+(M28*N28)+(N28*O28)+(O28*P28)+(P28*Q28)+(Q28*L28))</f>
        <v>1.7624765295293776</v>
      </c>
      <c r="L28">
        <f>(MAX(D:D)-D28)/(MAX(D:D)-MIN(D:D))</f>
        <v>0.80287139770926208</v>
      </c>
      <c r="M28">
        <f>(MAX(E:E)-E28)/(MAX(E:E)-MIN(E:E))</f>
        <v>0.86412005915683243</v>
      </c>
      <c r="N28">
        <f>(MAX(F:F)-F28)/(MAX(F:F)-MIN(F:F))</f>
        <v>0.79452452043764554</v>
      </c>
      <c r="O28">
        <f>(MAX(G:G)-G28)/(MAX(G:G)-MIN(G:G))</f>
        <v>0.82370706540846661</v>
      </c>
      <c r="P28">
        <f>(MAX(H:H)-H28)/(MAX(H:H)-MIN(H:H))</f>
        <v>0.82238160509988401</v>
      </c>
      <c r="Q28">
        <f>(MAX(I:I)-I28)/(MAX(I:I)-MIN(I:I))</f>
        <v>0.83560303393743784</v>
      </c>
    </row>
    <row r="29" spans="1:17" x14ac:dyDescent="0.6">
      <c r="A29">
        <v>5</v>
      </c>
      <c r="B29" t="s">
        <v>9</v>
      </c>
      <c r="C29" t="s">
        <v>174</v>
      </c>
      <c r="D29">
        <v>7.5260731209999996</v>
      </c>
      <c r="E29">
        <v>0.30478380700000002</v>
      </c>
      <c r="F29" s="13">
        <v>5.8091787359999998</v>
      </c>
      <c r="G29" s="13">
        <v>0.42566166300000002</v>
      </c>
      <c r="H29">
        <v>4.993164063</v>
      </c>
      <c r="I29" s="13">
        <v>0.36733003600000003</v>
      </c>
      <c r="J29">
        <f>SUM(L29:Q29)</f>
        <v>4.7407283945375527</v>
      </c>
      <c r="K29">
        <f>0.5*SIN(RADIANS(60))*((L29*M29)+(M29*N29)+(N29*O29)+(O29*P29)+(P29*Q29)+(Q29*L29))</f>
        <v>1.6247354033361878</v>
      </c>
      <c r="L29">
        <f>(MAX(D:D)-D29)/(MAX(D:D)-MIN(D:D))</f>
        <v>0.81531776192838812</v>
      </c>
      <c r="M29">
        <f>(MAX(E:E)-E29)/(MAX(E:E)-MIN(E:E))</f>
        <v>0.87042850152564188</v>
      </c>
      <c r="N29">
        <f>(MAX(F:F)-F29)/(MAX(F:F)-MIN(F:F))</f>
        <v>0.81608237993815336</v>
      </c>
      <c r="O29">
        <f>(MAX(G:G)-G29)/(MAX(G:G)-MIN(G:G))</f>
        <v>0.84096274817020733</v>
      </c>
      <c r="P29">
        <f>(MAX(H:H)-H29)/(MAX(H:H)-MIN(H:H))</f>
        <v>0.68821854213184264</v>
      </c>
      <c r="Q29">
        <f>(MAX(I:I)-I29)/(MAX(I:I)-MIN(I:I))</f>
        <v>0.7097184608433188</v>
      </c>
    </row>
    <row r="30" spans="1:17" x14ac:dyDescent="0.6">
      <c r="A30">
        <v>5</v>
      </c>
      <c r="B30" t="s">
        <v>9</v>
      </c>
      <c r="C30" t="s">
        <v>181</v>
      </c>
      <c r="D30">
        <v>7.815356467</v>
      </c>
      <c r="E30">
        <v>0.326656057</v>
      </c>
      <c r="F30" s="13">
        <v>6.0984082239999999</v>
      </c>
      <c r="G30" s="13">
        <v>0.44620880000000002</v>
      </c>
      <c r="H30">
        <v>4.8770751949999998</v>
      </c>
      <c r="I30">
        <v>0.35800665100000001</v>
      </c>
      <c r="J30">
        <f>SUM(L30:Q30)</f>
        <v>4.3964187907493315</v>
      </c>
      <c r="K30">
        <f>0.5*SIN(RADIANS(60))*((L30*M30)+(M30*N30)+(N30*O30)+(O30*P30)+(P30*Q30)+(Q30*L30))</f>
        <v>1.3925963660581608</v>
      </c>
      <c r="L30">
        <f>(MAX(D:D)-D30)/(MAX(D:D)-MIN(D:D))</f>
        <v>0.69217600700756976</v>
      </c>
      <c r="M30">
        <f>(MAX(E:E)-E30)/(MAX(E:E)-MIN(E:E))</f>
        <v>0.78502486168385099</v>
      </c>
      <c r="N30">
        <f>(MAX(F:F)-F30)/(MAX(F:F)-MIN(F:F))</f>
        <v>0.68868806673781113</v>
      </c>
      <c r="O30">
        <f>(MAX(G:G)-G30)/(MAX(G:G)-MIN(G:G))</f>
        <v>0.73180589735697588</v>
      </c>
      <c r="P30">
        <f>(MAX(H:H)-H30)/(MAX(H:H)-MIN(H:H))</f>
        <v>0.73837147993671559</v>
      </c>
      <c r="Q30">
        <f>(MAX(I:I)-I30)/(MAX(I:I)-MIN(I:I))</f>
        <v>0.7603524780264076</v>
      </c>
    </row>
    <row r="31" spans="1:17" x14ac:dyDescent="0.6">
      <c r="A31">
        <v>5</v>
      </c>
      <c r="B31" t="s">
        <v>9</v>
      </c>
      <c r="C31" t="s">
        <v>7</v>
      </c>
      <c r="D31">
        <v>7.9057553230000002</v>
      </c>
      <c r="E31">
        <v>0.33435530600000002</v>
      </c>
      <c r="F31">
        <v>6.2034996659999999</v>
      </c>
      <c r="G31">
        <v>0.45389565399999998</v>
      </c>
      <c r="H31">
        <v>4.7145996090000004</v>
      </c>
      <c r="I31">
        <v>0.349579321</v>
      </c>
      <c r="J31">
        <f>SUM(L31:Q31)</f>
        <v>4.3567105154186176</v>
      </c>
      <c r="K31">
        <f>0.5*SIN(RADIANS(60))*((L31*M31)+(M31*N31)+(N31*O31)+(O31*P31)+(P31*Q31)+(Q31*L31))</f>
        <v>1.3682468046648046</v>
      </c>
      <c r="L31">
        <f>(MAX(D:D)-D31)/(MAX(D:D)-MIN(D:D))</f>
        <v>0.65369514067150924</v>
      </c>
      <c r="M31">
        <f>(MAX(E:E)-E31)/(MAX(E:E)-MIN(E:E))</f>
        <v>0.75496193314891413</v>
      </c>
      <c r="N31">
        <f>(MAX(F:F)-F31)/(MAX(F:F)-MIN(F:F))</f>
        <v>0.64239938376360617</v>
      </c>
      <c r="O31">
        <f>(MAX(G:G)-G31)/(MAX(G:G)-MIN(G:G))</f>
        <v>0.69096941608461726</v>
      </c>
      <c r="P31">
        <f>(MAX(H:H)-H31)/(MAX(H:H)-MIN(H:H))</f>
        <v>0.80856449757789239</v>
      </c>
      <c r="Q31">
        <f>(MAX(I:I)-I31)/(MAX(I:I)-MIN(I:I))</f>
        <v>0.80612014417207889</v>
      </c>
    </row>
    <row r="32" spans="1:17" x14ac:dyDescent="0.6">
      <c r="A32">
        <v>5</v>
      </c>
      <c r="B32" t="s">
        <v>92</v>
      </c>
      <c r="C32" t="s">
        <v>7</v>
      </c>
      <c r="D32">
        <v>7.942977</v>
      </c>
      <c r="E32">
        <v>0.3372</v>
      </c>
      <c r="F32">
        <v>6.1162039999999998</v>
      </c>
      <c r="G32">
        <v>0.44723200000000002</v>
      </c>
      <c r="H32">
        <v>5.09314</v>
      </c>
      <c r="I32">
        <v>0.36770399999999998</v>
      </c>
      <c r="J32">
        <f>SUM(L32:Q32)</f>
        <v>4.1416391614565295</v>
      </c>
      <c r="K32">
        <f>0.5*SIN(RADIANS(60))*((L32*M32)+(M32*N32)+(N32*O32)+(O32*P32)+(P32*Q32)+(Q32*L32))</f>
        <v>1.234897862217345</v>
      </c>
      <c r="L32">
        <f>(MAX(D:D)-D32)/(MAX(D:D)-MIN(D:D))</f>
        <v>0.6378506660750497</v>
      </c>
      <c r="M32">
        <f>(MAX(E:E)-E32)/(MAX(E:E)-MIN(E:E))</f>
        <v>0.74385437805805232</v>
      </c>
      <c r="N32">
        <f>(MAX(F:F)-F32)/(MAX(F:F)-MIN(F:F))</f>
        <v>0.68084972121825915</v>
      </c>
      <c r="O32">
        <f>(MAX(G:G)-G32)/(MAX(G:G)-MIN(G:G))</f>
        <v>0.7263701381194676</v>
      </c>
      <c r="P32">
        <f>(MAX(H:H)-H32)/(MAX(H:H)-MIN(H:H))</f>
        <v>0.64502674401434446</v>
      </c>
      <c r="Q32">
        <f>(MAX(I:I)-I32)/(MAX(I:I)-MIN(I:I))</f>
        <v>0.7076875139713561</v>
      </c>
    </row>
    <row r="33" spans="1:17" x14ac:dyDescent="0.6">
      <c r="A33">
        <v>5</v>
      </c>
      <c r="B33" t="s">
        <v>9</v>
      </c>
      <c r="C33" t="s">
        <v>167</v>
      </c>
      <c r="D33">
        <v>8.4645931989999994</v>
      </c>
      <c r="E33">
        <v>0.38259774000000002</v>
      </c>
      <c r="F33" s="13">
        <v>6.6893971099999998</v>
      </c>
      <c r="G33" s="13">
        <v>0.48920847099999998</v>
      </c>
      <c r="H33">
        <v>5.6036376949999998</v>
      </c>
      <c r="I33" s="13">
        <v>0.41343295099999999</v>
      </c>
      <c r="J33">
        <f>SUM(L33:Q33)</f>
        <v>2.7979722230368265</v>
      </c>
      <c r="K33">
        <f>0.5*SIN(RADIANS(60))*((L33*M33)+(M33*N33)+(N33*O33)+(O33*P33)+(P33*Q33)+(Q33*L33))</f>
        <v>0.56014287959899056</v>
      </c>
      <c r="L33">
        <f>(MAX(D:D)-D33)/(MAX(D:D)-MIN(D:D))</f>
        <v>0.41580976732249353</v>
      </c>
      <c r="M33">
        <f>(MAX(E:E)-E33)/(MAX(E:E)-MIN(E:E))</f>
        <v>0.56659176279939039</v>
      </c>
      <c r="N33">
        <f>(MAX(F:F)-F33)/(MAX(F:F)-MIN(F:F))</f>
        <v>0.42838050348891676</v>
      </c>
      <c r="O33">
        <f>(MAX(G:G)-G33)/(MAX(G:G)-MIN(G:G))</f>
        <v>0.50336975696597985</v>
      </c>
      <c r="P33">
        <f>(MAX(H:H)-H33)/(MAX(H:H)-MIN(H:H))</f>
        <v>0.42448054016243025</v>
      </c>
      <c r="Q33">
        <f>(MAX(I:I)-I33)/(MAX(I:I)-MIN(I:I))</f>
        <v>0.4593398922976159</v>
      </c>
    </row>
    <row r="34" spans="1:17" x14ac:dyDescent="0.6">
      <c r="A34">
        <v>5</v>
      </c>
      <c r="B34" s="31" t="s">
        <v>569</v>
      </c>
      <c r="C34" s="31"/>
      <c r="D34" s="31">
        <v>8.6211544730838501</v>
      </c>
      <c r="E34">
        <v>0.44398070057198996</v>
      </c>
      <c r="F34" s="31">
        <v>6.9252069398954301</v>
      </c>
      <c r="G34" s="31">
        <v>0.52845462565953505</v>
      </c>
      <c r="H34" s="31">
        <v>5.8337707519531197</v>
      </c>
      <c r="I34" s="31">
        <v>0.442079335014677</v>
      </c>
      <c r="J34">
        <f>SUM(L34:Q34)</f>
        <v>1.9242903277154866</v>
      </c>
      <c r="K34">
        <f>0.5*SIN(RADIANS(60))*((L34*M34)+(M34*N34)+(N34*O34)+(O34*P34)+(P34*Q34)+(Q34*L34))</f>
        <v>0.26698804581548463</v>
      </c>
      <c r="L34">
        <f>(MAX(D:D)-D34)/(MAX(D:D)-MIN(D:D))</f>
        <v>0.34916496972213468</v>
      </c>
      <c r="M34">
        <f>(MAX(E:E)-E34)/(MAX(E:E)-MIN(E:E))</f>
        <v>0.32691233991820146</v>
      </c>
      <c r="N34">
        <f>(MAX(F:F)-F34)/(MAX(F:F)-MIN(F:F))</f>
        <v>0.32451546699783163</v>
      </c>
      <c r="O34">
        <f>(MAX(G:G)-G34)/(MAX(G:G)-MIN(G:G))</f>
        <v>0.29487420602066439</v>
      </c>
      <c r="P34">
        <f>(MAX(H:H)-H34)/(MAX(H:H)-MIN(H:H))</f>
        <v>0.3250580107583611</v>
      </c>
      <c r="Q34">
        <f>(MAX(I:I)-I34)/(MAX(I:I)-MIN(I:I))</f>
        <v>0.30376533429829333</v>
      </c>
    </row>
    <row r="35" spans="1:17" x14ac:dyDescent="0.6">
      <c r="A35">
        <v>5</v>
      </c>
      <c r="B35" s="31" t="s">
        <v>572</v>
      </c>
      <c r="C35" s="31" t="s">
        <v>184</v>
      </c>
      <c r="D35" s="31">
        <v>8.8213149912583209</v>
      </c>
      <c r="E35">
        <v>0.46396061732491001</v>
      </c>
      <c r="F35" s="31">
        <v>7.1617222476600499</v>
      </c>
      <c r="G35" s="31">
        <v>0.54613020547119795</v>
      </c>
      <c r="H35" s="31">
        <v>6.0617649219669199</v>
      </c>
      <c r="I35" s="31">
        <v>0.46026925733630503</v>
      </c>
      <c r="J35">
        <f>SUM(L35:Q35)</f>
        <v>1.3657086437384753</v>
      </c>
      <c r="K35">
        <f>0.5*SIN(RADIANS(60))*((L35*M35)+(M35*N35)+(N35*O35)+(O35*P35)+(P35*Q35)+(Q35*L35))</f>
        <v>0.13462443326513993</v>
      </c>
      <c r="L35">
        <f>(MAX(D:D)-D35)/(MAX(D:D)-MIN(D:D))</f>
        <v>0.26396090313938481</v>
      </c>
      <c r="M35">
        <f>(MAX(E:E)-E35)/(MAX(E:E)-MIN(E:E))</f>
        <v>0.24889761283546649</v>
      </c>
      <c r="N35">
        <f>(MAX(F:F)-F35)/(MAX(F:F)-MIN(F:F))</f>
        <v>0.22033969501001377</v>
      </c>
      <c r="O35">
        <f>(MAX(G:G)-G35)/(MAX(G:G)-MIN(G:G))</f>
        <v>0.2009725286950568</v>
      </c>
      <c r="P35">
        <f>(MAX(H:H)-H35)/(MAX(H:H)-MIN(H:H))</f>
        <v>0.22655952743629326</v>
      </c>
      <c r="Q35">
        <f>(MAX(I:I)-I35)/(MAX(I:I)-MIN(I:I))</f>
        <v>0.20497837662226015</v>
      </c>
    </row>
    <row r="36" spans="1:17" x14ac:dyDescent="0.6">
      <c r="A36">
        <v>5</v>
      </c>
      <c r="B36" s="31" t="s">
        <v>571</v>
      </c>
      <c r="C36" s="31" t="s">
        <v>181</v>
      </c>
      <c r="D36" s="31">
        <v>8.9015281089876499</v>
      </c>
      <c r="E36">
        <v>0.47232593662961997</v>
      </c>
      <c r="F36" s="31">
        <v>7.2147249888224696</v>
      </c>
      <c r="G36" s="31">
        <v>0.55003718516247402</v>
      </c>
      <c r="H36" s="31">
        <v>6.0359191894531197</v>
      </c>
      <c r="I36" s="31">
        <v>0.46123464584507601</v>
      </c>
      <c r="J36">
        <f>SUM(L36:Q36)</f>
        <v>1.2607214500858144</v>
      </c>
      <c r="K36">
        <f>0.5*SIN(RADIANS(60))*((L36*M36)+(M36*N36)+(N36*O36)+(O36*P36)+(P36*Q36)+(Q36*L36))</f>
        <v>0.11432361380996561</v>
      </c>
      <c r="L36">
        <f>(MAX(D:D)-D36)/(MAX(D:D)-MIN(D:D))</f>
        <v>0.22981588849737439</v>
      </c>
      <c r="M36">
        <f>(MAX(E:E)-E36)/(MAX(E:E)-MIN(E:E))</f>
        <v>0.21623390804693166</v>
      </c>
      <c r="N36">
        <f>(MAX(F:F)-F36)/(MAX(F:F)-MIN(F:F))</f>
        <v>0.19699405395932684</v>
      </c>
      <c r="O36">
        <f>(MAX(G:G)-G36)/(MAX(G:G)-MIN(G:G))</f>
        <v>0.18021666381271592</v>
      </c>
      <c r="P36">
        <f>(MAX(H:H)-H36)/(MAX(H:H)-MIN(H:H))</f>
        <v>0.23772545090180591</v>
      </c>
      <c r="Q36">
        <f>(MAX(I:I)-I36)/(MAX(I:I)-MIN(I:I))</f>
        <v>0.1997354848676596</v>
      </c>
    </row>
    <row r="37" spans="1:17" x14ac:dyDescent="0.6">
      <c r="A37">
        <v>5</v>
      </c>
      <c r="B37" s="31" t="s">
        <v>572</v>
      </c>
      <c r="C37" s="31" t="s">
        <v>8</v>
      </c>
      <c r="D37" s="31">
        <v>8.8915684483157396</v>
      </c>
      <c r="E37">
        <v>0.47145165313931997</v>
      </c>
      <c r="F37" s="31">
        <v>7.2217982722104201</v>
      </c>
      <c r="G37" s="31">
        <v>0.55075135356287497</v>
      </c>
      <c r="H37" s="31">
        <v>6.0413459971080101</v>
      </c>
      <c r="I37" s="31">
        <v>0.47041985442086398</v>
      </c>
      <c r="J37">
        <f>SUM(L37:Q37)</f>
        <v>1.209237211049494</v>
      </c>
      <c r="K37">
        <f>0.5*SIN(RADIANS(60))*((L37*M37)+(M37*N37)+(N37*O37)+(O37*P37)+(P37*Q37)+(Q37*L37))</f>
        <v>0.10395411916898056</v>
      </c>
      <c r="L37">
        <f>(MAX(D:D)-D37)/(MAX(D:D)-MIN(D:D))</f>
        <v>0.23405550377600468</v>
      </c>
      <c r="M37">
        <f>(MAX(E:E)-E37)/(MAX(E:E)-MIN(E:E))</f>
        <v>0.21964768542809751</v>
      </c>
      <c r="N37">
        <f>(MAX(F:F)-F37)/(MAX(F:F)-MIN(F:F))</f>
        <v>0.19387854839483423</v>
      </c>
      <c r="O37">
        <f>(MAX(G:G)-G37)/(MAX(G:G)-MIN(G:G))</f>
        <v>0.1764226377380326</v>
      </c>
      <c r="P37">
        <f>(MAX(H:H)-H37)/(MAX(H:H)-MIN(H:H))</f>
        <v>0.23538095093825445</v>
      </c>
      <c r="Q37">
        <f>(MAX(I:I)-I37)/(MAX(I:I)-MIN(I:I))</f>
        <v>0.14985188477427053</v>
      </c>
    </row>
    <row r="38" spans="1:17" x14ac:dyDescent="0.6">
      <c r="A38">
        <v>5</v>
      </c>
      <c r="B38" s="31" t="s">
        <v>572</v>
      </c>
      <c r="C38" s="31" t="s">
        <v>167</v>
      </c>
      <c r="D38" s="31">
        <v>8.8549239785346305</v>
      </c>
      <c r="E38">
        <v>0.46780335626900998</v>
      </c>
      <c r="F38" s="31">
        <v>7.1679530116872101</v>
      </c>
      <c r="G38" s="31">
        <v>0.54679461809838503</v>
      </c>
      <c r="H38" s="31">
        <v>6.2397036019551102</v>
      </c>
      <c r="I38" s="31">
        <v>0.47448212593363198</v>
      </c>
      <c r="J38">
        <f>SUM(L38:Q38)</f>
        <v>1.1760617876460442</v>
      </c>
      <c r="K38">
        <f>0.5*SIN(RADIANS(60))*((L38*M38)+(M38*N38)+(N38*O38)+(O38*P38)+(P38*Q38)+(Q38*L38))</f>
        <v>0.10082064414811359</v>
      </c>
      <c r="L38">
        <f>(MAX(D:D)-D38)/(MAX(D:D)-MIN(D:D))</f>
        <v>0.24965427356135089</v>
      </c>
      <c r="M38">
        <f>(MAX(E:E)-E38)/(MAX(E:E)-MIN(E:E))</f>
        <v>0.2338930343038596</v>
      </c>
      <c r="N38">
        <f>(MAX(F:F)-F38)/(MAX(F:F)-MIN(F:F))</f>
        <v>0.21759528637643258</v>
      </c>
      <c r="O38">
        <f>(MAX(G:G)-G38)/(MAX(G:G)-MIN(G:G))</f>
        <v>0.19744283061477011</v>
      </c>
      <c r="P38">
        <f>(MAX(H:H)-H38)/(MAX(H:H)-MIN(H:H))</f>
        <v>0.14968611395336659</v>
      </c>
      <c r="Q38">
        <f>(MAX(I:I)-I38)/(MAX(I:I)-MIN(I:I))</f>
        <v>0.12779024883626447</v>
      </c>
    </row>
    <row r="39" spans="1:17" x14ac:dyDescent="0.6">
      <c r="A39">
        <v>5</v>
      </c>
      <c r="B39" s="31" t="s">
        <v>572</v>
      </c>
      <c r="C39" t="s">
        <v>177</v>
      </c>
      <c r="D39" s="31">
        <v>8.8925339666344492</v>
      </c>
      <c r="E39">
        <v>0.47167445318327006</v>
      </c>
      <c r="F39" s="31">
        <v>7.1793570441932903</v>
      </c>
      <c r="G39" s="31">
        <v>0.547441173812798</v>
      </c>
      <c r="H39" s="31">
        <v>6.2531170036574997</v>
      </c>
      <c r="I39" s="31">
        <v>0.473384403279136</v>
      </c>
      <c r="J39">
        <f>SUM(L39:Q39)</f>
        <v>1.1366455422569519</v>
      </c>
      <c r="K39">
        <f>0.5*SIN(RADIANS(60))*((L39*M39)+(M39*N39)+(N39*O39)+(O39*P39)+(P39*Q39)+(Q39*L39))</f>
        <v>9.4082899788476032E-2</v>
      </c>
      <c r="L39">
        <f>(MAX(D:D)-D39)/(MAX(D:D)-MIN(D:D))</f>
        <v>0.23364450320573993</v>
      </c>
      <c r="M39">
        <f>(MAX(E:E)-E39)/(MAX(E:E)-MIN(E:E))</f>
        <v>0.21877772761807576</v>
      </c>
      <c r="N39">
        <f>(MAX(F:F)-F39)/(MAX(F:F)-MIN(F:F))</f>
        <v>0.21257225466942187</v>
      </c>
      <c r="O39">
        <f>(MAX(G:G)-G39)/(MAX(G:G)-MIN(G:G))</f>
        <v>0.19400799754480916</v>
      </c>
      <c r="P39">
        <f>(MAX(H:H)-H39)/(MAX(H:H)-MIN(H:H))</f>
        <v>0.14389123014649102</v>
      </c>
      <c r="Q39">
        <f>(MAX(I:I)-I39)/(MAX(I:I)-MIN(I:I))</f>
        <v>0.13375182907241423</v>
      </c>
    </row>
    <row r="40" spans="1:17" x14ac:dyDescent="0.6">
      <c r="A40">
        <v>5</v>
      </c>
      <c r="B40" s="31" t="s">
        <v>572</v>
      </c>
      <c r="C40" s="31" t="s">
        <v>171</v>
      </c>
      <c r="D40" s="31">
        <v>8.9843268264473704</v>
      </c>
      <c r="E40">
        <v>0.47929930708718005</v>
      </c>
      <c r="F40" s="31">
        <v>7.29905129274165</v>
      </c>
      <c r="G40" s="31">
        <v>0.55637441836620305</v>
      </c>
      <c r="H40" s="31">
        <v>6.25227020899416</v>
      </c>
      <c r="I40" s="31">
        <v>0.47439728032185902</v>
      </c>
      <c r="J40">
        <f>SUM(L40:Q40)</f>
        <v>0.9624852831938232</v>
      </c>
      <c r="K40">
        <f>0.5*SIN(RADIANS(60))*((L40*M40)+(M40*N40)+(N40*O40)+(O40*P40)+(P40*Q40)+(Q40*L40))</f>
        <v>6.7121167360931086E-2</v>
      </c>
      <c r="L40">
        <f>(MAX(D:D)-D40)/(MAX(D:D)-MIN(D:D))</f>
        <v>0.19457023915680377</v>
      </c>
      <c r="M40">
        <f>(MAX(E:E)-E40)/(MAX(E:E)-MIN(E:E))</f>
        <v>0.18900528643549039</v>
      </c>
      <c r="N40">
        <f>(MAX(F:F)-F40)/(MAX(F:F)-MIN(F:F))</f>
        <v>0.1598516047339999</v>
      </c>
      <c r="O40">
        <f>(MAX(G:G)-G40)/(MAX(G:G)-MIN(G:G))</f>
        <v>0.14655005520500058</v>
      </c>
      <c r="P40">
        <f>(MAX(H:H)-H40)/(MAX(H:H)-MIN(H:H))</f>
        <v>0.14425706401855509</v>
      </c>
      <c r="Q40">
        <f>(MAX(I:I)-I40)/(MAX(I:I)-MIN(I:I))</f>
        <v>0.12825103364397347</v>
      </c>
    </row>
    <row r="41" spans="1:17" x14ac:dyDescent="0.6">
      <c r="A41">
        <v>5</v>
      </c>
      <c r="B41" s="31" t="s">
        <v>571</v>
      </c>
      <c r="C41" s="31" t="s">
        <v>184</v>
      </c>
      <c r="D41" s="31">
        <v>9.0990461137196998</v>
      </c>
      <c r="E41">
        <v>0.49312732859720004</v>
      </c>
      <c r="F41" s="31">
        <v>7.3019796723033998</v>
      </c>
      <c r="G41" s="31">
        <v>0.55679666998773902</v>
      </c>
      <c r="H41" s="31">
        <v>6.14739990234375</v>
      </c>
      <c r="I41" s="31">
        <v>0.46855955071486299</v>
      </c>
      <c r="J41">
        <f>SUM(L41:Q41)</f>
        <v>0.93313516738298186</v>
      </c>
      <c r="K41">
        <f>0.5*SIN(RADIANS(60))*((L41*M41)+(M41*N41)+(N41*O41)+(O41*P41)+(P41*Q41)+(Q41*L41))</f>
        <v>6.276672784745739E-2</v>
      </c>
      <c r="L41">
        <f>(MAX(D:D)-D41)/(MAX(D:D)-MIN(D:D))</f>
        <v>0.14573668356739858</v>
      </c>
      <c r="M41">
        <f>(MAX(E:E)-E41)/(MAX(E:E)-MIN(E:E))</f>
        <v>0.13501160180010602</v>
      </c>
      <c r="N41">
        <f>(MAX(F:F)-F41)/(MAX(F:F)-MIN(F:F))</f>
        <v>0.15856176770652833</v>
      </c>
      <c r="O41">
        <f>(MAX(G:G)-G41)/(MAX(G:G)-MIN(G:G))</f>
        <v>0.14430683965347887</v>
      </c>
      <c r="P41">
        <f>(MAX(H:H)-H41)/(MAX(H:H)-MIN(H:H))</f>
        <v>0.18956333720071722</v>
      </c>
      <c r="Q41">
        <f>(MAX(I:I)-I41)/(MAX(I:I)-MIN(I:I))</f>
        <v>0.15995493745475275</v>
      </c>
    </row>
    <row r="42" spans="1:17" x14ac:dyDescent="0.6">
      <c r="A42">
        <v>5</v>
      </c>
      <c r="B42" s="31" t="s">
        <v>572</v>
      </c>
      <c r="C42" s="31" t="s">
        <v>181</v>
      </c>
      <c r="D42" s="31">
        <v>8.9322191837639107</v>
      </c>
      <c r="E42">
        <v>0.47482764930811999</v>
      </c>
      <c r="F42" s="31">
        <v>7.2688871628514997</v>
      </c>
      <c r="G42" s="31">
        <v>0.55415862675596395</v>
      </c>
      <c r="H42" s="31">
        <v>6.4615359960747503</v>
      </c>
      <c r="I42" s="31">
        <v>0.49481200967858502</v>
      </c>
      <c r="J42">
        <f>SUM(L42:Q42)</f>
        <v>0.82590723463042071</v>
      </c>
      <c r="K42">
        <f>0.5*SIN(RADIANS(60))*((L42*M42)+(M42*N42)+(N42*O42)+(O42*P42)+(P42*Q42)+(Q42*L42))</f>
        <v>5.2454764196988093E-2</v>
      </c>
      <c r="L42">
        <f>(MAX(D:D)-D42)/(MAX(D:D)-MIN(D:D))</f>
        <v>0.21675135208139001</v>
      </c>
      <c r="M42">
        <f>(MAX(E:E)-E42)/(MAX(E:E)-MIN(E:E))</f>
        <v>0.2064655774644695</v>
      </c>
      <c r="N42">
        <f>(MAX(F:F)-F42)/(MAX(F:F)-MIN(F:F))</f>
        <v>0.17313772793400226</v>
      </c>
      <c r="O42">
        <f>(MAX(G:G)-G42)/(MAX(G:G)-MIN(G:G))</f>
        <v>0.15832146813868958</v>
      </c>
      <c r="P42">
        <f>(MAX(H:H)-H42)/(MAX(H:H)-MIN(H:H))</f>
        <v>5.3849652998399208E-2</v>
      </c>
      <c r="Q42">
        <f>(MAX(I:I)-I42)/(MAX(I:I)-MIN(I:I))</f>
        <v>1.7381456013470117E-2</v>
      </c>
    </row>
    <row r="43" spans="1:17" x14ac:dyDescent="0.6">
      <c r="A43">
        <v>5</v>
      </c>
      <c r="B43" s="31" t="s">
        <v>572</v>
      </c>
      <c r="C43" s="31" t="s">
        <v>7</v>
      </c>
      <c r="D43" s="31">
        <v>8.9856499763453996</v>
      </c>
      <c r="E43">
        <v>0.48007464269826</v>
      </c>
      <c r="F43" s="31">
        <v>7.3160813955626303</v>
      </c>
      <c r="G43" s="31">
        <v>0.55773751907949198</v>
      </c>
      <c r="H43" s="31">
        <v>6.3976430424011097</v>
      </c>
      <c r="I43" s="31">
        <v>0.48875827956503198</v>
      </c>
      <c r="J43">
        <f>SUM(L43:Q43)</f>
        <v>0.803355187285546</v>
      </c>
      <c r="K43">
        <f>0.5*SIN(RADIANS(60))*((L43*M43)+(M43*N43)+(N43*O43)+(O43*P43)+(P43*Q43)+(Q43*L43))</f>
        <v>4.7990717417259042E-2</v>
      </c>
      <c r="L43">
        <f>(MAX(D:D)-D43)/(MAX(D:D)-MIN(D:D))</f>
        <v>0.19400700244539409</v>
      </c>
      <c r="M43">
        <f>(MAX(E:E)-E43)/(MAX(E:E)-MIN(E:E))</f>
        <v>0.18597786660967516</v>
      </c>
      <c r="N43">
        <f>(MAX(F:F)-F43)/(MAX(F:F)-MIN(F:F))</f>
        <v>0.15235050839831094</v>
      </c>
      <c r="O43">
        <f>(MAX(G:G)-G43)/(MAX(G:G)-MIN(G:G))</f>
        <v>0.1393085703595017</v>
      </c>
      <c r="P43">
        <f>(MAX(H:H)-H43)/(MAX(H:H)-MIN(H:H))</f>
        <v>8.1452810708264392E-2</v>
      </c>
      <c r="Q43">
        <f>(MAX(I:I)-I43)/(MAX(I:I)-MIN(I:I))</f>
        <v>5.0258428764399753E-2</v>
      </c>
    </row>
    <row r="44" spans="1:17" x14ac:dyDescent="0.6">
      <c r="A44">
        <v>5</v>
      </c>
      <c r="B44" s="31" t="s">
        <v>572</v>
      </c>
      <c r="C44" s="31" t="s">
        <v>174</v>
      </c>
      <c r="D44" s="31">
        <v>9.0688263904153992</v>
      </c>
      <c r="E44">
        <v>0.48849071784115999</v>
      </c>
      <c r="F44" s="31">
        <v>7.3538304198836597</v>
      </c>
      <c r="G44" s="31">
        <v>0.56084292460430596</v>
      </c>
      <c r="H44" s="31">
        <v>6.3660235278992996</v>
      </c>
      <c r="I44" s="31">
        <v>0.49144155977290199</v>
      </c>
      <c r="J44">
        <f>SUM(L44:Q44)</f>
        <v>0.70105020271078111</v>
      </c>
      <c r="K44">
        <f>0.5*SIN(RADIANS(60))*((L44*M44)+(M44*N44)+(N44*O44)+(O44*P44)+(P44*Q44)+(Q44*L44))</f>
        <v>3.5710136109639044E-2</v>
      </c>
      <c r="L44">
        <f>(MAX(D:D)-D44)/(MAX(D:D)-MIN(D:D))</f>
        <v>0.15860057570764341</v>
      </c>
      <c r="M44">
        <f>(MAX(E:E)-E44)/(MAX(E:E)-MIN(E:E))</f>
        <v>0.15311597766886292</v>
      </c>
      <c r="N44">
        <f>(MAX(F:F)-F44)/(MAX(F:F)-MIN(F:F))</f>
        <v>0.13572353491571582</v>
      </c>
      <c r="O44">
        <f>(MAX(G:G)-G44)/(MAX(G:G)-MIN(G:G))</f>
        <v>0.12281107547314825</v>
      </c>
      <c r="P44">
        <f>(MAX(H:H)-H44)/(MAX(H:H)-MIN(H:H))</f>
        <v>9.5113134661372098E-2</v>
      </c>
      <c r="Q44">
        <f>(MAX(I:I)-I44)/(MAX(I:I)-MIN(I:I))</f>
        <v>3.5685904284038603E-2</v>
      </c>
    </row>
    <row r="45" spans="1:17" x14ac:dyDescent="0.6">
      <c r="A45">
        <v>5</v>
      </c>
      <c r="B45" s="31" t="s">
        <v>571</v>
      </c>
      <c r="C45" s="31" t="s">
        <v>8</v>
      </c>
      <c r="D45" s="31">
        <v>9.2713520157289597</v>
      </c>
      <c r="E45">
        <v>0.51012569421864995</v>
      </c>
      <c r="F45" s="31">
        <v>7.5416502332434998</v>
      </c>
      <c r="G45" s="31">
        <v>0.57494394641157098</v>
      </c>
      <c r="H45" s="31">
        <v>6.1803283691406197</v>
      </c>
      <c r="I45" s="31">
        <v>0.462280369344166</v>
      </c>
      <c r="J45">
        <f>SUM(L45:Q45)</f>
        <v>0.61131786495813811</v>
      </c>
      <c r="K45">
        <f>0.5*SIN(RADIANS(60))*((L45*M45)+(M45*N45)+(N45*O45)+(O45*P45)+(P45*Q45)+(Q45*L45))</f>
        <v>2.9278759150453918E-2</v>
      </c>
      <c r="L45">
        <f>(MAX(D:D)-D45)/(MAX(D:D)-MIN(D:D))</f>
        <v>7.2389733423110642E-2</v>
      </c>
      <c r="M45">
        <f>(MAX(E:E)-E45)/(MAX(E:E)-MIN(E:E))</f>
        <v>6.8638810000753434E-2</v>
      </c>
      <c r="N45">
        <f>(MAX(F:F)-F45)/(MAX(F:F)-MIN(F:F))</f>
        <v>5.2996229709570013E-2</v>
      </c>
      <c r="O45">
        <f>(MAX(G:G)-G45)/(MAX(G:G)-MIN(G:G))</f>
        <v>4.7899269817219099E-2</v>
      </c>
      <c r="P45">
        <f>(MAX(H:H)-H45)/(MAX(H:H)-MIN(H:H))</f>
        <v>0.17533751713954454</v>
      </c>
      <c r="Q45">
        <f>(MAX(I:I)-I45)/(MAX(I:I)-MIN(I:I))</f>
        <v>0.19405630486794037</v>
      </c>
    </row>
    <row r="46" spans="1:17" x14ac:dyDescent="0.6">
      <c r="A46">
        <v>5</v>
      </c>
      <c r="B46" s="31" t="s">
        <v>571</v>
      </c>
      <c r="C46" s="31" t="s">
        <v>174</v>
      </c>
      <c r="D46" s="31">
        <v>9.12389507186173</v>
      </c>
      <c r="E46">
        <v>0.49170306492001997</v>
      </c>
      <c r="F46" s="31">
        <v>7.4381012935357003</v>
      </c>
      <c r="G46" s="31">
        <v>0.56680425681726498</v>
      </c>
      <c r="H46" s="31">
        <v>6.4712829589843697</v>
      </c>
      <c r="I46" s="31">
        <v>0.490000581573098</v>
      </c>
      <c r="J46">
        <f>SUM(L46:Q46)</f>
        <v>0.55862922903710854</v>
      </c>
      <c r="K46">
        <f>0.5*SIN(RADIANS(60))*((L46*M46)+(M46*N46)+(N46*O46)+(O46*P46)+(P46*Q46)+(Q46*L46))</f>
        <v>2.3561519757288325E-2</v>
      </c>
      <c r="L46">
        <f>(MAX(D:D)-D46)/(MAX(D:D)-MIN(D:D))</f>
        <v>0.13515901169007058</v>
      </c>
      <c r="M46">
        <f>(MAX(E:E)-E46)/(MAX(E:E)-MIN(E:E))</f>
        <v>0.1405728633130108</v>
      </c>
      <c r="N46">
        <f>(MAX(F:F)-F46)/(MAX(F:F)-MIN(F:F))</f>
        <v>9.8605500561990037E-2</v>
      </c>
      <c r="O46">
        <f>(MAX(G:G)-G46)/(MAX(G:G)-MIN(G:G))</f>
        <v>9.1141444272554273E-2</v>
      </c>
      <c r="P46">
        <f>(MAX(H:H)-H46)/(MAX(H:H)-MIN(H:H))</f>
        <v>4.9638751186585998E-2</v>
      </c>
      <c r="Q46">
        <f>(MAX(I:I)-I46)/(MAX(I:I)-MIN(I:I))</f>
        <v>4.3511658012896894E-2</v>
      </c>
    </row>
    <row r="47" spans="1:17" x14ac:dyDescent="0.6">
      <c r="A47">
        <v>5</v>
      </c>
      <c r="B47" s="31" t="s">
        <v>571</v>
      </c>
      <c r="C47" s="31" t="s">
        <v>167</v>
      </c>
      <c r="D47" s="31">
        <v>9.1749764951611592</v>
      </c>
      <c r="E47">
        <v>0.49801838314801999</v>
      </c>
      <c r="F47" s="31">
        <v>7.45860341899688</v>
      </c>
      <c r="G47" s="31">
        <v>0.56835594581623305</v>
      </c>
      <c r="H47" s="31">
        <v>6.586181640625</v>
      </c>
      <c r="I47" s="31">
        <v>0.497772070459366</v>
      </c>
      <c r="J47">
        <f>SUM(L47:Q47)</f>
        <v>0.40310741912110565</v>
      </c>
      <c r="K47">
        <f>0.5*SIN(RADIANS(60))*((L47*M47)+(M47*N47)+(N47*O47)+(O47*P47)+(P47*Q47)+(Q47*L47))</f>
        <v>1.3467996706386457E-2</v>
      </c>
      <c r="L47">
        <f>(MAX(D:D)-D47)/(MAX(D:D)-MIN(D:D))</f>
        <v>0.11341473848553951</v>
      </c>
      <c r="M47">
        <f>(MAX(E:E)-E47)/(MAX(E:E)-MIN(E:E))</f>
        <v>0.11591371011979054</v>
      </c>
      <c r="N47">
        <f>(MAX(F:F)-F47)/(MAX(F:F)-MIN(F:F))</f>
        <v>8.9575113617923544E-2</v>
      </c>
      <c r="O47">
        <f>(MAX(G:G)-G47)/(MAX(G:G)-MIN(G:G))</f>
        <v>8.289808245679911E-2</v>
      </c>
      <c r="P47">
        <f>(MAX(H:H)-H47)/(MAX(H:H)-MIN(H:H))</f>
        <v>0</v>
      </c>
      <c r="Q47">
        <f>(MAX(I:I)-I47)/(MAX(I:I)-MIN(I:I))</f>
        <v>1.30577444105288E-3</v>
      </c>
    </row>
    <row r="48" spans="1:17" x14ac:dyDescent="0.6">
      <c r="A48">
        <v>5</v>
      </c>
      <c r="B48" s="31" t="s">
        <v>571</v>
      </c>
      <c r="C48" s="31" t="s">
        <v>171</v>
      </c>
      <c r="D48" s="31">
        <v>9.2030129200412496</v>
      </c>
      <c r="E48">
        <v>0.50163835885953001</v>
      </c>
      <c r="F48" s="31">
        <v>7.4928152047625298</v>
      </c>
      <c r="G48" s="31">
        <v>0.57121855315463599</v>
      </c>
      <c r="H48" s="31">
        <v>6.4715270996093697</v>
      </c>
      <c r="I48" s="31">
        <v>0.49801250640568001</v>
      </c>
      <c r="J48">
        <f>SUM(L48:Q48)</f>
        <v>0.39498906363447051</v>
      </c>
      <c r="K48">
        <f>0.5*SIN(RADIANS(60))*((L48*M48)+(M48*N48)+(N48*O48)+(O48*P48)+(P48*Q48)+(Q48*L48))</f>
        <v>1.1391695762597485E-2</v>
      </c>
      <c r="L48">
        <f>(MAX(D:D)-D48)/(MAX(D:D)-MIN(D:D))</f>
        <v>0.10148022995202712</v>
      </c>
      <c r="M48">
        <f>(MAX(E:E)-E48)/(MAX(E:E)-MIN(E:E))</f>
        <v>0.10177894566246072</v>
      </c>
      <c r="N48">
        <f>(MAX(F:F)-F48)/(MAX(F:F)-MIN(F:F))</f>
        <v>7.450615581175335E-2</v>
      </c>
      <c r="O48">
        <f>(MAX(G:G)-G48)/(MAX(G:G)-MIN(G:G))</f>
        <v>6.7690455127750265E-2</v>
      </c>
      <c r="P48">
        <f>(MAX(H:H)-H48)/(MAX(H:H)-MIN(H:H))</f>
        <v>4.9533277080479048E-2</v>
      </c>
      <c r="Q48">
        <f>(MAX(I:I)-I48)/(MAX(I:I)-MIN(I:I))</f>
        <v>0</v>
      </c>
    </row>
    <row r="49" spans="1:17" x14ac:dyDescent="0.6">
      <c r="A49">
        <v>5</v>
      </c>
      <c r="B49" s="31" t="s">
        <v>571</v>
      </c>
      <c r="C49" s="31" t="s">
        <v>7</v>
      </c>
      <c r="D49" s="31">
        <v>9.3177499796240806</v>
      </c>
      <c r="E49">
        <v>0.51532829699582006</v>
      </c>
      <c r="F49" s="31">
        <v>7.5489280210154996</v>
      </c>
      <c r="G49" s="31">
        <v>0.57548939709362901</v>
      </c>
      <c r="H49" s="31">
        <v>6.52392578125</v>
      </c>
      <c r="I49" s="31">
        <v>0.49754828223562497</v>
      </c>
      <c r="J49">
        <f>SUM(L49:Q49)</f>
        <v>0.22517277888125198</v>
      </c>
      <c r="K49">
        <f>0.5*SIN(RADIANS(60))*((L49*M49)+(M49*N49)+(N49*O49)+(O49*P49)+(P49*Q49)+(Q49*L49))</f>
        <v>3.7245120938765052E-3</v>
      </c>
      <c r="L49">
        <f>(MAX(D:D)-D49)/(MAX(D:D)-MIN(D:D))</f>
        <v>5.2639109068821188E-2</v>
      </c>
      <c r="M49">
        <f>(MAX(E:E)-E49)/(MAX(E:E)-MIN(E:E))</f>
        <v>4.8324429275343965E-2</v>
      </c>
      <c r="N49">
        <f>(MAX(F:F)-F49)/(MAX(F:F)-MIN(F:F))</f>
        <v>4.9790647936968156E-2</v>
      </c>
      <c r="O49">
        <f>(MAX(G:G)-G49)/(MAX(G:G)-MIN(G:G))</f>
        <v>4.5001558144425802E-2</v>
      </c>
      <c r="P49">
        <f>(MAX(H:H)-H49)/(MAX(H:H)-MIN(H:H))</f>
        <v>2.6895897057272439E-2</v>
      </c>
      <c r="Q49">
        <f>(MAX(I:I)-I49)/(MAX(I:I)-MIN(I:I))</f>
        <v>2.5211373984204166E-3</v>
      </c>
    </row>
    <row r="50" spans="1:17" x14ac:dyDescent="0.6">
      <c r="A50">
        <v>5</v>
      </c>
      <c r="B50" s="31" t="s">
        <v>571</v>
      </c>
      <c r="C50" t="s">
        <v>177</v>
      </c>
      <c r="D50" s="31">
        <v>9.4414092340474003</v>
      </c>
      <c r="E50">
        <v>0.52770439712663009</v>
      </c>
      <c r="F50" s="31">
        <v>7.66197014391898</v>
      </c>
      <c r="G50" s="31">
        <v>0.58396026423131397</v>
      </c>
      <c r="H50" s="31">
        <v>6.5050048828125</v>
      </c>
      <c r="I50" s="31">
        <v>0.49328586004803199</v>
      </c>
      <c r="J50">
        <f>SUM(L50:Q50)</f>
        <v>6.0739904308490231E-2</v>
      </c>
      <c r="K50">
        <f>0.5*SIN(RADIANS(60))*((L50*M50)+(M50*N50)+(N50*O50)+(O50*P50)+(P50*Q50)+(Q50*L50))</f>
        <v>3.8981631839020517E-4</v>
      </c>
      <c r="L50">
        <f>(MAX(D:D)-D50)/(MAX(D:D)-MIN(D:D))</f>
        <v>0</v>
      </c>
      <c r="M50">
        <f>(MAX(E:E)-E50)/(MAX(E:E)-MIN(E:E))</f>
        <v>0</v>
      </c>
      <c r="N50">
        <f>(MAX(F:F)-F50)/(MAX(F:F)-MIN(F:F))</f>
        <v>0</v>
      </c>
      <c r="O50">
        <f>(MAX(G:G)-G50)/(MAX(G:G)-MIN(G:G))</f>
        <v>0</v>
      </c>
      <c r="P50">
        <f>(MAX(H:H)-H50)/(MAX(H:H)-MIN(H:H))</f>
        <v>3.5070140280561123E-2</v>
      </c>
      <c r="Q50">
        <f>(MAX(I:I)-I50)/(MAX(I:I)-MIN(I:I))</f>
        <v>2.5669764027929105E-2</v>
      </c>
    </row>
  </sheetData>
  <autoFilter ref="A1:P33" xr:uid="{7428AB68-54D6-4E57-B51C-3C52895577F3}">
    <sortState xmlns:xlrd2="http://schemas.microsoft.com/office/spreadsheetml/2017/richdata2" ref="A2:P50">
      <sortCondition descending="1" ref="K1:K33"/>
    </sortState>
  </autoFilter>
  <phoneticPr fontId="1" type="noConversion"/>
  <conditionalFormatting sqref="K1">
    <cfRule type="top10" dxfId="159" priority="78" percent="1" bottom="1" rank="10"/>
  </conditionalFormatting>
  <conditionalFormatting sqref="K1">
    <cfRule type="top10" dxfId="158" priority="80" percent="1" bottom="1" rank="5"/>
  </conditionalFormatting>
  <conditionalFormatting sqref="D1:D1048576">
    <cfRule type="top10" dxfId="157" priority="6" percent="1" bottom="1" rank="5"/>
  </conditionalFormatting>
  <conditionalFormatting sqref="E1:E1048576">
    <cfRule type="top10" dxfId="156" priority="5" percent="1" bottom="1" rank="5"/>
  </conditionalFormatting>
  <conditionalFormatting sqref="F1:F1048576">
    <cfRule type="top10" dxfId="155" priority="4" percent="1" bottom="1" rank="5"/>
  </conditionalFormatting>
  <conditionalFormatting sqref="G1:G1048576">
    <cfRule type="top10" dxfId="154" priority="3" percent="1" bottom="1" rank="5"/>
  </conditionalFormatting>
  <conditionalFormatting sqref="H1:H1048576">
    <cfRule type="top10" dxfId="153" priority="2" percent="1" bottom="1" rank="5"/>
  </conditionalFormatting>
  <conditionalFormatting sqref="I1:I1048576">
    <cfRule type="top10" dxfId="152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B7CDA-6F63-420A-96D0-8FA1A9AAD528}">
  <dimension ref="A1:Q50"/>
  <sheetViews>
    <sheetView workbookViewId="0">
      <selection activeCell="D4" sqref="D4:E4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23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10</v>
      </c>
      <c r="B2" t="s">
        <v>6</v>
      </c>
      <c r="C2" t="s">
        <v>177</v>
      </c>
      <c r="D2">
        <v>7.1317229129999999</v>
      </c>
      <c r="E2">
        <v>0.27480635199999998</v>
      </c>
      <c r="F2">
        <v>5.4402314580000004</v>
      </c>
      <c r="G2">
        <v>0.39915139199999999</v>
      </c>
      <c r="H2">
        <v>4.3818969729999999</v>
      </c>
      <c r="I2">
        <v>0.32080249</v>
      </c>
      <c r="J2">
        <f>SUM(L2:Q2)</f>
        <v>5.876047151851953</v>
      </c>
      <c r="K2">
        <f>0.5*SIN(RADIANS(60))*((L2*M2)+(M2*N2)+(N2*O2)+(O2*P2)+(P2*Q2)+(Q2*L2))</f>
        <v>2.4919562295208491</v>
      </c>
      <c r="L2">
        <f>(MAX(D:D)-D2)/(MAX(D:D)-MIN(D:D))</f>
        <v>0.95719466282570909</v>
      </c>
      <c r="M2">
        <f>(MAX(E:E)-E2)/(MAX(E:E)-MIN(E:E))</f>
        <v>0.96546825276070514</v>
      </c>
      <c r="N2">
        <f>(MAX(F:F)-F2)/(MAX(F:F)-MIN(F:F))</f>
        <v>0.97652234732931043</v>
      </c>
      <c r="O2">
        <f>(MAX(G:G)-G2)/(MAX(G:G)-MIN(G:G))</f>
        <v>0.97686188893622827</v>
      </c>
      <c r="P2">
        <f>(MAX(H:H)-H2)/(MAX(H:H)-MIN(H:H))</f>
        <v>1</v>
      </c>
      <c r="Q2">
        <f>(MAX(I:I)-I2)/(MAX(I:I)-MIN(I:I))</f>
        <v>1</v>
      </c>
    </row>
    <row r="3" spans="1:17" x14ac:dyDescent="0.6">
      <c r="A3">
        <v>10</v>
      </c>
      <c r="B3" t="s">
        <v>99</v>
      </c>
      <c r="C3" t="s">
        <v>184</v>
      </c>
      <c r="D3">
        <v>7.0933020459999998</v>
      </c>
      <c r="E3">
        <v>0.27127378499999999</v>
      </c>
      <c r="F3">
        <v>5.4057876450000002</v>
      </c>
      <c r="G3">
        <v>0.39638479300000001</v>
      </c>
      <c r="H3">
        <v>4.5213012700000004</v>
      </c>
      <c r="I3">
        <v>0.32774827400000001</v>
      </c>
      <c r="J3">
        <f>SUM(L3:Q3)</f>
        <v>5.8438760637502289</v>
      </c>
      <c r="K3">
        <f>0.5*SIN(RADIANS(60))*((L3*M3)+(M3*N3)+(N3*O3)+(O3*P3)+(P3*Q3)+(Q3*L3))</f>
        <v>2.4647121710164392</v>
      </c>
      <c r="L3">
        <f>(MAX(D:D)-D3)/(MAX(D:D)-MIN(D:D))</f>
        <v>0.9741551971158634</v>
      </c>
      <c r="M3">
        <f>(MAX(E:E)-E3)/(MAX(E:E)-MIN(E:E))</f>
        <v>0.97987067873801226</v>
      </c>
      <c r="N3">
        <f>(MAX(F:F)-F3)/(MAX(F:F)-MIN(F:F))</f>
        <v>0.99320308709459393</v>
      </c>
      <c r="O3">
        <f>(MAX(G:G)-G3)/(MAX(G:G)-MIN(G:G))</f>
        <v>0.99284172349364763</v>
      </c>
      <c r="P3">
        <f>(MAX(H:H)-H3)/(MAX(H:H)-MIN(H:H))</f>
        <v>0.94034372871986438</v>
      </c>
      <c r="Q3">
        <f>(MAX(I:I)-I3)/(MAX(I:I)-MIN(I:I))</f>
        <v>0.96346164858824745</v>
      </c>
    </row>
    <row r="4" spans="1:17" x14ac:dyDescent="0.6">
      <c r="A4">
        <v>10</v>
      </c>
      <c r="B4" t="s">
        <v>99</v>
      </c>
      <c r="C4" t="s">
        <v>177</v>
      </c>
      <c r="D4">
        <v>7.0347555570000004</v>
      </c>
      <c r="E4">
        <v>0.26633654899999998</v>
      </c>
      <c r="F4">
        <v>5.4116259549999999</v>
      </c>
      <c r="G4">
        <v>0.39669362699999999</v>
      </c>
      <c r="H4">
        <v>4.5540771480000002</v>
      </c>
      <c r="I4">
        <v>0.34145180400000003</v>
      </c>
      <c r="J4">
        <f>SUM(L4:Q4)</f>
        <v>5.7991253996067176</v>
      </c>
      <c r="K4">
        <f>0.5*SIN(RADIANS(60))*((L4*M4)+(M4*N4)+(N4*O4)+(O4*P4)+(P4*Q4)+(Q4*L4))</f>
        <v>2.427902019531035</v>
      </c>
      <c r="L4">
        <f>(MAX(D:D)-D4)/(MAX(D:D)-MIN(D:D))</f>
        <v>1</v>
      </c>
      <c r="M4">
        <f>(MAX(E:E)-E4)/(MAX(E:E)-MIN(E:E))</f>
        <v>1</v>
      </c>
      <c r="N4">
        <f>(MAX(F:F)-F4)/(MAX(F:F)-MIN(F:F))</f>
        <v>0.99037566117113285</v>
      </c>
      <c r="O4">
        <f>(MAX(G:G)-G4)/(MAX(G:G)-MIN(G:G))</f>
        <v>0.99105790291621465</v>
      </c>
      <c r="P4">
        <f>(MAX(H:H)-H4)/(MAX(H:H)-MIN(H:H))</f>
        <v>0.92631771437532373</v>
      </c>
      <c r="Q4">
        <f>(MAX(I:I)-I4)/(MAX(I:I)-MIN(I:I))</f>
        <v>0.89137412114404624</v>
      </c>
    </row>
    <row r="5" spans="1:17" x14ac:dyDescent="0.6">
      <c r="A5">
        <v>10</v>
      </c>
      <c r="B5" t="s">
        <v>92</v>
      </c>
      <c r="C5" t="s">
        <v>171</v>
      </c>
      <c r="D5">
        <v>7.0525043959999998</v>
      </c>
      <c r="E5">
        <v>0.26778474400000002</v>
      </c>
      <c r="F5">
        <v>5.3917527999999999</v>
      </c>
      <c r="G5">
        <v>0.395145476</v>
      </c>
      <c r="H5">
        <v>4.6395263670000002</v>
      </c>
      <c r="I5">
        <v>0.33735504100000002</v>
      </c>
      <c r="J5">
        <f>SUM(L5:Q5)</f>
        <v>5.7889365856405695</v>
      </c>
      <c r="K5">
        <f>0.5*SIN(RADIANS(60))*((L5*M5)+(M5*N5)+(N5*O5)+(O5*P5)+(P5*Q5)+(Q5*L5))</f>
        <v>2.419762272010344</v>
      </c>
      <c r="L5">
        <f>(MAX(D:D)-D5)/(MAX(D:D)-MIN(D:D))</f>
        <v>0.99216494014906231</v>
      </c>
      <c r="M5">
        <f>(MAX(E:E)-E5)/(MAX(E:E)-MIN(E:E))</f>
        <v>0.9940956473611946</v>
      </c>
      <c r="N5">
        <f>(MAX(F:F)-F5)/(MAX(F:F)-MIN(F:F))</f>
        <v>1</v>
      </c>
      <c r="O5">
        <f>(MAX(G:G)-G5)/(MAX(G:G)-MIN(G:G))</f>
        <v>1</v>
      </c>
      <c r="P5">
        <f>(MAX(H:H)-H5)/(MAX(H:H)-MIN(H:H))</f>
        <v>0.88975082297354935</v>
      </c>
      <c r="Q5">
        <f>(MAX(I:I)-I5)/(MAX(I:I)-MIN(I:I))</f>
        <v>0.91292517515676319</v>
      </c>
    </row>
    <row r="6" spans="1:17" x14ac:dyDescent="0.6">
      <c r="A6">
        <v>10</v>
      </c>
      <c r="B6" t="s">
        <v>6</v>
      </c>
      <c r="C6" t="s">
        <v>167</v>
      </c>
      <c r="D6">
        <v>7.0570886359999996</v>
      </c>
      <c r="E6">
        <v>0.26787085999999999</v>
      </c>
      <c r="F6">
        <v>5.4104095729999999</v>
      </c>
      <c r="G6">
        <v>0.39643145400000002</v>
      </c>
      <c r="H6">
        <v>4.6129760739999996</v>
      </c>
      <c r="I6">
        <v>0.33730529599999998</v>
      </c>
      <c r="J6">
        <f>SUM(L6:Q6)</f>
        <v>5.7817223075736539</v>
      </c>
      <c r="K6">
        <f>0.5*SIN(RADIANS(60))*((L6*M6)+(M6*N6)+(N6*O6)+(O6*P6)+(P6*Q6)+(Q6*L6))</f>
        <v>2.4135283707066288</v>
      </c>
      <c r="L6">
        <f>(MAX(D:D)-D6)/(MAX(D:D)-MIN(D:D))</f>
        <v>0.99014127005035546</v>
      </c>
      <c r="M6">
        <f>(MAX(E:E)-E6)/(MAX(E:E)-MIN(E:E))</f>
        <v>0.99374454876477414</v>
      </c>
      <c r="N6">
        <f>(MAX(F:F)-F6)/(MAX(F:F)-MIN(F:F))</f>
        <v>0.99096474088763153</v>
      </c>
      <c r="O6">
        <f>(MAX(G:G)-G6)/(MAX(G:G)-MIN(G:G))</f>
        <v>0.99257221025364295</v>
      </c>
      <c r="P6">
        <f>(MAX(H:H)-H6)/(MAX(H:H)-MIN(H:H))</f>
        <v>0.90111267849637522</v>
      </c>
      <c r="Q6">
        <f>(MAX(I:I)-I6)/(MAX(I:I)-MIN(I:I))</f>
        <v>0.91318685912087427</v>
      </c>
    </row>
    <row r="7" spans="1:17" x14ac:dyDescent="0.6">
      <c r="A7">
        <v>10</v>
      </c>
      <c r="B7" t="s">
        <v>99</v>
      </c>
      <c r="C7" t="s">
        <v>171</v>
      </c>
      <c r="D7">
        <v>7.1364558499999999</v>
      </c>
      <c r="E7">
        <v>0.274404969</v>
      </c>
      <c r="F7">
        <v>5.477234427</v>
      </c>
      <c r="G7">
        <v>0.40156658099999998</v>
      </c>
      <c r="H7">
        <v>4.4888916019999998</v>
      </c>
      <c r="I7">
        <v>0.32502688800000001</v>
      </c>
      <c r="J7">
        <f>SUM(L7:Q7)</f>
        <v>5.7757146406796149</v>
      </c>
      <c r="K7">
        <f>0.5*SIN(RADIANS(60))*((L7*M7)+(M7*N7)+(N7*O7)+(O7*P7)+(P7*Q7)+(Q7*L7))</f>
        <v>2.4073413003622282</v>
      </c>
      <c r="L7">
        <f>(MAX(D:D)-D7)/(MAX(D:D)-MIN(D:D))</f>
        <v>0.95510535181974865</v>
      </c>
      <c r="M7">
        <f>(MAX(E:E)-E7)/(MAX(E:E)-MIN(E:E))</f>
        <v>0.96710470833141315</v>
      </c>
      <c r="N7">
        <f>(MAX(F:F)-F7)/(MAX(F:F)-MIN(F:F))</f>
        <v>0.95860223794909039</v>
      </c>
      <c r="O7">
        <f>(MAX(G:G)-G7)/(MAX(G:G)-MIN(G:G))</f>
        <v>0.96291179329717846</v>
      </c>
      <c r="P7">
        <f>(MAX(H:H)-H7)/(MAX(H:H)-MIN(H:H))</f>
        <v>0.95421302821719023</v>
      </c>
      <c r="Q7">
        <f>(MAX(I:I)-I7)/(MAX(I:I)-MIN(I:I))</f>
        <v>0.97777752106499349</v>
      </c>
    </row>
    <row r="8" spans="1:17" x14ac:dyDescent="0.6">
      <c r="A8">
        <v>10</v>
      </c>
      <c r="B8" t="s">
        <v>6</v>
      </c>
      <c r="C8" t="s">
        <v>171</v>
      </c>
      <c r="D8">
        <v>7.118390496</v>
      </c>
      <c r="E8">
        <v>0.27302164499999998</v>
      </c>
      <c r="F8">
        <v>5.4122206430000004</v>
      </c>
      <c r="G8">
        <v>0.39672678099999997</v>
      </c>
      <c r="H8">
        <v>4.5758056639999998</v>
      </c>
      <c r="I8">
        <v>0.333067748</v>
      </c>
      <c r="J8">
        <f>SUM(L8:Q8)</f>
        <v>5.7692765698588699</v>
      </c>
      <c r="K8">
        <f>0.5*SIN(RADIANS(60))*((L8*M8)+(M8*N8)+(N8*O8)+(O8*P8)+(P8*Q8)+(Q8*L8))</f>
        <v>2.402533816578011</v>
      </c>
      <c r="L8">
        <f>(MAX(D:D)-D8)/(MAX(D:D)-MIN(D:D))</f>
        <v>0.96308013427275196</v>
      </c>
      <c r="M8">
        <f>(MAX(E:E)-E8)/(MAX(E:E)-MIN(E:E))</f>
        <v>0.9727445791428182</v>
      </c>
      <c r="N8">
        <f>(MAX(F:F)-F8)/(MAX(F:F)-MIN(F:F))</f>
        <v>0.990087660659414</v>
      </c>
      <c r="O8">
        <f>(MAX(G:G)-G8)/(MAX(G:G)-MIN(G:G))</f>
        <v>0.99086640590673969</v>
      </c>
      <c r="P8">
        <f>(MAX(H:H)-H8)/(MAX(H:H)-MIN(H:H))</f>
        <v>0.9170192761427437</v>
      </c>
      <c r="Q8">
        <f>(MAX(I:I)-I8)/(MAX(I:I)-MIN(I:I))</f>
        <v>0.93547851373440227</v>
      </c>
    </row>
    <row r="9" spans="1:17" x14ac:dyDescent="0.6">
      <c r="A9">
        <v>10</v>
      </c>
      <c r="B9" t="s">
        <v>92</v>
      </c>
      <c r="C9" t="s">
        <v>177</v>
      </c>
      <c r="D9" s="13">
        <v>7.1431431080000003</v>
      </c>
      <c r="E9">
        <v>0.27378740699999998</v>
      </c>
      <c r="F9">
        <v>5.5197159759999996</v>
      </c>
      <c r="G9">
        <v>0.40412142600000001</v>
      </c>
      <c r="H9">
        <v>4.4171752929999997</v>
      </c>
      <c r="I9">
        <v>0.32674482700000002</v>
      </c>
      <c r="J9">
        <f>SUM(L9:Q9)</f>
        <v>5.7616032085799862</v>
      </c>
      <c r="K9">
        <f>0.5*SIN(RADIANS(60))*((L9*M9)+(M9*N9)+(N9*O9)+(O9*P9)+(P9*Q9)+(Q9*L9))</f>
        <v>2.3956451922591677</v>
      </c>
      <c r="L9">
        <f>(MAX(D:D)-D9)/(MAX(D:D)-MIN(D:D))</f>
        <v>0.95215332399028518</v>
      </c>
      <c r="M9">
        <f>(MAX(E:E)-E9)/(MAX(E:E)-MIN(E:E))</f>
        <v>0.96962253488400163</v>
      </c>
      <c r="N9">
        <f>(MAX(F:F)-F9)/(MAX(F:F)-MIN(F:F))</f>
        <v>0.93802891571861813</v>
      </c>
      <c r="O9">
        <f>(MAX(G:G)-G9)/(MAX(G:G)-MIN(G:G))</f>
        <v>0.94815504668523687</v>
      </c>
      <c r="P9">
        <f>(MAX(H:H)-H9)/(MAX(H:H)-MIN(H:H))</f>
        <v>0.98490309787059571</v>
      </c>
      <c r="Q9">
        <f>(MAX(I:I)-I9)/(MAX(I:I)-MIN(I:I))</f>
        <v>0.96874028943124924</v>
      </c>
    </row>
    <row r="10" spans="1:17" x14ac:dyDescent="0.6">
      <c r="A10">
        <v>10</v>
      </c>
      <c r="B10" t="s">
        <v>92</v>
      </c>
      <c r="C10" t="s">
        <v>184</v>
      </c>
      <c r="D10" s="13">
        <v>7.1144293689999998</v>
      </c>
      <c r="E10">
        <v>0.27191211599999998</v>
      </c>
      <c r="F10">
        <v>5.4626734910000003</v>
      </c>
      <c r="G10">
        <v>0.400141688</v>
      </c>
      <c r="H10">
        <v>4.5383300780000004</v>
      </c>
      <c r="I10">
        <v>0.33446566799999999</v>
      </c>
      <c r="J10">
        <f>SUM(L10:Q10)</f>
        <v>5.7400740121608704</v>
      </c>
      <c r="K10">
        <f>0.5*SIN(RADIANS(60))*((L10*M10)+(M10*N10)+(N10*O10)+(O10*P10)+(P10*Q10)+(Q10*L10))</f>
        <v>2.3781017866975307</v>
      </c>
      <c r="L10">
        <f>(MAX(D:D)-D10)/(MAX(D:D)-MIN(D:D))</f>
        <v>0.96482873693471582</v>
      </c>
      <c r="M10">
        <f>(MAX(E:E)-E10)/(MAX(E:E)-MIN(E:E))</f>
        <v>0.97726817608865835</v>
      </c>
      <c r="N10">
        <f>(MAX(F:F)-F10)/(MAX(F:F)-MIN(F:F))</f>
        <v>0.96565393063349036</v>
      </c>
      <c r="O10">
        <f>(MAX(G:G)-G10)/(MAX(G:G)-MIN(G:G))</f>
        <v>0.97114195401147974</v>
      </c>
      <c r="P10">
        <f>(MAX(H:H)-H10)/(MAX(H:H)-MIN(H:H))</f>
        <v>0.93305646992306168</v>
      </c>
      <c r="Q10">
        <f>(MAX(I:I)-I10)/(MAX(I:I)-MIN(I:I))</f>
        <v>0.92812474456946459</v>
      </c>
    </row>
    <row r="11" spans="1:17" x14ac:dyDescent="0.6">
      <c r="A11">
        <v>10</v>
      </c>
      <c r="B11" t="s">
        <v>92</v>
      </c>
      <c r="C11" t="s">
        <v>167</v>
      </c>
      <c r="D11">
        <v>7.0659314550000003</v>
      </c>
      <c r="E11">
        <v>0.26829408500000002</v>
      </c>
      <c r="F11">
        <v>5.430980581</v>
      </c>
      <c r="G11">
        <v>0.39783717499999999</v>
      </c>
      <c r="H11">
        <v>4.646484375</v>
      </c>
      <c r="I11">
        <v>0.34405323500000001</v>
      </c>
      <c r="J11">
        <f>SUM(L11:Q11)</f>
        <v>5.7081744650225845</v>
      </c>
      <c r="K11">
        <f>0.5*SIN(RADIANS(60))*((L11*M11)+(M11*N11)+(N11*O11)+(O11*P11)+(P11*Q11)+(Q11*L11))</f>
        <v>2.3530768587648137</v>
      </c>
      <c r="L11">
        <f>(MAX(D:D)-D11)/(MAX(D:D)-MIN(D:D))</f>
        <v>0.9862376898716172</v>
      </c>
      <c r="M11">
        <f>(MAX(E:E)-E11)/(MAX(E:E)-MIN(E:E))</f>
        <v>0.99201904243064198</v>
      </c>
      <c r="N11">
        <f>(MAX(F:F)-F11)/(MAX(F:F)-MIN(F:F))</f>
        <v>0.98100243993223013</v>
      </c>
      <c r="O11">
        <f>(MAX(G:G)-G11)/(MAX(G:G)-MIN(G:G))</f>
        <v>0.9844527867253724</v>
      </c>
      <c r="P11">
        <f>(MAX(H:H)-H11)/(MAX(H:H)-MIN(H:H))</f>
        <v>0.88677323317359258</v>
      </c>
      <c r="Q11">
        <f>(MAX(I:I)-I11)/(MAX(I:I)-MIN(I:I))</f>
        <v>0.87768927288912979</v>
      </c>
    </row>
    <row r="12" spans="1:17" x14ac:dyDescent="0.6">
      <c r="A12">
        <v>10</v>
      </c>
      <c r="B12" t="s">
        <v>9</v>
      </c>
      <c r="C12" t="s">
        <v>184</v>
      </c>
      <c r="D12">
        <v>7.2017669529999999</v>
      </c>
      <c r="E12">
        <v>0.278693409</v>
      </c>
      <c r="F12">
        <v>5.5002295569999999</v>
      </c>
      <c r="G12">
        <v>0.402959601</v>
      </c>
      <c r="H12">
        <v>4.4947509769999998</v>
      </c>
      <c r="I12">
        <v>0.32732746899999998</v>
      </c>
      <c r="J12">
        <f>SUM(L12:Q12)</f>
        <v>5.6956075031715576</v>
      </c>
      <c r="K12">
        <f>0.5*SIN(RADIANS(60))*((L12*M12)+(M12*N12)+(N12*O12)+(O12*P12)+(P12*Q12)+(Q12*L12))</f>
        <v>2.3410030733843135</v>
      </c>
      <c r="L12">
        <f>(MAX(D:D)-D12)/(MAX(D:D)-MIN(D:D))</f>
        <v>0.9262743730196269</v>
      </c>
      <c r="M12">
        <f>(MAX(E:E)-E12)/(MAX(E:E)-MIN(E:E))</f>
        <v>0.94962055596908757</v>
      </c>
      <c r="N12">
        <f>(MAX(F:F)-F12)/(MAX(F:F)-MIN(F:F))</f>
        <v>0.94746596278121453</v>
      </c>
      <c r="O12">
        <f>(MAX(G:G)-G12)/(MAX(G:G)-MIN(G:G))</f>
        <v>0.95486573055545954</v>
      </c>
      <c r="P12">
        <f>(MAX(H:H)-H12)/(MAX(H:H)-MIN(H:H))</f>
        <v>0.95170558424269036</v>
      </c>
      <c r="Q12">
        <f>(MAX(I:I)-I12)/(MAX(I:I)-MIN(I:I))</f>
        <v>0.96567529660347851</v>
      </c>
    </row>
    <row r="13" spans="1:17" x14ac:dyDescent="0.6">
      <c r="A13">
        <v>10</v>
      </c>
      <c r="B13" t="s">
        <v>6</v>
      </c>
      <c r="C13" t="s">
        <v>184</v>
      </c>
      <c r="D13" s="13">
        <v>7.1531664460000002</v>
      </c>
      <c r="E13">
        <v>0.27550402299999999</v>
      </c>
      <c r="F13">
        <v>5.4249386409999998</v>
      </c>
      <c r="G13">
        <v>0.39757794600000002</v>
      </c>
      <c r="H13">
        <v>4.6130371090000004</v>
      </c>
      <c r="I13">
        <v>0.33746517799999998</v>
      </c>
      <c r="J13">
        <f>SUM(L13:Q13)</f>
        <v>5.6936633621139148</v>
      </c>
      <c r="K13">
        <f>0.5*SIN(RADIANS(60))*((L13*M13)+(M13*N13)+(N13*O13)+(O13*P13)+(P13*Q13)+(Q13*L13))</f>
        <v>2.3403248093044127</v>
      </c>
      <c r="L13">
        <f>(MAX(D:D)-D13)/(MAX(D:D)-MIN(D:D))</f>
        <v>0.9477286146819085</v>
      </c>
      <c r="M13">
        <f>(MAX(E:E)-E13)/(MAX(E:E)-MIN(E:E))</f>
        <v>0.96262381840630673</v>
      </c>
      <c r="N13">
        <f>(MAX(F:F)-F13)/(MAX(F:F)-MIN(F:F))</f>
        <v>0.98392848150658951</v>
      </c>
      <c r="O13">
        <f>(MAX(G:G)-G13)/(MAX(G:G)-MIN(G:G))</f>
        <v>0.98595008956271335</v>
      </c>
      <c r="P13">
        <f>(MAX(H:H)-H13)/(MAX(H:H)-MIN(H:H))</f>
        <v>0.90108655935517235</v>
      </c>
      <c r="Q13">
        <f>(MAX(I:I)-I13)/(MAX(I:I)-MIN(I:I))</f>
        <v>0.91234579860122478</v>
      </c>
    </row>
    <row r="14" spans="1:17" x14ac:dyDescent="0.6">
      <c r="A14">
        <v>10</v>
      </c>
      <c r="B14" t="s">
        <v>99</v>
      </c>
      <c r="C14" t="s">
        <v>174</v>
      </c>
      <c r="D14">
        <v>7.150513235</v>
      </c>
      <c r="E14">
        <v>0.27492379300000003</v>
      </c>
      <c r="F14">
        <v>5.4828005089999996</v>
      </c>
      <c r="G14">
        <v>0.40173450700000002</v>
      </c>
      <c r="H14">
        <v>4.5423583980000002</v>
      </c>
      <c r="I14">
        <v>0.33483871100000001</v>
      </c>
      <c r="J14">
        <f>SUM(L14:Q14)</f>
        <v>5.6892327461752137</v>
      </c>
      <c r="K14">
        <f>0.5*SIN(RADIANS(60))*((L14*M14)+(M14*N14)+(N14*O14)+(O14*P14)+(P14*Q14)+(Q14*L14))</f>
        <v>2.3360745535485057</v>
      </c>
      <c r="L14">
        <f>(MAX(D:D)-D14)/(MAX(D:D)-MIN(D:D))</f>
        <v>0.94889984999381638</v>
      </c>
      <c r="M14">
        <f>(MAX(E:E)-E14)/(MAX(E:E)-MIN(E:E))</f>
        <v>0.96498944080633831</v>
      </c>
      <c r="N14">
        <f>(MAX(F:F)-F14)/(MAX(F:F)-MIN(F:F))</f>
        <v>0.95590664889354005</v>
      </c>
      <c r="O14">
        <f>(MAX(G:G)-G14)/(MAX(G:G)-MIN(G:G))</f>
        <v>0.96194185522596187</v>
      </c>
      <c r="P14">
        <f>(MAX(H:H)-H14)/(MAX(H:H)-MIN(H:H))</f>
        <v>0.93133260232432347</v>
      </c>
      <c r="Q14">
        <f>(MAX(I:I)-I14)/(MAX(I:I)-MIN(I:I))</f>
        <v>0.92616234893123361</v>
      </c>
    </row>
    <row r="15" spans="1:17" x14ac:dyDescent="0.6">
      <c r="A15">
        <v>10</v>
      </c>
      <c r="B15" t="s">
        <v>6</v>
      </c>
      <c r="C15" t="s">
        <v>8</v>
      </c>
      <c r="D15">
        <v>7.1650203890000004</v>
      </c>
      <c r="E15">
        <v>0.27673687499999999</v>
      </c>
      <c r="F15">
        <v>5.4374060169999998</v>
      </c>
      <c r="G15">
        <v>0.39856606700000002</v>
      </c>
      <c r="H15">
        <v>4.5518798829999998</v>
      </c>
      <c r="I15">
        <v>0.34092889700000001</v>
      </c>
      <c r="J15">
        <f>SUM(L15:Q15)</f>
        <v>5.6796095063930139</v>
      </c>
      <c r="K15">
        <f>0.5*SIN(RADIANS(60))*((L15*M15)+(M15*N15)+(N15*O15)+(O15*P15)+(P15*Q15)+(Q15*L15))</f>
        <v>2.328854316775963</v>
      </c>
      <c r="L15">
        <f>(MAX(D:D)-D15)/(MAX(D:D)-MIN(D:D))</f>
        <v>0.9424958018272418</v>
      </c>
      <c r="M15">
        <f>(MAX(E:E)-E15)/(MAX(E:E)-MIN(E:E))</f>
        <v>0.95759742834180828</v>
      </c>
      <c r="N15">
        <f>(MAX(F:F)-F15)/(MAX(F:F)-MIN(F:F))</f>
        <v>0.97789067568608001</v>
      </c>
      <c r="O15">
        <f>(MAX(G:G)-G15)/(MAX(G:G)-MIN(G:G))</f>
        <v>0.98024271740552249</v>
      </c>
      <c r="P15">
        <f>(MAX(H:H)-H15)/(MAX(H:H)-MIN(H:H))</f>
        <v>0.92725800559830063</v>
      </c>
      <c r="Q15">
        <f>(MAX(I:I)-I15)/(MAX(I:I)-MIN(I:I))</f>
        <v>0.89412487753406156</v>
      </c>
    </row>
    <row r="16" spans="1:17" x14ac:dyDescent="0.6">
      <c r="A16">
        <v>10</v>
      </c>
      <c r="B16" t="s">
        <v>9</v>
      </c>
      <c r="C16" t="s">
        <v>7</v>
      </c>
      <c r="D16" s="13">
        <v>7.1804869379999996</v>
      </c>
      <c r="E16">
        <v>0.27834729899999999</v>
      </c>
      <c r="F16">
        <v>5.4466844410000004</v>
      </c>
      <c r="G16">
        <v>0.39956306699999999</v>
      </c>
      <c r="H16">
        <v>4.5809326170000002</v>
      </c>
      <c r="I16">
        <v>0.334844325</v>
      </c>
      <c r="J16">
        <f>SUM(L16:Q16)</f>
        <v>5.6755392806558422</v>
      </c>
      <c r="K16">
        <f>0.5*SIN(RADIANS(60))*((L16*M16)+(M16*N16)+(N16*O16)+(O16*P16)+(P16*Q16)+(Q16*L16))</f>
        <v>2.3250301818969312</v>
      </c>
      <c r="L16">
        <f>(MAX(D:D)-D16)/(MAX(D:D)-MIN(D:D))</f>
        <v>0.93566823766361074</v>
      </c>
      <c r="M16">
        <f>(MAX(E:E)-E16)/(MAX(E:E)-MIN(E:E))</f>
        <v>0.95103166116681093</v>
      </c>
      <c r="N16">
        <f>(MAX(F:F)-F16)/(MAX(F:F)-MIN(F:F))</f>
        <v>0.97339724239006342</v>
      </c>
      <c r="O16">
        <f>(MAX(G:G)-G16)/(MAX(G:G)-MIN(G:G))</f>
        <v>0.97448406027677104</v>
      </c>
      <c r="P16">
        <f>(MAX(H:H)-H16)/(MAX(H:H)-MIN(H:H))</f>
        <v>0.91482526271854825</v>
      </c>
      <c r="Q16">
        <f>(MAX(I:I)-I16)/(MAX(I:I)-MIN(I:I))</f>
        <v>0.9261328164400382</v>
      </c>
    </row>
    <row r="17" spans="1:17" x14ac:dyDescent="0.6">
      <c r="A17">
        <v>10</v>
      </c>
      <c r="B17" t="s">
        <v>99</v>
      </c>
      <c r="C17" t="s">
        <v>8</v>
      </c>
      <c r="D17">
        <v>7.1114889999999997</v>
      </c>
      <c r="E17">
        <v>0.2722</v>
      </c>
      <c r="F17">
        <v>5.431991</v>
      </c>
      <c r="G17">
        <v>0.39815299999999998</v>
      </c>
      <c r="H17">
        <v>4.627014</v>
      </c>
      <c r="I17">
        <v>0.34491699999999997</v>
      </c>
      <c r="J17">
        <f>SUM(L17:Q17)</f>
        <v>5.6736136475832151</v>
      </c>
      <c r="K17">
        <f>0.5*SIN(RADIANS(60))*((L17*M17)+(M17*N17)+(N17*O17)+(O17*P17)+(P17*Q17)+(Q17*L17))</f>
        <v>2.3245277673649714</v>
      </c>
      <c r="L17">
        <f>(MAX(D:D)-D17)/(MAX(D:D)-MIN(D:D))</f>
        <v>0.96612673547416084</v>
      </c>
      <c r="M17">
        <f>(MAX(E:E)-E17)/(MAX(E:E)-MIN(E:E))</f>
        <v>0.97609446077057616</v>
      </c>
      <c r="N17">
        <f>(MAX(F:F)-F17)/(MAX(F:F)-MIN(F:F))</f>
        <v>0.98051310571151262</v>
      </c>
      <c r="O17">
        <f>(MAX(G:G)-G17)/(MAX(G:G)-MIN(G:G))</f>
        <v>0.98262858623621696</v>
      </c>
      <c r="P17">
        <f>(MAX(H:H)-H17)/(MAX(H:H)-MIN(H:H))</f>
        <v>0.89510532908399321</v>
      </c>
      <c r="Q17">
        <f>(MAX(I:I)-I17)/(MAX(I:I)-MIN(I:I))</f>
        <v>0.87314543030675595</v>
      </c>
    </row>
    <row r="18" spans="1:17" x14ac:dyDescent="0.6">
      <c r="A18">
        <v>10</v>
      </c>
      <c r="B18" t="s">
        <v>92</v>
      </c>
      <c r="C18" t="s">
        <v>7</v>
      </c>
      <c r="D18">
        <v>7.1164800000000001</v>
      </c>
      <c r="E18">
        <v>0.27200000000000002</v>
      </c>
      <c r="F18">
        <v>5.4687929999999998</v>
      </c>
      <c r="G18">
        <v>0.40054499999999998</v>
      </c>
      <c r="H18">
        <v>4.6674189999999998</v>
      </c>
      <c r="I18">
        <v>0.34352199999999999</v>
      </c>
      <c r="J18">
        <f>SUM(L18:Q18)</f>
        <v>5.6306344965906492</v>
      </c>
      <c r="K18">
        <f>0.5*SIN(RADIANS(60))*((L18*M18)+(M18*N18)+(N18*O18)+(O18*P18)+(P18*Q18)+(Q18*L18))</f>
        <v>2.2892743366347728</v>
      </c>
      <c r="L18">
        <f>(MAX(D:D)-D18)/(MAX(D:D)-MIN(D:D))</f>
        <v>0.96392350495772905</v>
      </c>
      <c r="M18">
        <f>(MAX(E:E)-E18)/(MAX(E:E)-MIN(E:E))</f>
        <v>0.97690986928100532</v>
      </c>
      <c r="N18">
        <f>(MAX(F:F)-F18)/(MAX(F:F)-MIN(F:F))</f>
        <v>0.96269032329070581</v>
      </c>
      <c r="O18">
        <f>(MAX(G:G)-G18)/(MAX(G:G)-MIN(G:G))</f>
        <v>0.96881242991528005</v>
      </c>
      <c r="P18">
        <f>(MAX(H:H)-H18)/(MAX(H:H)-MIN(H:H))</f>
        <v>0.87781453035722323</v>
      </c>
      <c r="Q18">
        <f>(MAX(I:I)-I18)/(MAX(I:I)-MIN(I:I))</f>
        <v>0.88048383878870617</v>
      </c>
    </row>
    <row r="19" spans="1:17" x14ac:dyDescent="0.6">
      <c r="A19">
        <v>10</v>
      </c>
      <c r="B19" t="s">
        <v>99</v>
      </c>
      <c r="C19" t="s">
        <v>7</v>
      </c>
      <c r="D19">
        <v>7.2915239999999999</v>
      </c>
      <c r="E19">
        <v>0.28720000000000001</v>
      </c>
      <c r="F19" s="13">
        <v>5.5767559999999996</v>
      </c>
      <c r="G19" s="13">
        <v>0.40916400000000003</v>
      </c>
      <c r="H19">
        <v>4.4080810000000001</v>
      </c>
      <c r="I19" s="13">
        <v>0.32418999999999998</v>
      </c>
      <c r="J19">
        <f>SUM(L19:Q19)</f>
        <v>5.6019999495408976</v>
      </c>
      <c r="K19">
        <f>0.5*SIN(RADIANS(60))*((L19*M19)+(M19*N19)+(N19*O19)+(O19*P19)+(P19*Q19)+(Q19*L19))</f>
        <v>2.2653682442112602</v>
      </c>
      <c r="L19">
        <f>(MAX(D:D)-D19)/(MAX(D:D)-MIN(D:D))</f>
        <v>0.88665195967256505</v>
      </c>
      <c r="M19">
        <f>(MAX(E:E)-E19)/(MAX(E:E)-MIN(E:E))</f>
        <v>0.91493882248838443</v>
      </c>
      <c r="N19">
        <f>(MAX(F:F)-F19)/(MAX(F:F)-MIN(F:F))</f>
        <v>0.91040509263754632</v>
      </c>
      <c r="O19">
        <f>(MAX(G:G)-G19)/(MAX(G:G)-MIN(G:G))</f>
        <v>0.91902921447625185</v>
      </c>
      <c r="P19">
        <f>(MAX(H:H)-H19)/(MAX(H:H)-MIN(H:H))</f>
        <v>0.98879488328886733</v>
      </c>
      <c r="Q19">
        <f>(MAX(I:I)-I19)/(MAX(I:I)-MIN(I:I))</f>
        <v>0.98217997697728221</v>
      </c>
    </row>
    <row r="20" spans="1:17" x14ac:dyDescent="0.6">
      <c r="A20">
        <v>10</v>
      </c>
      <c r="B20" t="s">
        <v>6</v>
      </c>
      <c r="C20" t="s">
        <v>181</v>
      </c>
      <c r="D20" s="13">
        <v>7.1184178009999997</v>
      </c>
      <c r="E20">
        <v>0.27318807499999997</v>
      </c>
      <c r="F20" s="13">
        <v>5.4285737430000003</v>
      </c>
      <c r="G20" s="13">
        <v>0.39803273300000003</v>
      </c>
      <c r="H20">
        <v>4.7450561520000001</v>
      </c>
      <c r="I20" s="13">
        <v>0.34974935000000001</v>
      </c>
      <c r="J20">
        <f>SUM(L20:Q20)</f>
        <v>5.5929409354044486</v>
      </c>
      <c r="K20">
        <f>0.5*SIN(RADIANS(60))*((L20*M20)+(M20*N20)+(N20*O20)+(O20*P20)+(P20*Q20)+(Q20*L20))</f>
        <v>2.2601485682895834</v>
      </c>
      <c r="L20">
        <f>(MAX(D:D)-D20)/(MAX(D:D)-MIN(D:D))</f>
        <v>0.96306808073453309</v>
      </c>
      <c r="M20">
        <f>(MAX(E:E)-E20)/(MAX(E:E)-MIN(E:E))</f>
        <v>0.97206603695086458</v>
      </c>
      <c r="N20">
        <f>(MAX(F:F)-F20)/(MAX(F:F)-MIN(F:F))</f>
        <v>0.98216804370365907</v>
      </c>
      <c r="O20">
        <f>(MAX(G:G)-G20)/(MAX(G:G)-MIN(G:G))</f>
        <v>0.98332324663431459</v>
      </c>
      <c r="P20">
        <f>(MAX(H:H)-H20)/(MAX(H:H)-MIN(H:H))</f>
        <v>0.84459071229134886</v>
      </c>
      <c r="Q20">
        <f>(MAX(I:I)-I20)/(MAX(I:I)-MIN(I:I))</f>
        <v>0.84772481508972886</v>
      </c>
    </row>
    <row r="21" spans="1:17" x14ac:dyDescent="0.6">
      <c r="A21">
        <v>10</v>
      </c>
      <c r="B21" t="s">
        <v>92</v>
      </c>
      <c r="C21" t="s">
        <v>8</v>
      </c>
      <c r="D21" s="13">
        <v>7.0868869999999999</v>
      </c>
      <c r="E21">
        <v>0.2702</v>
      </c>
      <c r="F21" s="13">
        <v>5.4353389999999999</v>
      </c>
      <c r="G21" s="13">
        <v>0.398316</v>
      </c>
      <c r="H21">
        <v>4.7739260000000003</v>
      </c>
      <c r="I21" s="13">
        <v>0.35355300000000001</v>
      </c>
      <c r="J21">
        <f>SUM(L21:Q21)</f>
        <v>5.5817663315532631</v>
      </c>
      <c r="K21">
        <f>0.5*SIN(RADIANS(60))*((L21*M21)+(M21*N21)+(N21*O21)+(O21*P21)+(P21*Q21)+(Q21*L21))</f>
        <v>2.2519060541249711</v>
      </c>
      <c r="L21">
        <f>(MAX(D:D)-D21)/(MAX(D:D)-MIN(D:D))</f>
        <v>0.97698705949044007</v>
      </c>
      <c r="M21">
        <f>(MAX(E:E)-E21)/(MAX(E:E)-MIN(E:E))</f>
        <v>0.98424854587486843</v>
      </c>
      <c r="N21">
        <f>(MAX(F:F)-F21)/(MAX(F:F)-MIN(F:F))</f>
        <v>0.9788917080824473</v>
      </c>
      <c r="O21">
        <f>(MAX(G:G)-G21)/(MAX(G:G)-MIN(G:G))</f>
        <v>0.98168710066752418</v>
      </c>
      <c r="P21">
        <f>(MAX(H:H)-H21)/(MAX(H:H)-MIN(H:H))</f>
        <v>0.83223623311697814</v>
      </c>
      <c r="Q21">
        <f>(MAX(I:I)-I21)/(MAX(I:I)-MIN(I:I))</f>
        <v>0.82771568432100462</v>
      </c>
    </row>
    <row r="22" spans="1:17" x14ac:dyDescent="0.6">
      <c r="A22">
        <v>10</v>
      </c>
      <c r="B22" t="s">
        <v>92</v>
      </c>
      <c r="C22" t="s">
        <v>174</v>
      </c>
      <c r="D22" s="13">
        <v>7.2145968800000002</v>
      </c>
      <c r="E22">
        <v>0.27885130200000002</v>
      </c>
      <c r="F22">
        <v>5.5742862669999997</v>
      </c>
      <c r="G22">
        <v>0.40792730399999999</v>
      </c>
      <c r="H22">
        <v>4.6428222659999996</v>
      </c>
      <c r="I22">
        <v>0.337111353</v>
      </c>
      <c r="J22">
        <f>SUM(L22:Q22)</f>
        <v>5.5099085317487626</v>
      </c>
      <c r="K22">
        <f>0.5*SIN(RADIANS(60))*((L22*M22)+(M22*N22)+(N22*O22)+(O22*P22)+(P22*Q22)+(Q22*L22))</f>
        <v>2.1908444932267921</v>
      </c>
      <c r="L22">
        <f>(MAX(D:D)-D22)/(MAX(D:D)-MIN(D:D))</f>
        <v>0.9206107211081882</v>
      </c>
      <c r="M22">
        <f>(MAX(E:E)-E22)/(MAX(E:E)-MIN(E:E))</f>
        <v>0.94897681948940149</v>
      </c>
      <c r="N22">
        <f>(MAX(F:F)-F22)/(MAX(F:F)-MIN(F:F))</f>
        <v>0.91160115572913059</v>
      </c>
      <c r="O22">
        <f>(MAX(G:G)-G22)/(MAX(G:G)-MIN(G:G))</f>
        <v>0.92617235212569915</v>
      </c>
      <c r="P22">
        <f>(MAX(H:H)-H22)/(MAX(H:H)-MIN(H:H))</f>
        <v>0.88834038549717875</v>
      </c>
      <c r="Q22">
        <f>(MAX(I:I)-I22)/(MAX(I:I)-MIN(I:I))</f>
        <v>0.91420709779916443</v>
      </c>
    </row>
    <row r="23" spans="1:17" x14ac:dyDescent="0.6">
      <c r="A23">
        <v>10</v>
      </c>
      <c r="B23" t="s">
        <v>99</v>
      </c>
      <c r="C23" t="s">
        <v>181</v>
      </c>
      <c r="D23">
        <v>7.2158739809999997</v>
      </c>
      <c r="E23">
        <v>0.27892223100000002</v>
      </c>
      <c r="F23">
        <v>5.5692090060000004</v>
      </c>
      <c r="G23">
        <v>0.407560847</v>
      </c>
      <c r="H23">
        <v>4.6282958980000002</v>
      </c>
      <c r="I23">
        <v>0.34074605400000002</v>
      </c>
      <c r="J23">
        <f>SUM(L23:Q23)</f>
        <v>5.5007270943580924</v>
      </c>
      <c r="K23">
        <f>0.5*SIN(RADIANS(60))*((L23*M23)+(M23*N23)+(N23*O23)+(O23*P23)+(P23*Q23)+(Q23*L23))</f>
        <v>2.1837442687214672</v>
      </c>
      <c r="L23">
        <f>(MAX(D:D)-D23)/(MAX(D:D)-MIN(D:D))</f>
        <v>0.92004695675319648</v>
      </c>
      <c r="M23">
        <f>(MAX(E:E)-E23)/(MAX(E:E)-MIN(E:E))</f>
        <v>0.94868763893822039</v>
      </c>
      <c r="N23">
        <f>(MAX(F:F)-F23)/(MAX(F:F)-MIN(F:F))</f>
        <v>0.91406001443508789</v>
      </c>
      <c r="O23">
        <f>(MAX(G:G)-G23)/(MAX(G:G)-MIN(G:G))</f>
        <v>0.92828900229162781</v>
      </c>
      <c r="P23">
        <f>(MAX(H:H)-H23)/(MAX(H:H)-MIN(H:H))</f>
        <v>0.89455675736499174</v>
      </c>
      <c r="Q23">
        <f>(MAX(I:I)-I23)/(MAX(I:I)-MIN(I:I))</f>
        <v>0.89508672457496841</v>
      </c>
    </row>
    <row r="24" spans="1:17" x14ac:dyDescent="0.6">
      <c r="A24">
        <v>10</v>
      </c>
      <c r="B24" t="s">
        <v>6</v>
      </c>
      <c r="C24" t="s">
        <v>7</v>
      </c>
      <c r="D24">
        <v>7.2635887139999999</v>
      </c>
      <c r="E24">
        <v>0.28290686100000001</v>
      </c>
      <c r="F24" s="13">
        <v>5.606741306</v>
      </c>
      <c r="G24" s="13">
        <v>0.410417223</v>
      </c>
      <c r="H24">
        <v>4.6005249020000001</v>
      </c>
      <c r="I24">
        <v>0.34298178099999999</v>
      </c>
      <c r="J24">
        <f>SUM(L24:Q24)</f>
        <v>5.4288667000455177</v>
      </c>
      <c r="K24">
        <f>0.5*SIN(RADIANS(60))*((L24*M24)+(M24*N24)+(N24*O24)+(O24*P24)+(P24*Q24)+(Q24*L24))</f>
        <v>2.1268416939608663</v>
      </c>
      <c r="L24">
        <f>(MAX(D:D)-D24)/(MAX(D:D)-MIN(D:D))</f>
        <v>0.89898373178245172</v>
      </c>
      <c r="M24">
        <f>(MAX(E:E)-E24)/(MAX(E:E)-MIN(E:E))</f>
        <v>0.9324421328736624</v>
      </c>
      <c r="N24">
        <f>(MAX(F:F)-F24)/(MAX(F:F)-MIN(F:F))</f>
        <v>0.89588355618139393</v>
      </c>
      <c r="O24">
        <f>(MAX(G:G)-G24)/(MAX(G:G)-MIN(G:G))</f>
        <v>0.9117906171213217</v>
      </c>
      <c r="P24">
        <f>(MAX(H:H)-H24)/(MAX(H:H)-MIN(H:H))</f>
        <v>0.90644099699567948</v>
      </c>
      <c r="Q24">
        <f>(MAX(I:I)-I24)/(MAX(I:I)-MIN(I:I))</f>
        <v>0.88332566509100785</v>
      </c>
    </row>
    <row r="25" spans="1:17" x14ac:dyDescent="0.6">
      <c r="A25">
        <v>10</v>
      </c>
      <c r="B25" t="s">
        <v>92</v>
      </c>
      <c r="C25" t="s">
        <v>181</v>
      </c>
      <c r="D25">
        <v>7.3240493940000002</v>
      </c>
      <c r="E25">
        <v>0.28785570399999999</v>
      </c>
      <c r="F25">
        <v>5.6368057120000001</v>
      </c>
      <c r="G25">
        <v>0.41269565499999999</v>
      </c>
      <c r="H25">
        <v>4.5382690429999997</v>
      </c>
      <c r="I25">
        <v>0.33392464999999999</v>
      </c>
      <c r="J25">
        <f>SUM(L25:Q25)</f>
        <v>5.4285669199362072</v>
      </c>
      <c r="K25">
        <f>0.5*SIN(RADIANS(60))*((L25*M25)+(M25*N25)+(N25*O25)+(O25*P25)+(P25*Q25)+(Q25*L25))</f>
        <v>2.126524659297035</v>
      </c>
      <c r="L25">
        <f>(MAX(D:D)-D25)/(MAX(D:D)-MIN(D:D))</f>
        <v>0.87229392708996401</v>
      </c>
      <c r="M25">
        <f>(MAX(E:E)-E25)/(MAX(E:E)-MIN(E:E))</f>
        <v>0.91226548937877205</v>
      </c>
      <c r="N25">
        <f>(MAX(F:F)-F25)/(MAX(F:F)-MIN(F:F))</f>
        <v>0.88132371251124542</v>
      </c>
      <c r="O25">
        <f>(MAX(G:G)-G25)/(MAX(G:G)-MIN(G:G))</f>
        <v>0.89863042787440495</v>
      </c>
      <c r="P25">
        <f>(MAX(H:H)-H25)/(MAX(H:H)-MIN(H:H))</f>
        <v>0.93308258906426456</v>
      </c>
      <c r="Q25">
        <f>(MAX(I:I)-I25)/(MAX(I:I)-MIN(I:I))</f>
        <v>0.93097077401755624</v>
      </c>
    </row>
    <row r="26" spans="1:17" x14ac:dyDescent="0.6">
      <c r="A26">
        <v>10</v>
      </c>
      <c r="B26" t="s">
        <v>6</v>
      </c>
      <c r="C26" t="s">
        <v>174</v>
      </c>
      <c r="D26">
        <v>7.266034415</v>
      </c>
      <c r="E26">
        <v>0.28537178400000002</v>
      </c>
      <c r="F26">
        <v>5.5441462420000001</v>
      </c>
      <c r="G26">
        <v>0.40684344700000002</v>
      </c>
      <c r="H26">
        <v>4.6900024409999999</v>
      </c>
      <c r="I26">
        <v>0.34720037399999998</v>
      </c>
      <c r="J26">
        <f>SUM(L26:Q26)</f>
        <v>5.4082109129399267</v>
      </c>
      <c r="K26">
        <f>0.5*SIN(RADIANS(60))*((L26*M26)+(M26*N26)+(N26*O26)+(O26*P26)+(P26*Q26)+(Q26*L26))</f>
        <v>2.111567115113218</v>
      </c>
      <c r="L26">
        <f>(MAX(D:D)-D26)/(MAX(D:D)-MIN(D:D))</f>
        <v>0.89790409982948294</v>
      </c>
      <c r="M26">
        <f>(MAX(E:E)-E26)/(MAX(E:E)-MIN(E:E))</f>
        <v>0.92239253691489875</v>
      </c>
      <c r="N26">
        <f>(MAX(F:F)-F26)/(MAX(F:F)-MIN(F:F))</f>
        <v>0.92619762080528611</v>
      </c>
      <c r="O26">
        <f>(MAX(G:G)-G26)/(MAX(G:G)-MIN(G:G))</f>
        <v>0.9324326939908919</v>
      </c>
      <c r="P26">
        <f>(MAX(H:H)-H26)/(MAX(H:H)-MIN(H:H))</f>
        <v>0.86815023799516688</v>
      </c>
      <c r="Q26">
        <f>(MAX(I:I)-I26)/(MAX(I:I)-MIN(I:I))</f>
        <v>0.86113372340420058</v>
      </c>
    </row>
    <row r="27" spans="1:17" x14ac:dyDescent="0.6">
      <c r="A27">
        <v>10</v>
      </c>
      <c r="B27" t="s">
        <v>9</v>
      </c>
      <c r="C27" t="s">
        <v>167</v>
      </c>
      <c r="D27">
        <v>7.2537872449999998</v>
      </c>
      <c r="E27">
        <v>0.28388472100000001</v>
      </c>
      <c r="F27" s="13">
        <v>5.5576533760000002</v>
      </c>
      <c r="G27" s="13">
        <v>0.40754601099999999</v>
      </c>
      <c r="H27">
        <v>4.7627563479999999</v>
      </c>
      <c r="I27" s="13">
        <v>0.35536452400000001</v>
      </c>
      <c r="J27">
        <f>SUM(L27:Q27)</f>
        <v>5.3349991118765292</v>
      </c>
      <c r="K27">
        <f>0.5*SIN(RADIANS(60))*((L27*M27)+(M27*N27)+(N27*O27)+(O27*P27)+(P27*Q27)+(Q27*L27))</f>
        <v>2.0556432042728465</v>
      </c>
      <c r="L27">
        <f>(MAX(D:D)-D27)/(MAX(D:D)-MIN(D:D))</f>
        <v>0.90331049908492789</v>
      </c>
      <c r="M27">
        <f>(MAX(E:E)-E27)/(MAX(E:E)-MIN(E:E))</f>
        <v>0.92845535604362084</v>
      </c>
      <c r="N27">
        <f>(MAX(F:F)-F27)/(MAX(F:F)-MIN(F:F))</f>
        <v>0.91965627222611424</v>
      </c>
      <c r="O27">
        <f>(MAX(G:G)-G27)/(MAX(G:G)-MIN(G:G))</f>
        <v>0.92837469480633417</v>
      </c>
      <c r="P27">
        <f>(MAX(H:H)-H27)/(MAX(H:H)-MIN(H:H))</f>
        <v>0.83701614165750704</v>
      </c>
      <c r="Q27">
        <f>(MAX(I:I)-I27)/(MAX(I:I)-MIN(I:I))</f>
        <v>0.81818614805802503</v>
      </c>
    </row>
    <row r="28" spans="1:17" x14ac:dyDescent="0.6">
      <c r="A28">
        <v>10</v>
      </c>
      <c r="B28" t="s">
        <v>99</v>
      </c>
      <c r="C28" t="s">
        <v>167</v>
      </c>
      <c r="D28">
        <v>7.2947859069999996</v>
      </c>
      <c r="E28">
        <v>0.285315131</v>
      </c>
      <c r="F28" s="13">
        <v>5.6279102429999996</v>
      </c>
      <c r="G28" s="13">
        <v>0.41199564799999999</v>
      </c>
      <c r="H28">
        <v>4.7182006840000001</v>
      </c>
      <c r="I28" s="13">
        <v>0.349665379</v>
      </c>
      <c r="J28">
        <f>SUM(L28:Q28)</f>
        <v>5.3003905864981169</v>
      </c>
      <c r="K28">
        <f>0.5*SIN(RADIANS(60))*((L28*M28)+(M28*N28)+(N28*O28)+(O28*P28)+(P28*Q28)+(Q28*L28))</f>
        <v>2.0277683785010536</v>
      </c>
      <c r="L28">
        <f>(MAX(D:D)-D28)/(MAX(D:D)-MIN(D:D))</f>
        <v>0.8852120211744362</v>
      </c>
      <c r="M28">
        <f>(MAX(E:E)-E28)/(MAX(E:E)-MIN(E:E))</f>
        <v>0.92262351360660555</v>
      </c>
      <c r="N28">
        <f>(MAX(F:F)-F28)/(MAX(F:F)-MIN(F:F))</f>
        <v>0.88563168513550605</v>
      </c>
      <c r="O28">
        <f>(MAX(G:G)-G28)/(MAX(G:G)-MIN(G:G))</f>
        <v>0.90267365786510323</v>
      </c>
      <c r="P28">
        <f>(MAX(H:H)-H28)/(MAX(H:H)-MIN(H:H))</f>
        <v>0.8560831635201871</v>
      </c>
      <c r="Q28">
        <f>(MAX(I:I)-I28)/(MAX(I:I)-MIN(I:I))</f>
        <v>0.84816654519627932</v>
      </c>
    </row>
    <row r="29" spans="1:17" x14ac:dyDescent="0.6">
      <c r="A29">
        <v>10</v>
      </c>
      <c r="B29" t="s">
        <v>9</v>
      </c>
      <c r="C29" t="s">
        <v>171</v>
      </c>
      <c r="D29">
        <v>7.4226188950000003</v>
      </c>
      <c r="E29">
        <v>0.29761907999999998</v>
      </c>
      <c r="F29" s="13">
        <v>5.6574318129999996</v>
      </c>
      <c r="G29" s="13">
        <v>0.41508323699999999</v>
      </c>
      <c r="H29">
        <v>4.7276000979999999</v>
      </c>
      <c r="I29" s="13">
        <v>0.34143272800000002</v>
      </c>
      <c r="J29">
        <f>SUM(L29:Q29)</f>
        <v>5.2009509244913197</v>
      </c>
      <c r="K29">
        <f>0.5*SIN(RADIANS(60))*((L29*M29)+(M29*N29)+(N29*O29)+(O29*P29)+(P29*Q29)+(Q29*L29))</f>
        <v>1.9514322381975262</v>
      </c>
      <c r="L29">
        <f>(MAX(D:D)-D29)/(MAX(D:D)-MIN(D:D))</f>
        <v>0.82878133791091457</v>
      </c>
      <c r="M29">
        <f>(MAX(E:E)-E29)/(MAX(E:E)-MIN(E:E))</f>
        <v>0.87245978997416995</v>
      </c>
      <c r="N29">
        <f>(MAX(F:F)-F29)/(MAX(F:F)-MIN(F:F))</f>
        <v>0.87133473065393929</v>
      </c>
      <c r="O29">
        <f>(MAX(G:G)-G29)/(MAX(G:G)-MIN(G:G))</f>
        <v>0.88483978985556933</v>
      </c>
      <c r="P29">
        <f>(MAX(H:H)-H29)/(MAX(H:H)-MIN(H:H))</f>
        <v>0.85206080550450636</v>
      </c>
      <c r="Q29">
        <f>(MAX(I:I)-I29)/(MAX(I:I)-MIN(I:I))</f>
        <v>0.89147447059221951</v>
      </c>
    </row>
    <row r="30" spans="1:17" x14ac:dyDescent="0.6">
      <c r="A30">
        <v>10</v>
      </c>
      <c r="B30" t="s">
        <v>9</v>
      </c>
      <c r="C30" t="s">
        <v>174</v>
      </c>
      <c r="D30">
        <v>7.3395361899999996</v>
      </c>
      <c r="E30">
        <v>0.28775461400000002</v>
      </c>
      <c r="F30" s="13">
        <v>5.7080726290000001</v>
      </c>
      <c r="G30" s="13">
        <v>0.41744653599999998</v>
      </c>
      <c r="H30">
        <v>4.7537841800000002</v>
      </c>
      <c r="I30">
        <v>0.352219699</v>
      </c>
      <c r="J30">
        <f>SUM(L30:Q30)</f>
        <v>5.1717196326563641</v>
      </c>
      <c r="K30">
        <f>0.5*SIN(RADIANS(60))*((L30*M30)+(M30*N30)+(N30*O30)+(O30*P30)+(P30*Q30)+(Q30*L30))</f>
        <v>1.9300824572683315</v>
      </c>
      <c r="L30">
        <f>(MAX(D:D)-D30)/(MAX(D:D)-MIN(D:D))</f>
        <v>0.86545742507654988</v>
      </c>
      <c r="M30">
        <f>(MAX(E:E)-E30)/(MAX(E:E)-MIN(E:E))</f>
        <v>0.91267763761036835</v>
      </c>
      <c r="N30">
        <f>(MAX(F:F)-F30)/(MAX(F:F)-MIN(F:F))</f>
        <v>0.84680996990234636</v>
      </c>
      <c r="O30">
        <f>(MAX(G:G)-G30)/(MAX(G:G)-MIN(G:G))</f>
        <v>0.87118941008252848</v>
      </c>
      <c r="P30">
        <f>(MAX(H:H)-H30)/(MAX(H:H)-MIN(H:H))</f>
        <v>0.84085566525683286</v>
      </c>
      <c r="Q30">
        <f>(MAX(I:I)-I30)/(MAX(I:I)-MIN(I:I))</f>
        <v>0.83472952472773787</v>
      </c>
    </row>
    <row r="31" spans="1:17" x14ac:dyDescent="0.6">
      <c r="A31">
        <v>10</v>
      </c>
      <c r="B31" t="s">
        <v>9</v>
      </c>
      <c r="C31" t="s">
        <v>8</v>
      </c>
      <c r="D31">
        <v>7.5700877000000002</v>
      </c>
      <c r="E31">
        <v>0.30700049499999998</v>
      </c>
      <c r="F31">
        <v>5.8563513289999998</v>
      </c>
      <c r="G31">
        <v>0.42847433499999998</v>
      </c>
      <c r="H31">
        <v>4.713378906</v>
      </c>
      <c r="I31">
        <v>0.347972895</v>
      </c>
      <c r="J31">
        <f>SUM(L31:Q31)</f>
        <v>4.8956037397314223</v>
      </c>
      <c r="K31">
        <f>0.5*SIN(RADIANS(60))*((L31*M31)+(M31*N31)+(N31*O31)+(O31*P31)+(P31*Q31)+(Q31*L31))</f>
        <v>1.7287436304159676</v>
      </c>
      <c r="L31">
        <f>(MAX(D:D)-D31)/(MAX(D:D)-MIN(D:D))</f>
        <v>0.76368260591377946</v>
      </c>
      <c r="M31">
        <f>(MAX(E:E)-E31)/(MAX(E:E)-MIN(E:E))</f>
        <v>0.83421136181982802</v>
      </c>
      <c r="N31">
        <f>(MAX(F:F)-F31)/(MAX(F:F)-MIN(F:F))</f>
        <v>0.77500031260817492</v>
      </c>
      <c r="O31">
        <f>(MAX(G:G)-G31)/(MAX(G:G)-MIN(G:G))</f>
        <v>0.80749300754913755</v>
      </c>
      <c r="P31">
        <f>(MAX(H:H)-H31)/(MAX(H:H)-MIN(H:H))</f>
        <v>0.85814658123836984</v>
      </c>
      <c r="Q31">
        <f>(MAX(I:I)-I31)/(MAX(I:I)-MIN(I:I))</f>
        <v>0.85706987060213247</v>
      </c>
    </row>
    <row r="32" spans="1:17" x14ac:dyDescent="0.6">
      <c r="A32">
        <v>10</v>
      </c>
      <c r="B32" t="s">
        <v>9</v>
      </c>
      <c r="C32" t="s">
        <v>181</v>
      </c>
      <c r="D32">
        <v>7.6736323930000001</v>
      </c>
      <c r="E32">
        <v>0.31451542700000001</v>
      </c>
      <c r="F32">
        <v>6.0577279150000001</v>
      </c>
      <c r="G32">
        <v>0.442869919</v>
      </c>
      <c r="H32">
        <v>4.7322387700000004</v>
      </c>
      <c r="I32">
        <v>0.35045555499999997</v>
      </c>
      <c r="J32">
        <f>SUM(L32:Q32)</f>
        <v>4.6174522856624653</v>
      </c>
      <c r="K32">
        <f>0.5*SIN(RADIANS(60))*((L32*M32)+(M32*N32)+(N32*O32)+(O32*P32)+(P32*Q32)+(Q32*L32))</f>
        <v>1.5377440896327441</v>
      </c>
      <c r="L32">
        <f>(MAX(D:D)-D32)/(MAX(D:D)-MIN(D:D))</f>
        <v>0.71797376451282935</v>
      </c>
      <c r="M32">
        <f>(MAX(E:E)-E32)/(MAX(E:E)-MIN(E:E))</f>
        <v>0.80357266427934337</v>
      </c>
      <c r="N32">
        <f>(MAX(F:F)-F32)/(MAX(F:F)-MIN(F:F))</f>
        <v>0.67747596401508448</v>
      </c>
      <c r="O32">
        <f>(MAX(G:G)-G32)/(MAX(G:G)-MIN(G:G))</f>
        <v>0.7243443290896151</v>
      </c>
      <c r="P32">
        <f>(MAX(H:H)-H32)/(MAX(H:H)-MIN(H:H))</f>
        <v>0.85007574563786825</v>
      </c>
      <c r="Q32">
        <f>(MAX(I:I)-I32)/(MAX(I:I)-MIN(I:I))</f>
        <v>0.84400981812772491</v>
      </c>
    </row>
    <row r="33" spans="1:17" x14ac:dyDescent="0.6">
      <c r="A33">
        <v>10</v>
      </c>
      <c r="B33" t="s">
        <v>9</v>
      </c>
      <c r="C33" t="s">
        <v>177</v>
      </c>
      <c r="D33">
        <v>7.9042877310000002</v>
      </c>
      <c r="E33">
        <v>0.33355741999999999</v>
      </c>
      <c r="F33" s="13">
        <v>6.1869263779999999</v>
      </c>
      <c r="G33" s="13">
        <v>0.45222766399999997</v>
      </c>
      <c r="H33">
        <v>5.0326538090000001</v>
      </c>
      <c r="I33" s="13">
        <v>0.371239449</v>
      </c>
      <c r="J33">
        <f>SUM(L33:Q33)</f>
        <v>4.0834845217580966</v>
      </c>
      <c r="K33">
        <f>0.5*SIN(RADIANS(60))*((L33*M33)+(M33*N33)+(N33*O33)+(O33*P33)+(P33*Q33)+(Q33*L33))</f>
        <v>1.2004080566397881</v>
      </c>
      <c r="L33">
        <f>(MAX(D:D)-D33)/(MAX(D:D)-MIN(D:D))</f>
        <v>0.61615311144541873</v>
      </c>
      <c r="M33">
        <f>(MAX(E:E)-E33)/(MAX(E:E)-MIN(E:E))</f>
        <v>0.725937648540675</v>
      </c>
      <c r="N33">
        <f>(MAX(F:F)-F33)/(MAX(F:F)-MIN(F:F))</f>
        <v>0.61490664454462995</v>
      </c>
      <c r="O33">
        <f>(MAX(G:G)-G33)/(MAX(G:G)-MIN(G:G))</f>
        <v>0.67029413354970502</v>
      </c>
      <c r="P33">
        <f>(MAX(H:H)-H33)/(MAX(H:H)-MIN(H:H))</f>
        <v>0.72151700355535964</v>
      </c>
      <c r="Q33">
        <f>(MAX(I:I)-I33)/(MAX(I:I)-MIN(I:I))</f>
        <v>0.73467598012230817</v>
      </c>
    </row>
    <row r="34" spans="1:17" x14ac:dyDescent="0.6">
      <c r="A34">
        <v>10</v>
      </c>
      <c r="B34" s="31" t="s">
        <v>569</v>
      </c>
      <c r="C34" s="31"/>
      <c r="D34" s="31">
        <v>8.6211544730000007</v>
      </c>
      <c r="E34">
        <v>0.44398070099999998</v>
      </c>
      <c r="F34" s="31">
        <v>6.9252069399999998</v>
      </c>
      <c r="G34" s="31">
        <v>0.52845462600000004</v>
      </c>
      <c r="H34" s="31">
        <v>5.8337707520000004</v>
      </c>
      <c r="I34" s="31">
        <v>0.44207933500000002</v>
      </c>
      <c r="J34">
        <f>SUM(L34:Q34)</f>
        <v>1.8035219869819881</v>
      </c>
      <c r="K34">
        <f>0.5*SIN(RADIANS(60))*((L34*M34)+(M34*N34)+(N34*O34)+(O34*P34)+(P34*Q34)+(Q34*L34))</f>
        <v>0.23620546903797054</v>
      </c>
      <c r="L34">
        <f>(MAX(D:D)-D34)/(MAX(D:D)-MIN(D:D))</f>
        <v>0.29969895753051129</v>
      </c>
      <c r="M34">
        <f>(MAX(E:E)-E34)/(MAX(E:E)-MIN(E:E))</f>
        <v>0.27573723315608706</v>
      </c>
      <c r="N34">
        <f>(MAX(F:F)-F34)/(MAX(F:F)-MIN(F:F))</f>
        <v>0.25736591789833235</v>
      </c>
      <c r="O34">
        <f>(MAX(G:G)-G34)/(MAX(G:G)-MIN(G:G))</f>
        <v>0.23000833803878759</v>
      </c>
      <c r="P34">
        <f>(MAX(H:H)-H34)/(MAX(H:H)-MIN(H:H))</f>
        <v>0.37868933821645845</v>
      </c>
      <c r="Q34">
        <f>(MAX(I:I)-I34)/(MAX(I:I)-MIN(I:I))</f>
        <v>0.36202220214181136</v>
      </c>
    </row>
    <row r="35" spans="1:17" x14ac:dyDescent="0.6">
      <c r="A35">
        <v>10</v>
      </c>
      <c r="B35" s="31" t="s">
        <v>572</v>
      </c>
      <c r="C35" s="31" t="s">
        <v>8</v>
      </c>
      <c r="D35" s="31">
        <v>8.7375697520000006</v>
      </c>
      <c r="E35">
        <v>0.455679263</v>
      </c>
      <c r="F35" s="31">
        <v>7.070641277</v>
      </c>
      <c r="G35" s="31">
        <v>0.539068463</v>
      </c>
      <c r="H35" s="31">
        <v>6.0185448780000002</v>
      </c>
      <c r="I35" s="31">
        <v>0.45897838499999999</v>
      </c>
      <c r="J35">
        <f>SUM(L35:Q35)</f>
        <v>1.4047291905150316</v>
      </c>
      <c r="K35">
        <f>0.5*SIN(RADIANS(60))*((L35*M35)+(M35*N35)+(N35*O35)+(O35*P35)+(P35*Q35)+(Q35*L35))</f>
        <v>0.14332208230822674</v>
      </c>
      <c r="L35">
        <f>(MAX(D:D)-D35)/(MAX(D:D)-MIN(D:D))</f>
        <v>0.24830851568084208</v>
      </c>
      <c r="M35">
        <f>(MAX(E:E)-E35)/(MAX(E:E)-MIN(E:E))</f>
        <v>0.22804169808316735</v>
      </c>
      <c r="N35">
        <f>(MAX(F:F)-F35)/(MAX(F:F)-MIN(F:F))</f>
        <v>0.18693375266640719</v>
      </c>
      <c r="O35">
        <f>(MAX(G:G)-G35)/(MAX(G:G)-MIN(G:G))</f>
        <v>0.16870297384274122</v>
      </c>
      <c r="P35">
        <f>(MAX(H:H)-H35)/(MAX(H:H)-MIN(H:H))</f>
        <v>0.29961763366056582</v>
      </c>
      <c r="Q35">
        <f>(MAX(I:I)-I35)/(MAX(I:I)-MIN(I:I))</f>
        <v>0.27312461658130799</v>
      </c>
    </row>
    <row r="36" spans="1:17" x14ac:dyDescent="0.6">
      <c r="A36">
        <v>10</v>
      </c>
      <c r="B36" s="31" t="s">
        <v>571</v>
      </c>
      <c r="C36" s="31" t="s">
        <v>167</v>
      </c>
      <c r="D36" s="31">
        <v>8.8441499179999994</v>
      </c>
      <c r="E36">
        <v>0.46534006300000003</v>
      </c>
      <c r="F36" s="31">
        <v>7.1797454050000002</v>
      </c>
      <c r="G36" s="31">
        <v>0.54736779700000004</v>
      </c>
      <c r="H36" s="31">
        <v>5.9304199219999996</v>
      </c>
      <c r="I36" s="31">
        <v>0.44901758000000003</v>
      </c>
      <c r="J36">
        <f>SUM(L36:Q36)</f>
        <v>1.3076290116556175</v>
      </c>
      <c r="K36">
        <f>0.5*SIN(RADIANS(60))*((L36*M36)+(M36*N36)+(N36*O36)+(O36*P36)+(P36*Q36)+(Q36*L36))</f>
        <v>0.1279647551946356</v>
      </c>
      <c r="L36">
        <f>(MAX(D:D)-D36)/(MAX(D:D)-MIN(D:D))</f>
        <v>0.20125969296444388</v>
      </c>
      <c r="M36">
        <f>(MAX(E:E)-E36)/(MAX(E:E)-MIN(E:E))</f>
        <v>0.18865420539539401</v>
      </c>
      <c r="N36">
        <f>(MAX(F:F)-F36)/(MAX(F:F)-MIN(F:F))</f>
        <v>0.13409588693748292</v>
      </c>
      <c r="O36">
        <f>(MAX(G:G)-G36)/(MAX(G:G)-MIN(G:G))</f>
        <v>0.12076614445157617</v>
      </c>
      <c r="P36">
        <f>(MAX(H:H)-H36)/(MAX(H:H)-MIN(H:H))</f>
        <v>0.33732957220781185</v>
      </c>
      <c r="Q36">
        <f>(MAX(I:I)-I36)/(MAX(I:I)-MIN(I:I))</f>
        <v>0.32552350969890859</v>
      </c>
    </row>
    <row r="37" spans="1:17" x14ac:dyDescent="0.6">
      <c r="A37">
        <v>10</v>
      </c>
      <c r="B37" s="31" t="s">
        <v>572</v>
      </c>
      <c r="C37" s="31" t="s">
        <v>184</v>
      </c>
      <c r="D37" s="31">
        <v>8.7546266619999997</v>
      </c>
      <c r="E37">
        <v>0.45755299199999999</v>
      </c>
      <c r="F37" s="31">
        <v>7.1063465920000004</v>
      </c>
      <c r="G37" s="31">
        <v>0.54180819000000002</v>
      </c>
      <c r="H37" s="31">
        <v>6.0701141779999999</v>
      </c>
      <c r="I37" s="31">
        <v>0.46117703900000001</v>
      </c>
      <c r="J37">
        <f>SUM(L37:Q37)</f>
        <v>1.3228095569345784</v>
      </c>
      <c r="K37">
        <f>0.5*SIN(RADIANS(60))*((L37*M37)+(M37*N37)+(N37*O37)+(O37*P37)+(P37*Q37)+(Q37*L37))</f>
        <v>0.12747756039397326</v>
      </c>
      <c r="L37">
        <f>(MAX(D:D)-D37)/(MAX(D:D)-MIN(D:D))</f>
        <v>0.2407789014496208</v>
      </c>
      <c r="M37">
        <f>(MAX(E:E)-E37)/(MAX(E:E)-MIN(E:E))</f>
        <v>0.22040242521897718</v>
      </c>
      <c r="N37">
        <f>(MAX(F:F)-F37)/(MAX(F:F)-MIN(F:F))</f>
        <v>0.16964208209112919</v>
      </c>
      <c r="O37">
        <f>(MAX(G:G)-G37)/(MAX(G:G)-MIN(G:G))</f>
        <v>0.15287835155649887</v>
      </c>
      <c r="P37">
        <f>(MAX(H:H)-H37)/(MAX(H:H)-MIN(H:H))</f>
        <v>0.27754921671265304</v>
      </c>
      <c r="Q37">
        <f>(MAX(I:I)-I37)/(MAX(I:I)-MIN(I:I))</f>
        <v>0.26155857990569931</v>
      </c>
    </row>
    <row r="38" spans="1:17" x14ac:dyDescent="0.6">
      <c r="A38">
        <v>10</v>
      </c>
      <c r="B38" s="31" t="s">
        <v>572</v>
      </c>
      <c r="C38" s="31" t="s">
        <v>167</v>
      </c>
      <c r="D38" s="31">
        <v>8.7786137400000008</v>
      </c>
      <c r="E38">
        <v>0.459388764</v>
      </c>
      <c r="F38" s="31">
        <v>7.1284641290000001</v>
      </c>
      <c r="G38" s="31">
        <v>0.54342142699999996</v>
      </c>
      <c r="H38" s="31">
        <v>6.1432643230000004</v>
      </c>
      <c r="I38" s="31">
        <v>0.47157645999999998</v>
      </c>
      <c r="J38">
        <f>SUM(L38:Q38)</f>
        <v>1.1986969667456959</v>
      </c>
      <c r="K38">
        <f>0.5*SIN(RADIANS(60))*((L38*M38)+(M38*N38)+(N38*O38)+(O38*P38)+(P38*Q38)+(Q38*L38))</f>
        <v>0.10373679280678005</v>
      </c>
      <c r="L38">
        <f>(MAX(D:D)-D38)/(MAX(D:D)-MIN(D:D))</f>
        <v>0.23019002902933877</v>
      </c>
      <c r="M38">
        <f>(MAX(E:E)-E38)/(MAX(E:E)-MIN(E:E))</f>
        <v>0.21291790465893876</v>
      </c>
      <c r="N38">
        <f>(MAX(F:F)-F38)/(MAX(F:F)-MIN(F:F))</f>
        <v>0.15893081505033951</v>
      </c>
      <c r="O38">
        <f>(MAX(G:G)-G38)/(MAX(G:G)-MIN(G:G))</f>
        <v>0.14356031870753638</v>
      </c>
      <c r="P38">
        <f>(MAX(H:H)-H38)/(MAX(H:H)-MIN(H:H))</f>
        <v>0.24624555543238943</v>
      </c>
      <c r="Q38">
        <f>(MAX(I:I)-I38)/(MAX(I:I)-MIN(I:I))</f>
        <v>0.20685234386715315</v>
      </c>
    </row>
    <row r="39" spans="1:17" x14ac:dyDescent="0.6">
      <c r="A39">
        <v>10</v>
      </c>
      <c r="B39" s="31" t="s">
        <v>572</v>
      </c>
      <c r="C39" s="31" t="s">
        <v>171</v>
      </c>
      <c r="D39" s="31">
        <v>8.8627020529999996</v>
      </c>
      <c r="E39">
        <v>0.46680387499999998</v>
      </c>
      <c r="F39" s="31">
        <v>7.1943175830000001</v>
      </c>
      <c r="G39" s="31">
        <v>0.54824348899999997</v>
      </c>
      <c r="H39" s="31">
        <v>6.1477320110000004</v>
      </c>
      <c r="I39" s="31">
        <v>0.46646756299999997</v>
      </c>
      <c r="J39">
        <f>SUM(L39:Q39)</f>
        <v>1.096564520273323</v>
      </c>
      <c r="K39">
        <f>0.5*SIN(RADIANS(60))*((L39*M39)+(M39*N39)+(N39*O39)+(O39*P39)+(P39*Q39)+(Q39*L39))</f>
        <v>8.8197604956496742E-2</v>
      </c>
      <c r="L39">
        <f>(MAX(D:D)-D39)/(MAX(D:D)-MIN(D:D))</f>
        <v>0.19307002556773797</v>
      </c>
      <c r="M39">
        <f>(MAX(E:E)-E39)/(MAX(E:E)-MIN(E:E))</f>
        <v>0.18268618158305211</v>
      </c>
      <c r="N39">
        <f>(MAX(F:F)-F39)/(MAX(F:F)-MIN(F:F))</f>
        <v>0.12703874988266886</v>
      </c>
      <c r="O39">
        <f>(MAX(G:G)-G39)/(MAX(G:G)-MIN(G:G))</f>
        <v>0.11570816052139522</v>
      </c>
      <c r="P39">
        <f>(MAX(H:H)-H39)/(MAX(H:H)-MIN(H:H))</f>
        <v>0.24433366596370965</v>
      </c>
      <c r="Q39">
        <f>(MAX(I:I)-I39)/(MAX(I:I)-MIN(I:I))</f>
        <v>0.23372773675475925</v>
      </c>
    </row>
    <row r="40" spans="1:17" x14ac:dyDescent="0.6">
      <c r="A40">
        <v>10</v>
      </c>
      <c r="B40" s="31" t="s">
        <v>571</v>
      </c>
      <c r="C40" t="s">
        <v>177</v>
      </c>
      <c r="D40" s="31">
        <v>8.832915989</v>
      </c>
      <c r="E40">
        <v>0.46488507400000001</v>
      </c>
      <c r="F40" s="31">
        <v>7.1605576739999997</v>
      </c>
      <c r="G40" s="31">
        <v>0.54602441700000004</v>
      </c>
      <c r="H40" s="31">
        <v>6.2272491460000001</v>
      </c>
      <c r="I40" s="31">
        <v>0.470602295</v>
      </c>
      <c r="J40">
        <f>SUM(L40:Q40)</f>
        <v>1.0909240714045851</v>
      </c>
      <c r="K40">
        <f>0.5*SIN(RADIANS(60))*((L40*M40)+(M40*N40)+(N40*O40)+(O40*P40)+(P40*Q40)+(Q40*L40))</f>
        <v>8.6756490163112709E-2</v>
      </c>
      <c r="L40">
        <f>(MAX(D:D)-D40)/(MAX(D:D)-MIN(D:D))</f>
        <v>0.20621880640708559</v>
      </c>
      <c r="M40">
        <f>(MAX(E:E)-E40)/(MAX(E:E)-MIN(E:E))</f>
        <v>0.19050921490915249</v>
      </c>
      <c r="N40">
        <f>(MAX(F:F)-F40)/(MAX(F:F)-MIN(F:F))</f>
        <v>0.14338828286058444</v>
      </c>
      <c r="O40">
        <f>(MAX(G:G)-G40)/(MAX(G:G)-MIN(G:G))</f>
        <v>0.12852548729372509</v>
      </c>
      <c r="P40">
        <f>(MAX(H:H)-H40)/(MAX(H:H)-MIN(H:H))</f>
        <v>0.21030533341540139</v>
      </c>
      <c r="Q40">
        <f>(MAX(I:I)-I40)/(MAX(I:I)-MIN(I:I))</f>
        <v>0.21197694651863624</v>
      </c>
    </row>
    <row r="41" spans="1:17" x14ac:dyDescent="0.6">
      <c r="A41">
        <v>10</v>
      </c>
      <c r="B41" s="31" t="s">
        <v>572</v>
      </c>
      <c r="C41" s="31" t="s">
        <v>181</v>
      </c>
      <c r="D41" s="31">
        <v>8.8719059720000004</v>
      </c>
      <c r="E41">
        <v>0.467819084</v>
      </c>
      <c r="F41" s="31">
        <v>7.204008784</v>
      </c>
      <c r="G41" s="31">
        <v>0.54894206599999995</v>
      </c>
      <c r="H41" s="31">
        <v>6.1036284500000004</v>
      </c>
      <c r="I41" s="31">
        <v>0.46982194300000002</v>
      </c>
      <c r="J41">
        <f>SUM(L41:Q41)</f>
        <v>1.0808619866344906</v>
      </c>
      <c r="K41">
        <f>0.5*SIN(RADIANS(60))*((L41*M41)+(M41*N41)+(N41*O41)+(O41*P41)+(P41*Q41)+(Q41*L41))</f>
        <v>8.5027386670938621E-2</v>
      </c>
      <c r="L41">
        <f>(MAX(D:D)-D41)/(MAX(D:D)-MIN(D:D))</f>
        <v>0.18900704115347899</v>
      </c>
      <c r="M41">
        <f>(MAX(E:E)-E41)/(MAX(E:E)-MIN(E:E))</f>
        <v>0.17854713129073033</v>
      </c>
      <c r="N41">
        <f>(MAX(F:F)-F41)/(MAX(F:F)-MIN(F:F))</f>
        <v>0.12234541346564522</v>
      </c>
      <c r="O41">
        <f>(MAX(G:G)-G41)/(MAX(G:G)-MIN(G:G))</f>
        <v>0.11167319018936729</v>
      </c>
      <c r="P41">
        <f>(MAX(H:H)-H41)/(MAX(H:H)-MIN(H:H))</f>
        <v>0.26320721617741644</v>
      </c>
      <c r="Q41">
        <f>(MAX(I:I)-I41)/(MAX(I:I)-MIN(I:I))</f>
        <v>0.21608199435785255</v>
      </c>
    </row>
    <row r="42" spans="1:17" x14ac:dyDescent="0.6">
      <c r="A42">
        <v>10</v>
      </c>
      <c r="B42" s="31" t="s">
        <v>572</v>
      </c>
      <c r="C42" s="31" t="s">
        <v>7</v>
      </c>
      <c r="D42" s="31">
        <v>8.8967624240000003</v>
      </c>
      <c r="E42">
        <v>0.46913967000000001</v>
      </c>
      <c r="F42" s="31">
        <v>7.2311503269999999</v>
      </c>
      <c r="G42" s="31">
        <v>0.55074725800000002</v>
      </c>
      <c r="H42" s="31">
        <v>6.1222732339999997</v>
      </c>
      <c r="I42" s="31">
        <v>0.46703848100000001</v>
      </c>
      <c r="J42">
        <f>SUM(L42:Q42)</f>
        <v>1.0475977836770758</v>
      </c>
      <c r="K42">
        <f>0.5*SIN(RADIANS(60))*((L42*M42)+(M42*N42)+(N42*O42)+(O42*P42)+(P42*Q42)+(Q42*L42))</f>
        <v>8.0800198100749857E-2</v>
      </c>
      <c r="L42">
        <f>(MAX(D:D)-D42)/(MAX(D:D)-MIN(D:D))</f>
        <v>0.17803439166908366</v>
      </c>
      <c r="M42">
        <f>(MAX(E:E)-E42)/(MAX(E:E)-MIN(E:E))</f>
        <v>0.17316304597496182</v>
      </c>
      <c r="N42">
        <f>(MAX(F:F)-F42)/(MAX(F:F)-MIN(F:F))</f>
        <v>0.10920107849868761</v>
      </c>
      <c r="O42">
        <f>(MAX(G:G)-G42)/(MAX(G:G)-MIN(G:G))</f>
        <v>0.1012464281236041</v>
      </c>
      <c r="P42">
        <f>(MAX(H:H)-H42)/(MAX(H:H)-MIN(H:H))</f>
        <v>0.25522842128945483</v>
      </c>
      <c r="Q42">
        <f>(MAX(I:I)-I42)/(MAX(I:I)-MIN(I:I))</f>
        <v>0.23072441812128372</v>
      </c>
    </row>
    <row r="43" spans="1:17" x14ac:dyDescent="0.6">
      <c r="A43">
        <v>10</v>
      </c>
      <c r="B43" s="31" t="s">
        <v>572</v>
      </c>
      <c r="C43" s="31" t="s">
        <v>177</v>
      </c>
      <c r="D43" s="31">
        <v>8.9115754890000005</v>
      </c>
      <c r="E43">
        <v>0.47051156300000002</v>
      </c>
      <c r="F43" s="31">
        <v>7.213926624</v>
      </c>
      <c r="G43" s="31">
        <v>0.54966122399999995</v>
      </c>
      <c r="H43" s="31">
        <v>6.2851549960000002</v>
      </c>
      <c r="I43" s="31">
        <v>0.47831397199999998</v>
      </c>
      <c r="J43">
        <f>SUM(L43:Q43)</f>
        <v>0.92106162504427402</v>
      </c>
      <c r="K43">
        <f>0.5*SIN(RADIANS(60))*((L43*M43)+(M43*N43)+(N43*O43)+(O43*P43)+(P43*Q43)+(Q43*L43))</f>
        <v>6.1581488505456361E-2</v>
      </c>
      <c r="L43">
        <f>(MAX(D:D)-D43)/(MAX(D:D)-MIN(D:D))</f>
        <v>0.17149530193758988</v>
      </c>
      <c r="M43">
        <f>(MAX(E:E)-E43)/(MAX(E:E)-MIN(E:E))</f>
        <v>0.16756977983697038</v>
      </c>
      <c r="N43">
        <f>(MAX(F:F)-F43)/(MAX(F:F)-MIN(F:F))</f>
        <v>0.11754231840547526</v>
      </c>
      <c r="O43">
        <f>(MAX(G:G)-G43)/(MAX(G:G)-MIN(G:G))</f>
        <v>0.10751934430832537</v>
      </c>
      <c r="P43">
        <f>(MAX(H:H)-H43)/(MAX(H:H)-MIN(H:H))</f>
        <v>0.18552527160491911</v>
      </c>
      <c r="Q43">
        <f>(MAX(I:I)-I43)/(MAX(I:I)-MIN(I:I))</f>
        <v>0.171409608950994</v>
      </c>
    </row>
    <row r="44" spans="1:17" x14ac:dyDescent="0.6">
      <c r="A44">
        <v>10</v>
      </c>
      <c r="B44" s="31" t="s">
        <v>571</v>
      </c>
      <c r="C44" s="31" t="s">
        <v>8</v>
      </c>
      <c r="D44" s="31">
        <v>8.9246045469999995</v>
      </c>
      <c r="E44">
        <v>0.47413254199999999</v>
      </c>
      <c r="F44" s="31">
        <v>7.2385178420000003</v>
      </c>
      <c r="G44" s="31">
        <v>0.55194834100000001</v>
      </c>
      <c r="H44" s="31">
        <v>6.258300781</v>
      </c>
      <c r="I44" s="31">
        <v>0.47728499800000002</v>
      </c>
      <c r="J44">
        <f>SUM(L44:Q44)</f>
        <v>0.89233242821274439</v>
      </c>
      <c r="K44">
        <f>0.5*SIN(RADIANS(60))*((L44*M44)+(M44*N44)+(N44*O44)+(O44*P44)+(P44*Q44)+(Q44*L44))</f>
        <v>5.8090904625921667E-2</v>
      </c>
      <c r="L44">
        <f>(MAX(D:D)-D44)/(MAX(D:D)-MIN(D:D))</f>
        <v>0.16574374549880908</v>
      </c>
      <c r="M44">
        <f>(MAX(E:E)-E44)/(MAX(E:E)-MIN(E:E))</f>
        <v>0.15280689437354303</v>
      </c>
      <c r="N44">
        <f>(MAX(F:F)-F44)/(MAX(F:F)-MIN(F:F))</f>
        <v>0.1056330763024201</v>
      </c>
      <c r="O44">
        <f>(MAX(G:G)-G44)/(MAX(G:G)-MIN(G:G))</f>
        <v>9.4308990630953729E-2</v>
      </c>
      <c r="P44">
        <f>(MAX(H:H)-H44)/(MAX(H:H)-MIN(H:H))</f>
        <v>0.19701718662856496</v>
      </c>
      <c r="Q44">
        <f>(MAX(I:I)-I44)/(MAX(I:I)-MIN(I:I))</f>
        <v>0.17682253477845353</v>
      </c>
    </row>
    <row r="45" spans="1:17" x14ac:dyDescent="0.6">
      <c r="A45">
        <v>10</v>
      </c>
      <c r="B45" s="31" t="s">
        <v>572</v>
      </c>
      <c r="C45" s="31" t="s">
        <v>174</v>
      </c>
      <c r="D45" s="31">
        <v>8.907252154</v>
      </c>
      <c r="E45">
        <v>0.470730125</v>
      </c>
      <c r="F45" s="31">
        <v>7.2217263770000004</v>
      </c>
      <c r="G45" s="31">
        <v>0.55034154199999996</v>
      </c>
      <c r="H45" s="31">
        <v>6.3215509220000001</v>
      </c>
      <c r="I45" s="31">
        <v>0.48160788399999999</v>
      </c>
      <c r="J45">
        <f>SUM(L45:Q45)</f>
        <v>0.88146938059674429</v>
      </c>
      <c r="K45">
        <f>0.5*SIN(RADIANS(60))*((L45*M45)+(M45*N45)+(N45*O45)+(O45*P45)+(P45*Q45)+(Q45*L45))</f>
        <v>5.6360742899805381E-2</v>
      </c>
      <c r="L45">
        <f>(MAX(D:D)-D45)/(MAX(D:D)-MIN(D:D))</f>
        <v>0.17340379795136626</v>
      </c>
      <c r="M45">
        <f>(MAX(E:E)-E45)/(MAX(E:E)-MIN(E:E))</f>
        <v>0.1666786932626883</v>
      </c>
      <c r="N45">
        <f>(MAX(F:F)-F45)/(MAX(F:F)-MIN(F:F))</f>
        <v>0.11376498835126504</v>
      </c>
      <c r="O45">
        <f>(MAX(G:G)-G45)/(MAX(G:G)-MIN(G:G))</f>
        <v>0.10358983768794607</v>
      </c>
      <c r="P45">
        <f>(MAX(H:H)-H45)/(MAX(H:H)-MIN(H:H))</f>
        <v>0.16995010439936495</v>
      </c>
      <c r="Q45">
        <f>(MAX(I:I)-I45)/(MAX(I:I)-MIN(I:I))</f>
        <v>0.15408195894411372</v>
      </c>
    </row>
    <row r="46" spans="1:17" x14ac:dyDescent="0.6">
      <c r="A46">
        <v>10</v>
      </c>
      <c r="B46" s="31" t="s">
        <v>571</v>
      </c>
      <c r="C46" s="31" t="s">
        <v>184</v>
      </c>
      <c r="D46" s="31">
        <v>8.9927831440000006</v>
      </c>
      <c r="E46">
        <v>0.47943447099999997</v>
      </c>
      <c r="F46" s="31">
        <v>7.294217025</v>
      </c>
      <c r="G46" s="31">
        <v>0.55601800400000001</v>
      </c>
      <c r="H46" s="31">
        <v>6.2742767329999998</v>
      </c>
      <c r="I46" s="31">
        <v>0.48019205399999998</v>
      </c>
      <c r="J46">
        <f>SUM(L46:Q46)</f>
        <v>0.76800935500380108</v>
      </c>
      <c r="K46">
        <f>0.5*SIN(RADIANS(60))*((L46*M46)+(M46*N46)+(N46*O46)+(O46*P46)+(P46*Q46)+(Q46*L46))</f>
        <v>4.3206140816874072E-2</v>
      </c>
      <c r="L46">
        <f>(MAX(D:D)-D46)/(MAX(D:D)-MIN(D:D))</f>
        <v>0.13564693815000231</v>
      </c>
      <c r="M46">
        <f>(MAX(E:E)-E46)/(MAX(E:E)-MIN(E:E))</f>
        <v>0.13119070423208556</v>
      </c>
      <c r="N46">
        <f>(MAX(F:F)-F46)/(MAX(F:F)-MIN(F:F))</f>
        <v>7.8658606990271232E-2</v>
      </c>
      <c r="O46">
        <f>(MAX(G:G)-G46)/(MAX(G:G)-MIN(G:G))</f>
        <v>7.0802677846031961E-2</v>
      </c>
      <c r="P46">
        <f>(MAX(H:H)-H46)/(MAX(H:H)-MIN(H:H))</f>
        <v>0.19018048398036461</v>
      </c>
      <c r="Q46">
        <f>(MAX(I:I)-I46)/(MAX(I:I)-MIN(I:I))</f>
        <v>0.16152994380504546</v>
      </c>
    </row>
    <row r="47" spans="1:17" x14ac:dyDescent="0.6">
      <c r="A47">
        <v>10</v>
      </c>
      <c r="B47" s="31" t="s">
        <v>571</v>
      </c>
      <c r="C47" s="31" t="s">
        <v>171</v>
      </c>
      <c r="D47" s="31">
        <v>9.1157378490000003</v>
      </c>
      <c r="E47">
        <v>0.49034512699999999</v>
      </c>
      <c r="F47" s="31">
        <v>7.4026405019999997</v>
      </c>
      <c r="G47" s="31">
        <v>0.56365294099999996</v>
      </c>
      <c r="H47" s="31">
        <v>6.3517761229999996</v>
      </c>
      <c r="I47" s="31">
        <v>0.48408768699999999</v>
      </c>
      <c r="J47">
        <f>SUM(L47:Q47)</f>
        <v>0.51898354638203248</v>
      </c>
      <c r="K47">
        <f>0.5*SIN(RADIANS(60))*((L47*M47)+(M47*N47)+(N47*O47)+(O47*P47)+(P47*Q47)+(Q47*L47))</f>
        <v>2.0713202173123189E-2</v>
      </c>
      <c r="L47">
        <f>(MAX(D:D)-D47)/(MAX(D:D)-MIN(D:D))</f>
        <v>8.136972753192076E-2</v>
      </c>
      <c r="M47">
        <f>(MAX(E:E)-E47)/(MAX(E:E)-MIN(E:E))</f>
        <v>8.6707495448257135E-2</v>
      </c>
      <c r="N47">
        <f>(MAX(F:F)-F47)/(MAX(F:F)-MIN(F:F))</f>
        <v>2.6150372658486111E-2</v>
      </c>
      <c r="O47">
        <f>(MAX(G:G)-G47)/(MAX(G:G)-MIN(G:G))</f>
        <v>2.670339561672426E-2</v>
      </c>
      <c r="P47">
        <f>(MAX(H:H)-H47)/(MAX(H:H)-MIN(H:H))</f>
        <v>0.15701561938594683</v>
      </c>
      <c r="Q47">
        <f>(MAX(I:I)-I47)/(MAX(I:I)-MIN(I:I))</f>
        <v>0.14103693574069737</v>
      </c>
    </row>
    <row r="48" spans="1:17" x14ac:dyDescent="0.6">
      <c r="A48">
        <v>10</v>
      </c>
      <c r="B48" s="31" t="s">
        <v>571</v>
      </c>
      <c r="C48" t="s">
        <v>174</v>
      </c>
      <c r="D48" s="31">
        <v>9.0803457499999993</v>
      </c>
      <c r="E48">
        <v>0.487208686</v>
      </c>
      <c r="F48" s="31">
        <v>7.3893293839999998</v>
      </c>
      <c r="G48" s="31">
        <v>0.562754325</v>
      </c>
      <c r="H48" s="31">
        <v>6.3973999020000001</v>
      </c>
      <c r="I48" s="31">
        <v>0.487936227</v>
      </c>
      <c r="J48">
        <f>SUM(L48:Q48)</f>
        <v>0.51926189267777023</v>
      </c>
      <c r="K48">
        <f>0.5*SIN(RADIANS(60))*((L48*M48)+(M48*N48)+(N48*O48)+(O48*P48)+(P48*Q48)+(Q48*L48))</f>
        <v>2.0196626170014512E-2</v>
      </c>
      <c r="L48">
        <f>(MAX(D:D)-D48)/(MAX(D:D)-MIN(D:D))</f>
        <v>9.6993240366497105E-2</v>
      </c>
      <c r="M48">
        <f>(MAX(E:E)-E48)/(MAX(E:E)-MIN(E:E))</f>
        <v>9.949489886755282E-2</v>
      </c>
      <c r="N48">
        <f>(MAX(F:F)-F48)/(MAX(F:F)-MIN(F:F))</f>
        <v>3.2596792958787278E-2</v>
      </c>
      <c r="O48">
        <f>(MAX(G:G)-G48)/(MAX(G:G)-MIN(G:G))</f>
        <v>3.1893788228971119E-2</v>
      </c>
      <c r="P48">
        <f>(MAX(H:H)-H48)/(MAX(H:H)-MIN(H:H))</f>
        <v>0.13749151148237931</v>
      </c>
      <c r="Q48">
        <f>(MAX(I:I)-I48)/(MAX(I:I)-MIN(I:I))</f>
        <v>0.12079166077358257</v>
      </c>
    </row>
    <row r="49" spans="1:17" x14ac:dyDescent="0.6">
      <c r="A49">
        <v>10</v>
      </c>
      <c r="B49" s="31" t="s">
        <v>571</v>
      </c>
      <c r="C49" s="31" t="s">
        <v>181</v>
      </c>
      <c r="D49" s="31">
        <v>9.2171419159999992</v>
      </c>
      <c r="E49">
        <v>0.50460266499999995</v>
      </c>
      <c r="F49" s="31">
        <v>7.449926477</v>
      </c>
      <c r="G49" s="31">
        <v>0.56765030000000005</v>
      </c>
      <c r="H49" s="31">
        <v>6.3823394779999996</v>
      </c>
      <c r="I49" s="31">
        <v>0.48773910100000001</v>
      </c>
      <c r="J49">
        <f>SUM(L49:Q49)</f>
        <v>0.3378148534843744</v>
      </c>
      <c r="K49">
        <f>0.5*SIN(RADIANS(60))*((L49*M49)+(M49*N49)+(N49*O49)+(O49*P49)+(P49*Q49)+(Q49*L49))</f>
        <v>1.0247809844188502E-2</v>
      </c>
      <c r="L49">
        <f>(MAX(D:D)-D49)/(MAX(D:D)-MIN(D:D))</f>
        <v>3.6605845563442971E-2</v>
      </c>
      <c r="M49">
        <f>(MAX(E:E)-E49)/(MAX(E:E)-MIN(E:E))</f>
        <v>2.8578906333417038E-2</v>
      </c>
      <c r="N49">
        <f>(MAX(F:F)-F49)/(MAX(F:F)-MIN(F:F))</f>
        <v>3.2503225530374829E-3</v>
      </c>
      <c r="O49">
        <f>(MAX(G:G)-G49)/(MAX(G:G)-MIN(G:G))</f>
        <v>3.6147096573157888E-3</v>
      </c>
      <c r="P49">
        <f>(MAX(H:H)-H49)/(MAX(H:H)-MIN(H:H))</f>
        <v>0.14393642572873064</v>
      </c>
      <c r="Q49">
        <f>(MAX(I:I)-I49)/(MAX(I:I)-MIN(I:I))</f>
        <v>0.1218286436484305</v>
      </c>
    </row>
    <row r="50" spans="1:17" x14ac:dyDescent="0.6">
      <c r="A50">
        <v>10</v>
      </c>
      <c r="B50" s="31" t="s">
        <v>571</v>
      </c>
      <c r="C50" s="31" t="s">
        <v>7</v>
      </c>
      <c r="D50" s="31">
        <v>9.3000655020000007</v>
      </c>
      <c r="E50">
        <v>0.51161237999999998</v>
      </c>
      <c r="F50" s="31">
        <v>7.4566380199999998</v>
      </c>
      <c r="G50" s="31">
        <v>0.56827611700000003</v>
      </c>
      <c r="H50" s="31">
        <v>6.7186889650000001</v>
      </c>
      <c r="I50" s="31">
        <v>0.51089820399999997</v>
      </c>
      <c r="J50">
        <f>SUM(L50:Q50)</f>
        <v>0</v>
      </c>
      <c r="K50">
        <f>0.5*SIN(RADIANS(60))*((L50*M50)+(M50*N50)+(N50*O50)+(O50*P50)+(P50*Q50)+(Q50*L50))</f>
        <v>0</v>
      </c>
      <c r="L50">
        <f>(MAX(D:D)-D50)/(MAX(D:D)-MIN(D:D))</f>
        <v>0</v>
      </c>
      <c r="M50">
        <f>(MAX(E:E)-E50)/(MAX(E:E)-MIN(E:E))</f>
        <v>0</v>
      </c>
      <c r="N50">
        <f>(MAX(F:F)-F50)/(MAX(F:F)-MIN(F:F))</f>
        <v>0</v>
      </c>
      <c r="O50">
        <f>(MAX(G:G)-G50)/(MAX(G:G)-MIN(G:G))</f>
        <v>0</v>
      </c>
      <c r="P50">
        <f>(MAX(H:H)-H50)/(MAX(H:H)-MIN(H:H))</f>
        <v>0</v>
      </c>
      <c r="Q50">
        <f>(MAX(I:I)-I50)/(MAX(I:I)-MIN(I:I))</f>
        <v>0</v>
      </c>
    </row>
  </sheetData>
  <autoFilter ref="A1:P33" xr:uid="{7428AB68-54D6-4E57-B51C-3C52895577F3}">
    <sortState xmlns:xlrd2="http://schemas.microsoft.com/office/spreadsheetml/2017/richdata2" ref="A2:P50">
      <sortCondition descending="1" ref="K1:K33"/>
    </sortState>
  </autoFilter>
  <phoneticPr fontId="1" type="noConversion"/>
  <conditionalFormatting sqref="K1">
    <cfRule type="top10" dxfId="151" priority="7" percent="1" bottom="1" rank="10"/>
  </conditionalFormatting>
  <conditionalFormatting sqref="K1">
    <cfRule type="top10" dxfId="150" priority="8" percent="1" bottom="1" rank="5"/>
  </conditionalFormatting>
  <conditionalFormatting sqref="D1:D1048576">
    <cfRule type="top10" dxfId="149" priority="6" percent="1" bottom="1" rank="5"/>
  </conditionalFormatting>
  <conditionalFormatting sqref="E1:E1048576">
    <cfRule type="top10" dxfId="148" priority="5" percent="1" bottom="1" rank="5"/>
  </conditionalFormatting>
  <conditionalFormatting sqref="F1:F1048576">
    <cfRule type="top10" dxfId="147" priority="4" percent="1" bottom="1" rank="5"/>
  </conditionalFormatting>
  <conditionalFormatting sqref="G1:G1048576">
    <cfRule type="top10" dxfId="146" priority="3" percent="1" bottom="1" rank="5"/>
  </conditionalFormatting>
  <conditionalFormatting sqref="H1:H1048576">
    <cfRule type="top10" dxfId="145" priority="2" percent="1" bottom="1" rank="5"/>
  </conditionalFormatting>
  <conditionalFormatting sqref="I1:I1048576">
    <cfRule type="top10" dxfId="144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982A-C70B-44F7-9361-B1E1B9582F18}">
  <dimension ref="A1:Q50"/>
  <sheetViews>
    <sheetView workbookViewId="0">
      <selection activeCell="B4" sqref="B4:C4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23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20</v>
      </c>
      <c r="B2" t="s">
        <v>92</v>
      </c>
      <c r="C2" t="s">
        <v>174</v>
      </c>
      <c r="D2">
        <v>6.9285879279999998</v>
      </c>
      <c r="E2">
        <v>0.25792474900000001</v>
      </c>
      <c r="F2">
        <v>5.3191567879999999</v>
      </c>
      <c r="G2">
        <v>0.38953560999999998</v>
      </c>
      <c r="H2">
        <v>4.2520141599999999</v>
      </c>
      <c r="I2">
        <v>0.30999250699999997</v>
      </c>
      <c r="J2">
        <f>SUM(L2:Q2)</f>
        <v>5.9414179543436783</v>
      </c>
      <c r="K2">
        <f>0.5*SIN(RADIANS(60))*((L2*M2)+(M2*N2)+(N2*O2)+(O2*P2)+(P2*Q2)+(Q2*L2))</f>
        <v>2.5476279381270004</v>
      </c>
      <c r="L2">
        <f>(MAX(D:D)-D2)/(MAX(D:D)-MIN(D:D))</f>
        <v>0.97487973985414111</v>
      </c>
      <c r="M2">
        <f>(MAX(E:E)-E2)/(MAX(E:E)-MIN(E:E))</f>
        <v>0.98149101065540623</v>
      </c>
      <c r="N2">
        <f>(MAX(F:F)-F2)/(MAX(F:F)-MIN(F:F))</f>
        <v>0.99254696241590057</v>
      </c>
      <c r="O2">
        <f>(MAX(G:G)-G2)/(MAX(G:G)-MIN(G:G))</f>
        <v>0.99250024141823046</v>
      </c>
      <c r="P2">
        <f>(MAX(H:H)-H2)/(MAX(H:H)-MIN(H:H))</f>
        <v>1</v>
      </c>
      <c r="Q2">
        <f>(MAX(I:I)-I2)/(MAX(I:I)-MIN(I:I))</f>
        <v>1</v>
      </c>
    </row>
    <row r="3" spans="1:17" x14ac:dyDescent="0.6">
      <c r="A3">
        <v>20</v>
      </c>
      <c r="B3" t="s">
        <v>6</v>
      </c>
      <c r="C3" t="s">
        <v>181</v>
      </c>
      <c r="D3">
        <v>6.9435927069999996</v>
      </c>
      <c r="E3">
        <v>0.25917542999999998</v>
      </c>
      <c r="F3">
        <v>5.3097110320000001</v>
      </c>
      <c r="G3">
        <v>0.388974237</v>
      </c>
      <c r="H3">
        <v>4.2913208010000004</v>
      </c>
      <c r="I3">
        <v>0.31725101500000003</v>
      </c>
      <c r="J3">
        <f>SUM(L3:Q3)</f>
        <v>5.8837240378612217</v>
      </c>
      <c r="K3">
        <f>0.5*SIN(RADIANS(60))*((L3*M3)+(M3*N3)+(N3*O3)+(O3*P3)+(P3*Q3)+(Q3*L3))</f>
        <v>2.4985491121432069</v>
      </c>
      <c r="L3">
        <f>(MAX(D:D)-D3)/(MAX(D:D)-MIN(D:D))</f>
        <v>0.96787233806315043</v>
      </c>
      <c r="M3">
        <f>(MAX(E:E)-E3)/(MAX(E:E)-MIN(E:E))</f>
        <v>0.97614099306706859</v>
      </c>
      <c r="N3">
        <f>(MAX(F:F)-F3)/(MAX(F:F)-MIN(F:F))</f>
        <v>0.99718074856052186</v>
      </c>
      <c r="O3">
        <f>(MAX(G:G)-G3)/(MAX(G:G)-MIN(G:G))</f>
        <v>0.99577183287692617</v>
      </c>
      <c r="P3">
        <f>(MAX(H:H)-H3)/(MAX(H:H)-MIN(H:H))</f>
        <v>0.9837398372470294</v>
      </c>
      <c r="Q3">
        <f>(MAX(I:I)-I3)/(MAX(I:I)-MIN(I:I))</f>
        <v>0.96301828804652501</v>
      </c>
    </row>
    <row r="4" spans="1:17" x14ac:dyDescent="0.6">
      <c r="A4">
        <v>20</v>
      </c>
      <c r="B4" t="s">
        <v>99</v>
      </c>
      <c r="C4" t="s">
        <v>177</v>
      </c>
      <c r="D4">
        <v>6.8747985260000002</v>
      </c>
      <c r="E4">
        <v>0.25359787700000003</v>
      </c>
      <c r="F4">
        <v>5.3039641199999998</v>
      </c>
      <c r="G4">
        <v>0.38824872500000002</v>
      </c>
      <c r="H4">
        <v>4.4156494139999998</v>
      </c>
      <c r="I4">
        <v>0.32047466499999999</v>
      </c>
      <c r="J4">
        <f>SUM(L4:Q4)</f>
        <v>5.8789021989658643</v>
      </c>
      <c r="K4">
        <f>0.5*SIN(RADIANS(60))*((L4*M4)+(M4*N4)+(N4*O4)+(O4*P4)+(P4*Q4)+(Q4*L4))</f>
        <v>2.4947678446894415</v>
      </c>
      <c r="L4">
        <f>(MAX(D:D)-D4)/(MAX(D:D)-MIN(D:D))</f>
        <v>1</v>
      </c>
      <c r="M4">
        <f>(MAX(E:E)-E4)/(MAX(E:E)-MIN(E:E))</f>
        <v>1</v>
      </c>
      <c r="N4">
        <f>(MAX(F:F)-F4)/(MAX(F:F)-MIN(F:F))</f>
        <v>1</v>
      </c>
      <c r="O4">
        <f>(MAX(G:G)-G4)/(MAX(G:G)-MIN(G:G))</f>
        <v>1</v>
      </c>
      <c r="P4">
        <f>(MAX(H:H)-H4)/(MAX(H:H)-MIN(H:H))</f>
        <v>0.93230823610280888</v>
      </c>
      <c r="Q4">
        <f>(MAX(I:I)-I4)/(MAX(I:I)-MIN(I:I))</f>
        <v>0.94659396286305508</v>
      </c>
    </row>
    <row r="5" spans="1:17" x14ac:dyDescent="0.6">
      <c r="A5">
        <v>20</v>
      </c>
      <c r="B5" t="s">
        <v>6</v>
      </c>
      <c r="C5" t="s">
        <v>7</v>
      </c>
      <c r="D5">
        <v>6.9281274880000003</v>
      </c>
      <c r="E5">
        <v>0.25781232100000001</v>
      </c>
      <c r="F5">
        <v>5.3343183730000003</v>
      </c>
      <c r="G5">
        <v>0.39058098600000002</v>
      </c>
      <c r="H5">
        <v>4.3838500979999999</v>
      </c>
      <c r="I5">
        <v>0.31687311299999998</v>
      </c>
      <c r="J5">
        <f>SUM(L5:Q5)</f>
        <v>5.8389903312743039</v>
      </c>
      <c r="K5">
        <f>0.5*SIN(RADIANS(60))*((L5*M5)+(M5*N5)+(N5*O5)+(O5*P5)+(P5*Q5)+(Q5*L5))</f>
        <v>2.4605629541349274</v>
      </c>
      <c r="L5">
        <f>(MAX(D:D)-D5)/(MAX(D:D)-MIN(D:D))</f>
        <v>0.97509477055073712</v>
      </c>
      <c r="M5">
        <f>(MAX(E:E)-E5)/(MAX(E:E)-MIN(E:E))</f>
        <v>0.98197194206591099</v>
      </c>
      <c r="N5">
        <f>(MAX(F:F)-F5)/(MAX(F:F)-MIN(F:F))</f>
        <v>0.98510917315864044</v>
      </c>
      <c r="O5">
        <f>(MAX(G:G)-G5)/(MAX(G:G)-MIN(G:G))</f>
        <v>0.98640795840368267</v>
      </c>
      <c r="P5">
        <f>(MAX(H:H)-H5)/(MAX(H:H)-MIN(H:H))</f>
        <v>0.94546280847120678</v>
      </c>
      <c r="Q5">
        <f>(MAX(I:I)-I5)/(MAX(I:I)-MIN(I:I))</f>
        <v>0.96494367862412633</v>
      </c>
    </row>
    <row r="6" spans="1:17" x14ac:dyDescent="0.6">
      <c r="A6">
        <v>20</v>
      </c>
      <c r="B6" t="s">
        <v>92</v>
      </c>
      <c r="C6" t="s">
        <v>181</v>
      </c>
      <c r="D6">
        <v>6.9520980259999998</v>
      </c>
      <c r="E6">
        <v>0.2596234</v>
      </c>
      <c r="F6">
        <v>5.3379471389999997</v>
      </c>
      <c r="G6">
        <v>0.39084732300000002</v>
      </c>
      <c r="H6">
        <v>4.4260253909999996</v>
      </c>
      <c r="I6">
        <v>0.32643863699999998</v>
      </c>
      <c r="J6">
        <f>SUM(L6:Q6)</f>
        <v>5.7505335825178241</v>
      </c>
      <c r="K6">
        <f>0.5*SIN(RADIANS(60))*((L6*M6)+(M6*N6)+(N6*O6)+(O6*P6)+(P6*Q6)+(Q6*L6))</f>
        <v>2.3871239104865238</v>
      </c>
      <c r="L6">
        <f>(MAX(D:D)-D6)/(MAX(D:D)-MIN(D:D))</f>
        <v>0.96390025772837507</v>
      </c>
      <c r="M6">
        <f>(MAX(E:E)-E6)/(MAX(E:E)-MIN(E:E))</f>
        <v>0.97422471914986042</v>
      </c>
      <c r="N6">
        <f>(MAX(F:F)-F6)/(MAX(F:F)-MIN(F:F))</f>
        <v>0.98332901648162385</v>
      </c>
      <c r="O6">
        <f>(MAX(G:G)-G6)/(MAX(G:G)-MIN(G:G))</f>
        <v>0.98485578924995654</v>
      </c>
      <c r="P6">
        <f>(MAX(H:H)-H6)/(MAX(H:H)-MIN(H:H))</f>
        <v>0.9280159569751909</v>
      </c>
      <c r="Q6">
        <f>(MAX(I:I)-I6)/(MAX(I:I)-MIN(I:I))</f>
        <v>0.91620784293281765</v>
      </c>
    </row>
    <row r="7" spans="1:17" x14ac:dyDescent="0.6">
      <c r="A7">
        <v>20</v>
      </c>
      <c r="B7" t="s">
        <v>6</v>
      </c>
      <c r="C7" t="s">
        <v>167</v>
      </c>
      <c r="D7">
        <v>6.9094331880000004</v>
      </c>
      <c r="E7">
        <v>0.25553018900000002</v>
      </c>
      <c r="F7">
        <v>5.3485276959999997</v>
      </c>
      <c r="G7">
        <v>0.39119348599999998</v>
      </c>
      <c r="H7">
        <v>4.4732055659999999</v>
      </c>
      <c r="I7">
        <v>0.33340449799999999</v>
      </c>
      <c r="J7">
        <f>SUM(L7:Q7)</f>
        <v>5.7257522056682362</v>
      </c>
      <c r="K7">
        <f>0.5*SIN(RADIANS(60))*((L7*M7)+(M7*N7)+(N7*O7)+(O7*P7)+(P7*Q7)+(Q7*L7))</f>
        <v>2.3671107892436662</v>
      </c>
      <c r="L7">
        <f>(MAX(D:D)-D7)/(MAX(D:D)-MIN(D:D))</f>
        <v>0.98382522044948728</v>
      </c>
      <c r="M7">
        <f>(MAX(E:E)-E7)/(MAX(E:E)-MIN(E:E))</f>
        <v>0.99173418066944652</v>
      </c>
      <c r="N7">
        <f>(MAX(F:F)-F7)/(MAX(F:F)-MIN(F:F))</f>
        <v>0.97813853321813748</v>
      </c>
      <c r="O7">
        <f>(MAX(G:G)-G7)/(MAX(G:G)-MIN(G:G))</f>
        <v>0.98283840702082115</v>
      </c>
      <c r="P7">
        <f>(MAX(H:H)-H7)/(MAX(H:H)-MIN(H:H))</f>
        <v>0.90849871244102598</v>
      </c>
      <c r="Q7">
        <f>(MAX(I:I)-I7)/(MAX(I:I)-MIN(I:I))</f>
        <v>0.88071715186931754</v>
      </c>
    </row>
    <row r="8" spans="1:17" x14ac:dyDescent="0.6">
      <c r="A8">
        <v>20</v>
      </c>
      <c r="B8" t="s">
        <v>92</v>
      </c>
      <c r="C8" t="s">
        <v>8</v>
      </c>
      <c r="D8" s="13">
        <v>6.9888719999999998</v>
      </c>
      <c r="E8">
        <v>0.26179999999999998</v>
      </c>
      <c r="F8">
        <v>5.4186059999999996</v>
      </c>
      <c r="G8">
        <v>0.39645900000000001</v>
      </c>
      <c r="H8">
        <v>4.3173830000000004</v>
      </c>
      <c r="I8">
        <v>0.32121499999999997</v>
      </c>
      <c r="J8">
        <f>SUM(L8:Q8)</f>
        <v>5.7233330639098003</v>
      </c>
      <c r="K8">
        <f>0.5*SIN(RADIANS(60))*((L8*M8)+(M8*N8)+(N8*O8)+(O8*P8)+(P8*Q8)+(Q8*L8))</f>
        <v>2.363853413899387</v>
      </c>
      <c r="L8">
        <f>(MAX(D:D)-D8)/(MAX(D:D)-MIN(D:D))</f>
        <v>0.94672639523633517</v>
      </c>
      <c r="M8">
        <f>(MAX(E:E)-E8)/(MAX(E:E)-MIN(E:E))</f>
        <v>0.96491391305080265</v>
      </c>
      <c r="N8">
        <f>(MAX(F:F)-F8)/(MAX(F:F)-MIN(F:F))</f>
        <v>0.9437603559590847</v>
      </c>
      <c r="O8">
        <f>(MAX(G:G)-G8)/(MAX(G:G)-MIN(G:G))</f>
        <v>0.95215183921644941</v>
      </c>
      <c r="P8">
        <f>(MAX(H:H)-H8)/(MAX(H:H)-MIN(H:H))</f>
        <v>0.97295856500755451</v>
      </c>
      <c r="Q8">
        <f>(MAX(I:I)-I8)/(MAX(I:I)-MIN(I:I))</f>
        <v>0.94282199543957423</v>
      </c>
    </row>
    <row r="9" spans="1:17" x14ac:dyDescent="0.6">
      <c r="A9">
        <v>20</v>
      </c>
      <c r="B9" t="s">
        <v>6</v>
      </c>
      <c r="C9" t="s">
        <v>174</v>
      </c>
      <c r="D9" s="13">
        <v>6.9747408760000003</v>
      </c>
      <c r="E9">
        <v>0.26134295499999999</v>
      </c>
      <c r="F9">
        <v>5.376243874</v>
      </c>
      <c r="G9">
        <v>0.39363596299999998</v>
      </c>
      <c r="H9">
        <v>4.4378051760000004</v>
      </c>
      <c r="I9">
        <v>0.32400996700000001</v>
      </c>
      <c r="J9">
        <f>SUM(L9:Q9)</f>
        <v>5.7050654485366259</v>
      </c>
      <c r="K9">
        <f>0.5*SIN(RADIANS(60))*((L9*M9)+(M9*N9)+(N9*O9)+(O9*P9)+(P9*Q9)+(Q9*L9))</f>
        <v>2.3491807904470074</v>
      </c>
      <c r="L9">
        <f>(MAX(D:D)-D9)/(MAX(D:D)-MIN(D:D))</f>
        <v>0.95332579024417297</v>
      </c>
      <c r="M9">
        <f>(MAX(E:E)-E9)/(MAX(E:E)-MIN(E:E))</f>
        <v>0.96686900694657762</v>
      </c>
      <c r="N9">
        <f>(MAX(F:F)-F9)/(MAX(F:F)-MIN(F:F))</f>
        <v>0.9645418616972703</v>
      </c>
      <c r="O9">
        <f>(MAX(G:G)-G9)/(MAX(G:G)-MIN(G:G))</f>
        <v>0.96860404432211444</v>
      </c>
      <c r="P9">
        <f>(MAX(H:H)-H9)/(MAX(H:H)-MIN(H:H))</f>
        <v>0.92314295800041168</v>
      </c>
      <c r="Q9">
        <f>(MAX(I:I)-I9)/(MAX(I:I)-MIN(I:I))</f>
        <v>0.92858178732607921</v>
      </c>
    </row>
    <row r="10" spans="1:17" x14ac:dyDescent="0.6">
      <c r="A10">
        <v>20</v>
      </c>
      <c r="B10" t="s">
        <v>99</v>
      </c>
      <c r="C10" t="s">
        <v>171</v>
      </c>
      <c r="D10">
        <v>6.9660552659999997</v>
      </c>
      <c r="E10">
        <v>0.26092077600000002</v>
      </c>
      <c r="F10">
        <v>5.3270828809999999</v>
      </c>
      <c r="G10">
        <v>0.39003821700000002</v>
      </c>
      <c r="H10">
        <v>4.4567871090000004</v>
      </c>
      <c r="I10">
        <v>0.33384280199999999</v>
      </c>
      <c r="J10">
        <f>SUM(L10:Q10)</f>
        <v>5.6980614557434777</v>
      </c>
      <c r="K10">
        <f>0.5*SIN(RADIANS(60))*((L10*M10)+(M10*N10)+(N10*O10)+(O10*P10)+(P10*Q10)+(Q10*L10))</f>
        <v>2.3444551260683988</v>
      </c>
      <c r="L10">
        <f>(MAX(D:D)-D10)/(MAX(D:D)-MIN(D:D))</f>
        <v>0.95738206851857155</v>
      </c>
      <c r="M10">
        <f>(MAX(E:E)-E10)/(MAX(E:E)-MIN(E:E))</f>
        <v>0.9686749551263506</v>
      </c>
      <c r="N10">
        <f>(MAX(F:F)-F10)/(MAX(F:F)-MIN(F:F))</f>
        <v>0.98865867439275246</v>
      </c>
      <c r="O10">
        <f>(MAX(G:G)-G10)/(MAX(G:G)-MIN(G:G))</f>
        <v>0.98957112874576336</v>
      </c>
      <c r="P10">
        <f>(MAX(H:H)-H10)/(MAX(H:H)-MIN(H:H))</f>
        <v>0.91529061264365685</v>
      </c>
      <c r="Q10">
        <f>(MAX(I:I)-I10)/(MAX(I:I)-MIN(I:I))</f>
        <v>0.87848401631638351</v>
      </c>
    </row>
    <row r="11" spans="1:17" x14ac:dyDescent="0.6">
      <c r="A11">
        <v>20</v>
      </c>
      <c r="B11" t="s">
        <v>9</v>
      </c>
      <c r="C11" t="s">
        <v>184</v>
      </c>
      <c r="D11">
        <v>7.0997707380000001</v>
      </c>
      <c r="E11">
        <v>0.27024348300000001</v>
      </c>
      <c r="F11">
        <v>5.4280830670000002</v>
      </c>
      <c r="G11">
        <v>0.39721298300000002</v>
      </c>
      <c r="H11">
        <v>4.3164672849999999</v>
      </c>
      <c r="I11">
        <v>0.31541016500000002</v>
      </c>
      <c r="J11">
        <f>SUM(L11:Q11)</f>
        <v>5.656334443827066</v>
      </c>
      <c r="K11">
        <f>0.5*SIN(RADIANS(60))*((L11*M11)+(M11*N11)+(N11*O11)+(O11*P11)+(P11*Q11)+(Q11*L11))</f>
        <v>2.3091248622163687</v>
      </c>
      <c r="L11">
        <f>(MAX(D:D)-D11)/(MAX(D:D)-MIN(D:D))</f>
        <v>0.89493542815312654</v>
      </c>
      <c r="M11">
        <f>(MAX(E:E)-E11)/(MAX(E:E)-MIN(E:E))</f>
        <v>0.92879536439064803</v>
      </c>
      <c r="N11">
        <f>(MAX(F:F)-F11)/(MAX(F:F)-MIN(F:F))</f>
        <v>0.93911120963810724</v>
      </c>
      <c r="O11">
        <f>(MAX(G:G)-G11)/(MAX(G:G)-MIN(G:G))</f>
        <v>0.94775774768942211</v>
      </c>
      <c r="P11">
        <f>(MAX(H:H)-H11)/(MAX(H:H)-MIN(H:H))</f>
        <v>0.97333737313148827</v>
      </c>
      <c r="Q11">
        <f>(MAX(I:I)-I11)/(MAX(I:I)-MIN(I:I))</f>
        <v>0.9723973208242741</v>
      </c>
    </row>
    <row r="12" spans="1:17" x14ac:dyDescent="0.6">
      <c r="A12">
        <v>20</v>
      </c>
      <c r="B12" t="s">
        <v>6</v>
      </c>
      <c r="C12" t="s">
        <v>171</v>
      </c>
      <c r="D12">
        <v>6.9405278480000003</v>
      </c>
      <c r="E12">
        <v>0.25834558299999999</v>
      </c>
      <c r="F12">
        <v>5.3529685689999997</v>
      </c>
      <c r="G12">
        <v>0.39181845900000001</v>
      </c>
      <c r="H12">
        <v>4.5950927730000002</v>
      </c>
      <c r="I12">
        <v>0.336996778</v>
      </c>
      <c r="J12">
        <f>SUM(L12:Q12)</f>
        <v>5.6246423613276697</v>
      </c>
      <c r="K12">
        <f>0.5*SIN(RADIANS(60))*((L12*M12)+(M12*N12)+(N12*O12)+(O12*P12)+(P12*Q12)+(Q12*L12))</f>
        <v>2.2852673672886814</v>
      </c>
      <c r="L12">
        <f>(MAX(D:D)-D12)/(MAX(D:D)-MIN(D:D))</f>
        <v>0.96930366193974526</v>
      </c>
      <c r="M12">
        <f>(MAX(E:E)-E12)/(MAX(E:E)-MIN(E:E))</f>
        <v>0.97969081596005991</v>
      </c>
      <c r="N12">
        <f>(MAX(F:F)-F12)/(MAX(F:F)-MIN(F:F))</f>
        <v>0.97595998279004859</v>
      </c>
      <c r="O12">
        <f>(MAX(G:G)-G12)/(MAX(G:G)-MIN(G:G))</f>
        <v>0.97919616500220674</v>
      </c>
      <c r="P12">
        <f>(MAX(H:H)-H12)/(MAX(H:H)-MIN(H:H))</f>
        <v>0.8580770591808301</v>
      </c>
      <c r="Q12">
        <f>(MAX(I:I)-I12)/(MAX(I:I)-MIN(I:I))</f>
        <v>0.86241467645477943</v>
      </c>
    </row>
    <row r="13" spans="1:17" x14ac:dyDescent="0.6">
      <c r="A13">
        <v>20</v>
      </c>
      <c r="B13" t="s">
        <v>6</v>
      </c>
      <c r="C13" t="s">
        <v>184</v>
      </c>
      <c r="D13" s="13">
        <v>6.9648967060000002</v>
      </c>
      <c r="E13">
        <v>0.259937154</v>
      </c>
      <c r="F13">
        <v>5.3860321039999999</v>
      </c>
      <c r="G13">
        <v>0.39412579399999997</v>
      </c>
      <c r="H13">
        <v>4.6018066409999996</v>
      </c>
      <c r="I13">
        <v>0.34029934099999998</v>
      </c>
      <c r="J13">
        <f>SUM(L13:Q13)</f>
        <v>5.5571831604625235</v>
      </c>
      <c r="K13">
        <f>0.5*SIN(RADIANS(60))*((L13*M13)+(M13*N13)+(N13*O13)+(O13*P13)+(P13*Q13)+(Q13*L13))</f>
        <v>2.2307838672511928</v>
      </c>
      <c r="L13">
        <f>(MAX(D:D)-D13)/(MAX(D:D)-MIN(D:D))</f>
        <v>0.95792312916458078</v>
      </c>
      <c r="M13">
        <f>(MAX(E:E)-E13)/(MAX(E:E)-MIN(E:E))</f>
        <v>0.97288257881318685</v>
      </c>
      <c r="N13">
        <f>(MAX(F:F)-F13)/(MAX(F:F)-MIN(F:F))</f>
        <v>0.95974006874873696</v>
      </c>
      <c r="O13">
        <f>(MAX(G:G)-G13)/(MAX(G:G)-MIN(G:G))</f>
        <v>0.96574938812061484</v>
      </c>
      <c r="P13">
        <f>(MAX(H:H)-H13)/(MAX(H:H)-MIN(H:H))</f>
        <v>0.85529970187924964</v>
      </c>
      <c r="Q13">
        <f>(MAX(I:I)-I13)/(MAX(I:I)-MIN(I:I))</f>
        <v>0.84558829373615418</v>
      </c>
    </row>
    <row r="14" spans="1:17" x14ac:dyDescent="0.6">
      <c r="A14">
        <v>20</v>
      </c>
      <c r="B14" t="s">
        <v>92</v>
      </c>
      <c r="C14" t="s">
        <v>7</v>
      </c>
      <c r="D14">
        <v>6.9952860000000001</v>
      </c>
      <c r="E14">
        <v>0.26190000000000002</v>
      </c>
      <c r="F14">
        <v>5.434768</v>
      </c>
      <c r="G14">
        <v>0.39750799999999997</v>
      </c>
      <c r="H14">
        <v>4.5741579999999997</v>
      </c>
      <c r="I14">
        <v>0.33750200000000002</v>
      </c>
      <c r="J14">
        <f>SUM(L14:Q14)</f>
        <v>5.5166652027187686</v>
      </c>
      <c r="K14">
        <f>0.5*SIN(RADIANS(60))*((L14*M14)+(M14*N14)+(N14*O14)+(O14*P14)+(P14*Q14)+(Q14*L14))</f>
        <v>2.1974640912854357</v>
      </c>
      <c r="L14">
        <f>(MAX(D:D)-D14)/(MAX(D:D)-MIN(D:D))</f>
        <v>0.94373098456834614</v>
      </c>
      <c r="M14">
        <f>(MAX(E:E)-E14)/(MAX(E:E)-MIN(E:E))</f>
        <v>0.96448614469193727</v>
      </c>
      <c r="N14">
        <f>(MAX(F:F)-F14)/(MAX(F:F)-MIN(F:F))</f>
        <v>0.93583179506153746</v>
      </c>
      <c r="O14">
        <f>(MAX(G:G)-G14)/(MAX(G:G)-MIN(G:G))</f>
        <v>0.94603843611339344</v>
      </c>
      <c r="P14">
        <f>(MAX(H:H)-H14)/(MAX(H:H)-MIN(H:H))</f>
        <v>0.86673724503025185</v>
      </c>
      <c r="Q14">
        <f>(MAX(I:I)-I14)/(MAX(I:I)-MIN(I:I))</f>
        <v>0.85984059725330175</v>
      </c>
    </row>
    <row r="15" spans="1:17" x14ac:dyDescent="0.6">
      <c r="A15">
        <v>20</v>
      </c>
      <c r="B15" t="s">
        <v>9</v>
      </c>
      <c r="C15" t="s">
        <v>171</v>
      </c>
      <c r="D15">
        <v>7.0147425109999997</v>
      </c>
      <c r="E15">
        <v>0.264225973</v>
      </c>
      <c r="F15">
        <v>5.3937383580000002</v>
      </c>
      <c r="G15">
        <v>0.39491844599999998</v>
      </c>
      <c r="H15">
        <v>4.6662597659999996</v>
      </c>
      <c r="I15">
        <v>0.34529065799999997</v>
      </c>
      <c r="J15">
        <f>SUM(L15:Q15)</f>
        <v>5.4550653825387565</v>
      </c>
      <c r="K15">
        <f>0.5*SIN(RADIANS(60))*((L15*M15)+(M15*N15)+(N15*O15)+(O15*P15)+(P15*Q15)+(Q15*L15))</f>
        <v>2.1503622882401228</v>
      </c>
      <c r="L15">
        <f>(MAX(D:D)-D15)/(MAX(D:D)-MIN(D:D))</f>
        <v>0.93464457349705821</v>
      </c>
      <c r="M15">
        <f>(MAX(E:E)-E15)/(MAX(E:E)-MIN(E:E))</f>
        <v>0.95453636816219189</v>
      </c>
      <c r="N15">
        <f>(MAX(F:F)-F15)/(MAX(F:F)-MIN(F:F))</f>
        <v>0.95595962671613155</v>
      </c>
      <c r="O15">
        <f>(MAX(G:G)-G15)/(MAX(G:G)-MIN(G:G))</f>
        <v>0.96112993988758932</v>
      </c>
      <c r="P15">
        <f>(MAX(H:H)-H15)/(MAX(H:H)-MIN(H:H))</f>
        <v>0.82863707501073791</v>
      </c>
      <c r="Q15">
        <f>(MAX(I:I)-I15)/(MAX(I:I)-MIN(I:I))</f>
        <v>0.82015779926504784</v>
      </c>
    </row>
    <row r="16" spans="1:17" x14ac:dyDescent="0.6">
      <c r="A16">
        <v>20</v>
      </c>
      <c r="B16" t="s">
        <v>92</v>
      </c>
      <c r="C16" t="s">
        <v>184</v>
      </c>
      <c r="D16" s="13">
        <v>7.074308018</v>
      </c>
      <c r="E16">
        <v>0.26794008699999999</v>
      </c>
      <c r="F16">
        <v>5.4778284140000002</v>
      </c>
      <c r="G16">
        <v>0.40065980600000001</v>
      </c>
      <c r="H16">
        <v>4.5148925780000004</v>
      </c>
      <c r="I16">
        <v>0.33447051700000002</v>
      </c>
      <c r="J16">
        <f>SUM(L16:Q16)</f>
        <v>5.4543930125192288</v>
      </c>
      <c r="K16">
        <f>0.5*SIN(RADIANS(60))*((L16*M16)+(M16*N16)+(N16*O16)+(O16*P16)+(P16*Q16)+(Q16*L16))</f>
        <v>2.1472892450914984</v>
      </c>
      <c r="L16">
        <f>(MAX(D:D)-D16)/(MAX(D:D)-MIN(D:D))</f>
        <v>0.90682680687529882</v>
      </c>
      <c r="M16">
        <f>(MAX(E:E)-E16)/(MAX(E:E)-MIN(E:E))</f>
        <v>0.93864856365801264</v>
      </c>
      <c r="N16">
        <f>(MAX(F:F)-F16)/(MAX(F:F)-MIN(F:F))</f>
        <v>0.91470773153767981</v>
      </c>
      <c r="O16">
        <f>(MAX(G:G)-G16)/(MAX(G:G)-MIN(G:G))</f>
        <v>0.92767021821002715</v>
      </c>
      <c r="P16">
        <f>(MAX(H:H)-H16)/(MAX(H:H)-MIN(H:H))</f>
        <v>0.89125385043907979</v>
      </c>
      <c r="Q16">
        <f>(MAX(I:I)-I16)/(MAX(I:I)-MIN(I:I))</f>
        <v>0.8752858417991306</v>
      </c>
    </row>
    <row r="17" spans="1:17" x14ac:dyDescent="0.6">
      <c r="A17">
        <v>20</v>
      </c>
      <c r="B17" t="s">
        <v>99</v>
      </c>
      <c r="C17" t="s">
        <v>184</v>
      </c>
      <c r="D17">
        <v>7.0615957710000004</v>
      </c>
      <c r="E17">
        <v>0.26684443400000002</v>
      </c>
      <c r="F17">
        <v>5.4926418730000002</v>
      </c>
      <c r="G17">
        <v>0.40174695500000002</v>
      </c>
      <c r="H17">
        <v>4.5133666989999996</v>
      </c>
      <c r="I17">
        <v>0.33576207000000002</v>
      </c>
      <c r="J17">
        <f>SUM(L17:Q17)</f>
        <v>5.4454647173881856</v>
      </c>
      <c r="K17">
        <f>0.5*SIN(RADIANS(60))*((L17*M17)+(M17*N17)+(N17*O17)+(O17*P17)+(P17*Q17)+(Q17*L17))</f>
        <v>2.1401878788181565</v>
      </c>
      <c r="L17">
        <f>(MAX(D:D)-D17)/(MAX(D:D)-MIN(D:D))</f>
        <v>0.91276357024884236</v>
      </c>
      <c r="M17">
        <f>(MAX(E:E)-E17)/(MAX(E:E)-MIN(E:E))</f>
        <v>0.94333542051496888</v>
      </c>
      <c r="N17">
        <f>(MAX(F:F)-F17)/(MAX(F:F)-MIN(F:F))</f>
        <v>0.90744072177497626</v>
      </c>
      <c r="O17">
        <f>(MAX(G:G)-G17)/(MAX(G:G)-MIN(G:G))</f>
        <v>0.92133448887724878</v>
      </c>
      <c r="P17">
        <f>(MAX(H:H)-H17)/(MAX(H:H)-MIN(H:H))</f>
        <v>0.89188506797001443</v>
      </c>
      <c r="Q17">
        <f>(MAX(I:I)-I17)/(MAX(I:I)-MIN(I:I))</f>
        <v>0.86870544800213456</v>
      </c>
    </row>
    <row r="18" spans="1:17" x14ac:dyDescent="0.6">
      <c r="A18">
        <v>20</v>
      </c>
      <c r="B18" t="s">
        <v>9</v>
      </c>
      <c r="C18" t="s">
        <v>167</v>
      </c>
      <c r="D18">
        <v>7.1109677749999998</v>
      </c>
      <c r="E18">
        <v>0.27237505200000001</v>
      </c>
      <c r="F18">
        <v>5.4359684699999997</v>
      </c>
      <c r="G18">
        <v>0.398415095</v>
      </c>
      <c r="H18">
        <v>4.5651245119999997</v>
      </c>
      <c r="I18">
        <v>0.336132084</v>
      </c>
      <c r="J18">
        <f>SUM(L18:Q18)</f>
        <v>5.4226728038033141</v>
      </c>
      <c r="K18">
        <f>0.5*SIN(RADIANS(60))*((L18*M18)+(M18*N18)+(N18*O18)+(O18*P18)+(P18*Q18)+(Q18*L18))</f>
        <v>2.1229989930457585</v>
      </c>
      <c r="L18">
        <f>(MAX(D:D)-D18)/(MAX(D:D)-MIN(D:D))</f>
        <v>0.88970628501629079</v>
      </c>
      <c r="M18">
        <f>(MAX(E:E)-E18)/(MAX(E:E)-MIN(E:E))</f>
        <v>0.91967718666127063</v>
      </c>
      <c r="N18">
        <f>(MAX(F:F)-F18)/(MAX(F:F)-MIN(F:F))</f>
        <v>0.93524288282909862</v>
      </c>
      <c r="O18">
        <f>(MAX(G:G)-G18)/(MAX(G:G)-MIN(G:G))</f>
        <v>0.94075203250255757</v>
      </c>
      <c r="P18">
        <f>(MAX(H:H)-H18)/(MAX(H:H)-MIN(H:H))</f>
        <v>0.87047417042937214</v>
      </c>
      <c r="Q18">
        <f>(MAX(I:I)-I18)/(MAX(I:I)-MIN(I:I))</f>
        <v>0.86682024636472477</v>
      </c>
    </row>
    <row r="19" spans="1:17" x14ac:dyDescent="0.6">
      <c r="A19">
        <v>20</v>
      </c>
      <c r="B19" t="s">
        <v>6</v>
      </c>
      <c r="C19" t="s">
        <v>8</v>
      </c>
      <c r="D19" s="13">
        <v>7.177795841</v>
      </c>
      <c r="E19">
        <v>0.277910716</v>
      </c>
      <c r="F19">
        <v>5.4973658810000003</v>
      </c>
      <c r="G19">
        <v>0.402926705</v>
      </c>
      <c r="H19">
        <v>4.436035156</v>
      </c>
      <c r="I19">
        <v>0.32673135800000003</v>
      </c>
      <c r="J19">
        <f>SUM(L19:Q19)</f>
        <v>5.4126681743645975</v>
      </c>
      <c r="K19">
        <f>0.5*SIN(RADIANS(60))*((L19*M19)+(M19*N19)+(N19*O19)+(O19*P19)+(P19*Q19)+(Q19*L19))</f>
        <v>2.1144478748447146</v>
      </c>
      <c r="L19">
        <f>(MAX(D:D)-D19)/(MAX(D:D)-MIN(D:D))</f>
        <v>0.85849682105971725</v>
      </c>
      <c r="M19">
        <f>(MAX(E:E)-E19)/(MAX(E:E)-MIN(E:E))</f>
        <v>0.89599736761618409</v>
      </c>
      <c r="N19">
        <f>(MAX(F:F)-F19)/(MAX(F:F)-MIN(F:F))</f>
        <v>0.9051232743607639</v>
      </c>
      <c r="O19">
        <f>(MAX(G:G)-G19)/(MAX(G:G)-MIN(G:G))</f>
        <v>0.91445909582593288</v>
      </c>
      <c r="P19">
        <f>(MAX(H:H)-H19)/(MAX(H:H)-MIN(H:H))</f>
        <v>0.9238751704852185</v>
      </c>
      <c r="Q19">
        <f>(MAX(I:I)-I19)/(MAX(I:I)-MIN(I:I))</f>
        <v>0.91471644501678107</v>
      </c>
    </row>
    <row r="20" spans="1:17" x14ac:dyDescent="0.6">
      <c r="A20">
        <v>20</v>
      </c>
      <c r="B20" t="s">
        <v>92</v>
      </c>
      <c r="C20" t="s">
        <v>177</v>
      </c>
      <c r="D20">
        <v>7.0545336860000001</v>
      </c>
      <c r="E20">
        <v>0.26628473800000002</v>
      </c>
      <c r="F20" s="13">
        <v>5.4904400860000004</v>
      </c>
      <c r="G20" s="13">
        <v>0.40153060899999998</v>
      </c>
      <c r="H20">
        <v>4.588867188</v>
      </c>
      <c r="I20" s="13">
        <v>0.33780606800000001</v>
      </c>
      <c r="J20">
        <f>SUM(L20:Q20)</f>
        <v>5.4118512466723203</v>
      </c>
      <c r="K20">
        <f>0.5*SIN(RADIANS(60))*((L20*M20)+(M20*N20)+(N20*O20)+(O20*P20)+(P20*Q20)+(Q20*L20))</f>
        <v>2.1142845759426327</v>
      </c>
      <c r="L20">
        <f>(MAX(D:D)-D20)/(MAX(D:D)-MIN(D:D))</f>
        <v>0.91606164395436851</v>
      </c>
      <c r="M20">
        <f>(MAX(E:E)-E20)/(MAX(E:E)-MIN(E:E))</f>
        <v>0.94572962290880258</v>
      </c>
      <c r="N20">
        <f>(MAX(F:F)-F20)/(MAX(F:F)-MIN(F:F))</f>
        <v>0.90852084814008727</v>
      </c>
      <c r="O20">
        <f>(MAX(G:G)-G20)/(MAX(G:G)-MIN(G:G))</f>
        <v>0.92259531853190468</v>
      </c>
      <c r="P20">
        <f>(MAX(H:H)-H20)/(MAX(H:H)-MIN(H:H))</f>
        <v>0.86065242616099136</v>
      </c>
      <c r="Q20">
        <f>(MAX(I:I)-I20)/(MAX(I:I)-MIN(I:I))</f>
        <v>0.85829138697616647</v>
      </c>
    </row>
    <row r="21" spans="1:17" x14ac:dyDescent="0.6">
      <c r="A21">
        <v>20</v>
      </c>
      <c r="B21" t="s">
        <v>6</v>
      </c>
      <c r="C21" t="s">
        <v>177</v>
      </c>
      <c r="D21" s="13">
        <v>7.0982164799999996</v>
      </c>
      <c r="E21">
        <v>0.27056113599999998</v>
      </c>
      <c r="F21" s="13">
        <v>5.4513521550000004</v>
      </c>
      <c r="G21" s="13">
        <v>0.39902484900000001</v>
      </c>
      <c r="H21">
        <v>4.5793457030000004</v>
      </c>
      <c r="I21" s="13">
        <v>0.338677705</v>
      </c>
      <c r="J21">
        <f>SUM(L21:Q21)</f>
        <v>5.4064341188076916</v>
      </c>
      <c r="K21">
        <f>0.5*SIN(RADIANS(60))*((L21*M21)+(M21*N21)+(N21*O21)+(O21*P21)+(P21*Q21)+(Q21*L21))</f>
        <v>2.1104041825415947</v>
      </c>
      <c r="L21">
        <f>(MAX(D:D)-D21)/(MAX(D:D)-MIN(D:D))</f>
        <v>0.89566128424823233</v>
      </c>
      <c r="M21">
        <f>(MAX(E:E)-E21)/(MAX(E:E)-MIN(E:E))</f>
        <v>0.92743654536566245</v>
      </c>
      <c r="N21">
        <f>(MAX(F:F)-F21)/(MAX(F:F)-MIN(F:F))</f>
        <v>0.92769613840692411</v>
      </c>
      <c r="O21">
        <f>(MAX(G:G)-G21)/(MAX(G:G)-MIN(G:G))</f>
        <v>0.93719848436556896</v>
      </c>
      <c r="P21">
        <f>(MAX(H:H)-H21)/(MAX(H:H)-MIN(H:H))</f>
        <v>0.86459122357056806</v>
      </c>
      <c r="Q21">
        <f>(MAX(I:I)-I21)/(MAX(I:I)-MIN(I:I))</f>
        <v>0.85385044285073597</v>
      </c>
    </row>
    <row r="22" spans="1:17" x14ac:dyDescent="0.6">
      <c r="A22">
        <v>20</v>
      </c>
      <c r="B22" t="s">
        <v>92</v>
      </c>
      <c r="C22" t="s">
        <v>167</v>
      </c>
      <c r="D22">
        <v>7.1424367550000003</v>
      </c>
      <c r="E22">
        <v>0.27479675100000001</v>
      </c>
      <c r="F22" s="13">
        <v>5.4602005570000003</v>
      </c>
      <c r="G22" s="13">
        <v>0.400068282</v>
      </c>
      <c r="H22">
        <v>4.5690917969999996</v>
      </c>
      <c r="I22">
        <v>0.337541019</v>
      </c>
      <c r="J22">
        <f>SUM(L22:Q22)</f>
        <v>5.3672755618514687</v>
      </c>
      <c r="K22">
        <f>0.5*SIN(RADIANS(60))*((L22*M22)+(M22*N22)+(N22*O22)+(O22*P22)+(P22*Q22)+(Q22*L22))</f>
        <v>2.0798050840573534</v>
      </c>
      <c r="L22">
        <f>(MAX(D:D)-D22)/(MAX(D:D)-MIN(D:D))</f>
        <v>0.87500991482565638</v>
      </c>
      <c r="M22">
        <f>(MAX(E:E)-E22)/(MAX(E:E)-MIN(E:E))</f>
        <v>0.90931792459231797</v>
      </c>
      <c r="N22">
        <f>(MAX(F:F)-F22)/(MAX(F:F)-MIN(F:F))</f>
        <v>0.92335539505195707</v>
      </c>
      <c r="O22">
        <f>(MAX(G:G)-G22)/(MAX(G:G)-MIN(G:G))</f>
        <v>0.93111752484218369</v>
      </c>
      <c r="P22">
        <f>(MAX(H:H)-H22)/(MAX(H:H)-MIN(H:H))</f>
        <v>0.86883300501441296</v>
      </c>
      <c r="Q22">
        <f>(MAX(I:I)-I22)/(MAX(I:I)-MIN(I:I))</f>
        <v>0.85964179752493997</v>
      </c>
    </row>
    <row r="23" spans="1:17" x14ac:dyDescent="0.6">
      <c r="A23">
        <v>20</v>
      </c>
      <c r="B23" t="s">
        <v>92</v>
      </c>
      <c r="C23" t="s">
        <v>171</v>
      </c>
      <c r="D23">
        <v>7.1110226440000002</v>
      </c>
      <c r="E23">
        <v>0.27045961099999999</v>
      </c>
      <c r="F23">
        <v>5.5107970059999998</v>
      </c>
      <c r="G23">
        <v>0.40300740699999998</v>
      </c>
      <c r="H23">
        <v>4.5602416989999996</v>
      </c>
      <c r="I23">
        <v>0.33683021499999999</v>
      </c>
      <c r="J23">
        <f>SUM(L23:Q23)</f>
        <v>5.3658320415125775</v>
      </c>
      <c r="K23">
        <f>0.5*SIN(RADIANS(60))*((L23*M23)+(M23*N23)+(N23*O23)+(O23*P23)+(P23*Q23)+(Q23*L23))</f>
        <v>2.07809443138928</v>
      </c>
      <c r="L23">
        <f>(MAX(D:D)-D23)/(MAX(D:D)-MIN(D:D))</f>
        <v>0.8896806605716473</v>
      </c>
      <c r="M23">
        <f>(MAX(E:E)-E23)/(MAX(E:E)-MIN(E:E))</f>
        <v>0.92787083719200014</v>
      </c>
      <c r="N23">
        <f>(MAX(F:F)-F23)/(MAX(F:F)-MIN(F:F))</f>
        <v>0.89853439349917119</v>
      </c>
      <c r="O23">
        <f>(MAX(G:G)-G23)/(MAX(G:G)-MIN(G:G))</f>
        <v>0.913988777563566</v>
      </c>
      <c r="P23">
        <f>(MAX(H:H)-H23)/(MAX(H:H)-MIN(H:H))</f>
        <v>0.87249406661109674</v>
      </c>
      <c r="Q23">
        <f>(MAX(I:I)-I23)/(MAX(I:I)-MIN(I:I))</f>
        <v>0.86326330607509627</v>
      </c>
    </row>
    <row r="24" spans="1:17" x14ac:dyDescent="0.6">
      <c r="A24">
        <v>20</v>
      </c>
      <c r="B24" t="s">
        <v>9</v>
      </c>
      <c r="C24" t="s">
        <v>8</v>
      </c>
      <c r="D24" s="13">
        <v>6.9988769279999996</v>
      </c>
      <c r="E24">
        <v>0.26266763500000001</v>
      </c>
      <c r="F24" s="13">
        <v>5.3779223409999997</v>
      </c>
      <c r="G24" s="13">
        <v>0.39357667400000002</v>
      </c>
      <c r="H24">
        <v>4.820800781</v>
      </c>
      <c r="I24" s="13">
        <v>0.35856878599999997</v>
      </c>
      <c r="J24">
        <f>SUM(L24:Q24)</f>
        <v>5.3531382674806602</v>
      </c>
      <c r="K24">
        <f>0.5*SIN(RADIANS(60))*((L24*M24)+(M24*N24)+(N24*O24)+(O24*P24)+(P24*Q24)+(Q24*L24))</f>
        <v>2.074537659756956</v>
      </c>
      <c r="L24">
        <f>(MAX(D:D)-D24)/(MAX(D:D)-MIN(D:D))</f>
        <v>0.94205398050860523</v>
      </c>
      <c r="M24">
        <f>(MAX(E:E)-E24)/(MAX(E:E)-MIN(E:E))</f>
        <v>0.96120244505036323</v>
      </c>
      <c r="N24">
        <f>(MAX(F:F)-F24)/(MAX(F:F)-MIN(F:F))</f>
        <v>0.96371845940646339</v>
      </c>
      <c r="O24">
        <f>(MAX(G:G)-G24)/(MAX(G:G)-MIN(G:G))</f>
        <v>0.96894957106813628</v>
      </c>
      <c r="P24">
        <f>(MAX(H:H)-H24)/(MAX(H:H)-MIN(H:H))</f>
        <v>0.76470736766410286</v>
      </c>
      <c r="Q24">
        <f>(MAX(I:I)-I24)/(MAX(I:I)-MIN(I:I))</f>
        <v>0.75250644378298903</v>
      </c>
    </row>
    <row r="25" spans="1:17" x14ac:dyDescent="0.6">
      <c r="A25">
        <v>20</v>
      </c>
      <c r="B25" t="s">
        <v>99</v>
      </c>
      <c r="C25" t="s">
        <v>167</v>
      </c>
      <c r="D25">
        <v>7.1612871980000001</v>
      </c>
      <c r="E25">
        <v>0.27517145100000001</v>
      </c>
      <c r="F25">
        <v>5.4898941609999996</v>
      </c>
      <c r="G25">
        <v>0.40188889100000003</v>
      </c>
      <c r="H25">
        <v>4.5536499020000001</v>
      </c>
      <c r="I25">
        <v>0.33393390000000001</v>
      </c>
      <c r="J25">
        <f>SUM(L25:Q25)</f>
        <v>5.3564583942394375</v>
      </c>
      <c r="K25">
        <f>0.5*SIN(RADIANS(60))*((L25*M25)+(M25*N25)+(N25*O25)+(O25*P25)+(P25*Q25)+(Q25*L25))</f>
        <v>2.0708363544763331</v>
      </c>
      <c r="L25">
        <f>(MAX(D:D)-D25)/(MAX(D:D)-MIN(D:D))</f>
        <v>0.86620654437687017</v>
      </c>
      <c r="M25">
        <f>(MAX(E:E)-E25)/(MAX(E:E)-MIN(E:E))</f>
        <v>0.90771507655165029</v>
      </c>
      <c r="N25">
        <f>(MAX(F:F)-F25)/(MAX(F:F)-MIN(F:F))</f>
        <v>0.90878866150526494</v>
      </c>
      <c r="O25">
        <f>(MAX(G:G)-G25)/(MAX(G:G)-MIN(G:G))</f>
        <v>0.92050730872201958</v>
      </c>
      <c r="P25">
        <f>(MAX(H:H)-H25)/(MAX(H:H)-MIN(H:H))</f>
        <v>0.87522092622890368</v>
      </c>
      <c r="Q25">
        <f>(MAX(I:I)-I25)/(MAX(I:I)-MIN(I:I))</f>
        <v>0.8780198768547286</v>
      </c>
    </row>
    <row r="26" spans="1:17" x14ac:dyDescent="0.6">
      <c r="A26">
        <v>20</v>
      </c>
      <c r="B26" t="s">
        <v>99</v>
      </c>
      <c r="C26" t="s">
        <v>8</v>
      </c>
      <c r="D26">
        <v>7.224634</v>
      </c>
      <c r="E26">
        <v>0.27929999999999999</v>
      </c>
      <c r="F26" s="13">
        <v>5.581995</v>
      </c>
      <c r="G26" s="13">
        <v>0.40810000000000002</v>
      </c>
      <c r="H26">
        <v>4.4867549999999996</v>
      </c>
      <c r="I26" s="13">
        <v>0.32525700000000002</v>
      </c>
      <c r="J26">
        <f>SUM(L26:Q26)</f>
        <v>5.2997160930141556</v>
      </c>
      <c r="K26">
        <f>0.5*SIN(RADIANS(60))*((L26*M26)+(M26*N26)+(N26*O26)+(O26*P26)+(P26*Q26)+(Q26*L26))</f>
        <v>2.0263532614181345</v>
      </c>
      <c r="L26">
        <f>(MAX(D:D)-D26)/(MAX(D:D)-MIN(D:D))</f>
        <v>0.8366228701495898</v>
      </c>
      <c r="M26">
        <f>(MAX(E:E)-E26)/(MAX(E:E)-MIN(E:E))</f>
        <v>0.89005445024940855</v>
      </c>
      <c r="N26">
        <f>(MAX(F:F)-F26)/(MAX(F:F)-MIN(F:F))</f>
        <v>0.8636069320951254</v>
      </c>
      <c r="O26">
        <f>(MAX(G:G)-G26)/(MAX(G:G)-MIN(G:G))</f>
        <v>0.88430996550560381</v>
      </c>
      <c r="P26">
        <f>(MAX(H:H)-H26)/(MAX(H:H)-MIN(H:H))</f>
        <v>0.90289365445475278</v>
      </c>
      <c r="Q26">
        <f>(MAX(I:I)-I26)/(MAX(I:I)-MIN(I:I))</f>
        <v>0.92222822055967524</v>
      </c>
    </row>
    <row r="27" spans="1:17" x14ac:dyDescent="0.6">
      <c r="A27">
        <v>20</v>
      </c>
      <c r="B27" t="s">
        <v>99</v>
      </c>
      <c r="C27" t="s">
        <v>7</v>
      </c>
      <c r="D27">
        <v>7.0688050000000002</v>
      </c>
      <c r="E27">
        <v>0.26840000000000003</v>
      </c>
      <c r="F27">
        <v>5.4607749999999999</v>
      </c>
      <c r="G27">
        <v>0.39980300000000002</v>
      </c>
      <c r="H27">
        <v>4.8067019999999996</v>
      </c>
      <c r="I27">
        <v>0.34881099999999998</v>
      </c>
      <c r="J27">
        <f>SUM(L27:Q27)</f>
        <v>5.2745766380220083</v>
      </c>
      <c r="K27">
        <f>0.5*SIN(RADIANS(60))*((L27*M27)+(M27*N27)+(N27*O27)+(O27*P27)+(P27*Q27)+(Q27*L27))</f>
        <v>2.0107783232167606</v>
      </c>
      <c r="L27">
        <f>(MAX(D:D)-D27)/(MAX(D:D)-MIN(D:D))</f>
        <v>0.9093967786282352</v>
      </c>
      <c r="M27">
        <f>(MAX(E:E)-E27)/(MAX(E:E)-MIN(E:E))</f>
        <v>0.93668120136570521</v>
      </c>
      <c r="N27">
        <f>(MAX(F:F)-F27)/(MAX(F:F)-MIN(F:F))</f>
        <v>0.92307359166700065</v>
      </c>
      <c r="O27">
        <f>(MAX(G:G)-G27)/(MAX(G:G)-MIN(G:G))</f>
        <v>0.93266354562577269</v>
      </c>
      <c r="P27">
        <f>(MAX(H:H)-H27)/(MAX(H:H)-MIN(H:H))</f>
        <v>0.77053967660341138</v>
      </c>
      <c r="Q27">
        <f>(MAX(I:I)-I27)/(MAX(I:I)-MIN(I:I))</f>
        <v>0.8022218441318828</v>
      </c>
    </row>
    <row r="28" spans="1:17" x14ac:dyDescent="0.6">
      <c r="A28">
        <v>20</v>
      </c>
      <c r="B28" t="s">
        <v>9</v>
      </c>
      <c r="C28" t="s">
        <v>7</v>
      </c>
      <c r="D28">
        <v>7.2321264129999996</v>
      </c>
      <c r="E28">
        <v>0.27998303400000002</v>
      </c>
      <c r="F28" s="13">
        <v>5.5785319009999998</v>
      </c>
      <c r="G28" s="13">
        <v>0.407922587</v>
      </c>
      <c r="H28">
        <v>4.6625366210000001</v>
      </c>
      <c r="I28" s="13">
        <v>0.34455413699999998</v>
      </c>
      <c r="J28">
        <f>SUM(L28:Q28)</f>
        <v>5.1249937734957731</v>
      </c>
      <c r="K28">
        <f>0.5*SIN(RADIANS(60))*((L28*M28)+(M28*N28)+(N28*O28)+(O28*P28)+(P28*Q28)+(Q28*L28))</f>
        <v>1.8958287341955409</v>
      </c>
      <c r="L28">
        <f>(MAX(D:D)-D28)/(MAX(D:D)-MIN(D:D))</f>
        <v>0.83312382839262422</v>
      </c>
      <c r="M28">
        <f>(MAX(E:E)-E28)/(MAX(E:E)-MIN(E:E))</f>
        <v>0.8871326469171178</v>
      </c>
      <c r="N28">
        <f>(MAX(F:F)-F28)/(MAX(F:F)-MIN(F:F))</f>
        <v>0.8653058178342502</v>
      </c>
      <c r="O28">
        <f>(MAX(G:G)-G28)/(MAX(G:G)-MIN(G:G))</f>
        <v>0.88534389990476736</v>
      </c>
      <c r="P28">
        <f>(MAX(H:H)-H28)/(MAX(H:H)-MIN(H:H))</f>
        <v>0.83017724588549924</v>
      </c>
      <c r="Q28">
        <f>(MAX(I:I)-I28)/(MAX(I:I)-MIN(I:I))</f>
        <v>0.82391033456151441</v>
      </c>
    </row>
    <row r="29" spans="1:17" x14ac:dyDescent="0.6">
      <c r="A29">
        <v>20</v>
      </c>
      <c r="B29" t="s">
        <v>9</v>
      </c>
      <c r="C29" t="s">
        <v>181</v>
      </c>
      <c r="D29">
        <v>7.1281889889999999</v>
      </c>
      <c r="E29">
        <v>0.272805046</v>
      </c>
      <c r="F29" s="13">
        <v>5.509611907</v>
      </c>
      <c r="G29" s="13">
        <v>0.40321809600000003</v>
      </c>
      <c r="H29">
        <v>4.9033813479999999</v>
      </c>
      <c r="I29" s="13">
        <v>0.35899666800000002</v>
      </c>
      <c r="J29">
        <f>SUM(L29:Q29)</f>
        <v>5.0922505570659728</v>
      </c>
      <c r="K29">
        <f>0.5*SIN(RADIANS(60))*((L29*M29)+(M29*N29)+(N29*O29)+(O29*P29)+(P29*Q29)+(Q29*L29))</f>
        <v>1.8756558905750025</v>
      </c>
      <c r="L29">
        <f>(MAX(D:D)-D29)/(MAX(D:D)-MIN(D:D))</f>
        <v>0.88166378296900061</v>
      </c>
      <c r="M29">
        <f>(MAX(E:E)-E29)/(MAX(E:E)-MIN(E:E))</f>
        <v>0.91783780838425222</v>
      </c>
      <c r="N29">
        <f>(MAX(F:F)-F29)/(MAX(F:F)-MIN(F:F))</f>
        <v>0.89911576521004355</v>
      </c>
      <c r="O29">
        <f>(MAX(G:G)-G29)/(MAX(G:G)-MIN(G:G))</f>
        <v>0.91276091599409026</v>
      </c>
      <c r="P29">
        <f>(MAX(H:H)-H29)/(MAX(H:H)-MIN(H:H))</f>
        <v>0.73054587674320282</v>
      </c>
      <c r="Q29">
        <f>(MAX(I:I)-I29)/(MAX(I:I)-MIN(I:I))</f>
        <v>0.7503264077653834</v>
      </c>
    </row>
    <row r="30" spans="1:17" x14ac:dyDescent="0.6">
      <c r="A30">
        <v>20</v>
      </c>
      <c r="B30" t="s">
        <v>99</v>
      </c>
      <c r="C30" t="s">
        <v>174</v>
      </c>
      <c r="D30">
        <v>7.1590788879999998</v>
      </c>
      <c r="E30">
        <v>0.273630822</v>
      </c>
      <c r="F30" s="13">
        <v>5.5988294810000001</v>
      </c>
      <c r="G30" s="13">
        <v>0.40915770499999998</v>
      </c>
      <c r="H30">
        <v>4.8211669920000002</v>
      </c>
      <c r="I30">
        <v>0.35089346500000002</v>
      </c>
      <c r="J30">
        <f>SUM(L30:Q30)</f>
        <v>5.071205225901382</v>
      </c>
      <c r="K30">
        <f>0.5*SIN(RADIANS(60))*((L30*M30)+(M30*N30)+(N30*O30)+(O30*P30)+(P30*Q30)+(Q30*L30))</f>
        <v>1.8572908071228518</v>
      </c>
      <c r="L30">
        <f>(MAX(D:D)-D30)/(MAX(D:D)-MIN(D:D))</f>
        <v>0.86723785016611665</v>
      </c>
      <c r="M30">
        <f>(MAX(E:E)-E30)/(MAX(E:E)-MIN(E:E))</f>
        <v>0.91430539994115034</v>
      </c>
      <c r="N30">
        <f>(MAX(F:F)-F30)/(MAX(F:F)-MIN(F:F))</f>
        <v>0.85534847350169019</v>
      </c>
      <c r="O30">
        <f>(MAX(G:G)-G30)/(MAX(G:G)-MIN(G:G))</f>
        <v>0.8781458310641187</v>
      </c>
      <c r="P30">
        <f>(MAX(H:H)-H30)/(MAX(H:H)-MIN(H:H))</f>
        <v>0.76455587544013148</v>
      </c>
      <c r="Q30">
        <f>(MAX(I:I)-I30)/(MAX(I:I)-MIN(I:I))</f>
        <v>0.79161179578817442</v>
      </c>
    </row>
    <row r="31" spans="1:17" x14ac:dyDescent="0.6">
      <c r="A31">
        <v>20</v>
      </c>
      <c r="B31" t="s">
        <v>9</v>
      </c>
      <c r="C31" t="s">
        <v>177</v>
      </c>
      <c r="D31">
        <v>7.177066902</v>
      </c>
      <c r="E31">
        <v>0.27684675399999997</v>
      </c>
      <c r="F31">
        <v>5.5409432870000002</v>
      </c>
      <c r="G31">
        <v>0.40575503699999999</v>
      </c>
      <c r="H31">
        <v>4.8645629880000003</v>
      </c>
      <c r="I31">
        <v>0.35346824999999998</v>
      </c>
      <c r="J31">
        <f>SUM(L31:Q31)</f>
        <v>5.0662049808723166</v>
      </c>
      <c r="K31">
        <f>0.5*SIN(RADIANS(60))*((L31*M31)+(M31*N31)+(N31*O31)+(O31*P31)+(P31*Q31)+(Q31*L31))</f>
        <v>1.8546457950720123</v>
      </c>
      <c r="L31">
        <f>(MAX(D:D)-D31)/(MAX(D:D)-MIN(D:D))</f>
        <v>0.85883724383129711</v>
      </c>
      <c r="M31">
        <f>(MAX(E:E)-E31)/(MAX(E:E)-MIN(E:E))</f>
        <v>0.90054866040253256</v>
      </c>
      <c r="N31">
        <f>(MAX(F:F)-F31)/(MAX(F:F)-MIN(F:F))</f>
        <v>0.88374559107725137</v>
      </c>
      <c r="O31">
        <f>(MAX(G:G)-G31)/(MAX(G:G)-MIN(G:G))</f>
        <v>0.89797603231280321</v>
      </c>
      <c r="P31">
        <f>(MAX(H:H)-H31)/(MAX(H:H)-MIN(H:H))</f>
        <v>0.74660405000210295</v>
      </c>
      <c r="Q31">
        <f>(MAX(I:I)-I31)/(MAX(I:I)-MIN(I:I))</f>
        <v>0.77849340324632887</v>
      </c>
    </row>
    <row r="32" spans="1:17" x14ac:dyDescent="0.6">
      <c r="A32">
        <v>20</v>
      </c>
      <c r="B32" t="s">
        <v>99</v>
      </c>
      <c r="C32" t="s">
        <v>181</v>
      </c>
      <c r="D32">
        <v>7.7886830170000003</v>
      </c>
      <c r="E32">
        <v>0.321408215</v>
      </c>
      <c r="F32">
        <v>6.1441819930000001</v>
      </c>
      <c r="G32">
        <v>0.44815480099999999</v>
      </c>
      <c r="H32">
        <v>5.1013183590000004</v>
      </c>
      <c r="I32">
        <v>0.37490279900000001</v>
      </c>
      <c r="J32">
        <f>SUM(L32:Q32)</f>
        <v>3.8397772666382983</v>
      </c>
      <c r="K32">
        <f>0.5*SIN(RADIANS(60))*((L32*M32)+(M32*N32)+(N32*O32)+(O32*P32)+(P32*Q32)+(Q32*L32))</f>
        <v>1.0595037679428474</v>
      </c>
      <c r="L32">
        <f>(MAX(D:D)-D32)/(MAX(D:D)-MIN(D:D))</f>
        <v>0.57320558876661221</v>
      </c>
      <c r="M32">
        <f>(MAX(E:E)-E32)/(MAX(E:E)-MIN(E:E))</f>
        <v>0.70992882999651707</v>
      </c>
      <c r="N32">
        <f>(MAX(F:F)-F32)/(MAX(F:F)-MIN(F:F))</f>
        <v>0.58781595264893494</v>
      </c>
      <c r="O32">
        <f>(MAX(G:G)-G32)/(MAX(G:G)-MIN(G:G))</f>
        <v>0.65087703440389011</v>
      </c>
      <c r="P32">
        <f>(MAX(H:H)-H32)/(MAX(H:H)-MIN(H:H))</f>
        <v>0.64866434395853911</v>
      </c>
      <c r="Q32">
        <f>(MAX(I:I)-I32)/(MAX(I:I)-MIN(I:I))</f>
        <v>0.669285516863805</v>
      </c>
    </row>
    <row r="33" spans="1:17" x14ac:dyDescent="0.6">
      <c r="A33">
        <v>20</v>
      </c>
      <c r="B33" s="31" t="s">
        <v>569</v>
      </c>
      <c r="C33" s="31"/>
      <c r="D33" s="31">
        <v>8.6211544730000007</v>
      </c>
      <c r="E33">
        <v>0.44398070099999998</v>
      </c>
      <c r="F33" s="31">
        <v>6.9252069399999998</v>
      </c>
      <c r="G33" s="31">
        <v>0.52845462600000004</v>
      </c>
      <c r="H33" s="31">
        <v>5.8337707520000004</v>
      </c>
      <c r="I33" s="31">
        <v>0.44207933500000002</v>
      </c>
      <c r="J33">
        <f>SUM(L33:Q33)</f>
        <v>1.4302991168618837</v>
      </c>
      <c r="K33">
        <f>0.5*SIN(RADIANS(60))*((L33*M33)+(M33*N33)+(N33*O33)+(O33*P33)+(P33*Q33)+(Q33*L33))</f>
        <v>0.1499228481818313</v>
      </c>
      <c r="L33">
        <f>(MAX(D:D)-D33)/(MAX(D:D)-MIN(D:D))</f>
        <v>0.1844319872545134</v>
      </c>
      <c r="M33">
        <f>(MAX(E:E)-E33)/(MAX(E:E)-MIN(E:E))</f>
        <v>0.18560251821415236</v>
      </c>
      <c r="N33">
        <f>(MAX(F:F)-F33)/(MAX(F:F)-MIN(F:F))</f>
        <v>0.20467006384848224</v>
      </c>
      <c r="O33">
        <f>(MAX(G:G)-G33)/(MAX(G:G)-MIN(G:G))</f>
        <v>0.18290258318380559</v>
      </c>
      <c r="P33">
        <f>(MAX(H:H)-H33)/(MAX(H:H)-MIN(H:H))</f>
        <v>0.34566732320108884</v>
      </c>
      <c r="Q33">
        <f>(MAX(I:I)-I33)/(MAX(I:I)-MIN(I:I))</f>
        <v>0.32702464115984126</v>
      </c>
    </row>
    <row r="34" spans="1:17" x14ac:dyDescent="0.6">
      <c r="A34">
        <v>20</v>
      </c>
      <c r="B34" t="s">
        <v>9</v>
      </c>
      <c r="C34" t="s">
        <v>174</v>
      </c>
      <c r="D34">
        <v>8.5861351730000006</v>
      </c>
      <c r="E34">
        <v>0.38921599699999998</v>
      </c>
      <c r="F34" s="13">
        <v>6.9375333430000001</v>
      </c>
      <c r="G34" s="13">
        <v>0.505550685</v>
      </c>
      <c r="H34">
        <v>6.6693725590000001</v>
      </c>
      <c r="I34" s="13">
        <v>0.48618920999999998</v>
      </c>
      <c r="J34">
        <f>SUM(L34:Q34)</f>
        <v>1.2379483544096419</v>
      </c>
      <c r="K34">
        <f>0.5*SIN(RADIANS(60))*((L34*M34)+(M34*N34)+(N34*O34)+(O34*P34)+(P34*Q34)+(Q34*L34))</f>
        <v>0.10872012776544251</v>
      </c>
      <c r="L34">
        <f>(MAX(D:D)-D34)/(MAX(D:D)-MIN(D:D))</f>
        <v>0.20078639710881677</v>
      </c>
      <c r="M34">
        <f>(MAX(E:E)-E34)/(MAX(E:E)-MIN(E:E))</f>
        <v>0.41986859375228675</v>
      </c>
      <c r="N34">
        <f>(MAX(F:F)-F34)/(MAX(F:F)-MIN(F:F))</f>
        <v>0.19862312430924151</v>
      </c>
      <c r="O34">
        <f>(MAX(G:G)-G34)/(MAX(G:G)-MIN(G:G))</f>
        <v>0.31638306362385893</v>
      </c>
      <c r="P34">
        <f>(MAX(H:H)-H34)/(MAX(H:H)-MIN(H:H))</f>
        <v>0</v>
      </c>
      <c r="Q34">
        <f>(MAX(I:I)-I34)/(MAX(I:I)-MIN(I:I))</f>
        <v>0.10228717561543806</v>
      </c>
    </row>
    <row r="35" spans="1:17" x14ac:dyDescent="0.6">
      <c r="A35">
        <v>20</v>
      </c>
      <c r="B35" s="31" t="s">
        <v>572</v>
      </c>
      <c r="C35" s="31" t="s">
        <v>177</v>
      </c>
      <c r="D35" s="31">
        <v>8.670015179</v>
      </c>
      <c r="E35">
        <v>0.45144667900000002</v>
      </c>
      <c r="F35" s="31">
        <v>6.9676337610000001</v>
      </c>
      <c r="G35" s="31">
        <v>0.53145289500000004</v>
      </c>
      <c r="H35" s="31">
        <v>6.0508406829999997</v>
      </c>
      <c r="I35" s="31">
        <v>0.45679348600000003</v>
      </c>
      <c r="J35">
        <f>SUM(L35:Q35)</f>
        <v>1.1724926961149591</v>
      </c>
      <c r="K35">
        <f>0.5*SIN(RADIANS(60))*((L35*M35)+(M35*N35)+(N35*O35)+(O35*P35)+(P35*Q35)+(Q35*L35))</f>
        <v>0.10005211006232943</v>
      </c>
      <c r="L35">
        <f>(MAX(D:D)-D35)/(MAX(D:D)-MIN(D:D))</f>
        <v>0.1616134839807585</v>
      </c>
      <c r="M35">
        <f>(MAX(E:E)-E35)/(MAX(E:E)-MIN(E:E))</f>
        <v>0.15366542665032212</v>
      </c>
      <c r="N35">
        <f>(MAX(F:F)-F35)/(MAX(F:F)-MIN(F:F))</f>
        <v>0.18385682081000754</v>
      </c>
      <c r="O35">
        <f>(MAX(G:G)-G35)/(MAX(G:G)-MIN(G:G))</f>
        <v>0.16542915419581974</v>
      </c>
      <c r="P35">
        <f>(MAX(H:H)-H35)/(MAX(H:H)-MIN(H:H))</f>
        <v>0.25587098555839771</v>
      </c>
      <c r="Q35">
        <f>(MAX(I:I)-I35)/(MAX(I:I)-MIN(I:I))</f>
        <v>0.25205682491965353</v>
      </c>
    </row>
    <row r="36" spans="1:17" x14ac:dyDescent="0.6">
      <c r="A36">
        <v>20</v>
      </c>
      <c r="B36" s="31" t="s">
        <v>571</v>
      </c>
      <c r="C36" s="31" t="s">
        <v>8</v>
      </c>
      <c r="D36" s="31">
        <v>8.7243652409999992</v>
      </c>
      <c r="E36">
        <v>0.455523609</v>
      </c>
      <c r="F36" s="31">
        <v>7.0578289959999996</v>
      </c>
      <c r="G36" s="31">
        <v>0.53861267300000004</v>
      </c>
      <c r="H36" s="31">
        <v>6.0333557129999997</v>
      </c>
      <c r="I36" s="31">
        <v>0.46012029100000001</v>
      </c>
      <c r="J36">
        <f>SUM(L36:Q36)</f>
        <v>1.033981045700207</v>
      </c>
      <c r="K36">
        <f>0.5*SIN(RADIANS(60))*((L36*M36)+(M36*N36)+(N36*O36)+(O36*P36)+(P36*Q36)+(Q36*L36))</f>
        <v>7.8496613564381187E-2</v>
      </c>
      <c r="L36">
        <f>(MAX(D:D)-D36)/(MAX(D:D)-MIN(D:D))</f>
        <v>0.13623138926285197</v>
      </c>
      <c r="M36">
        <f>(MAX(E:E)-E36)/(MAX(E:E)-MIN(E:E))</f>
        <v>0.13622561009724296</v>
      </c>
      <c r="N36">
        <f>(MAX(F:F)-F36)/(MAX(F:F)-MIN(F:F))</f>
        <v>0.13960991984688054</v>
      </c>
      <c r="O36">
        <f>(MAX(G:G)-G36)/(MAX(G:G)-MIN(G:G))</f>
        <v>0.12370312079029694</v>
      </c>
      <c r="P36">
        <f>(MAX(H:H)-H36)/(MAX(H:H)-MIN(H:H))</f>
        <v>0.26310407520171786</v>
      </c>
      <c r="Q36">
        <f>(MAX(I:I)-I36)/(MAX(I:I)-MIN(I:I))</f>
        <v>0.2351069305012167</v>
      </c>
    </row>
    <row r="37" spans="1:17" x14ac:dyDescent="0.6">
      <c r="A37">
        <v>20</v>
      </c>
      <c r="B37" s="31" t="s">
        <v>571</v>
      </c>
      <c r="C37" s="31" t="s">
        <v>181</v>
      </c>
      <c r="D37" s="31">
        <v>8.7464410580000003</v>
      </c>
      <c r="E37">
        <v>0.459950786</v>
      </c>
      <c r="F37" s="31">
        <v>7.0797503930000003</v>
      </c>
      <c r="G37" s="31">
        <v>0.540190579</v>
      </c>
      <c r="H37" s="31">
        <v>6.0434722900000004</v>
      </c>
      <c r="I37" s="31">
        <v>0.45915010099999998</v>
      </c>
      <c r="J37">
        <f>SUM(L37:Q37)</f>
        <v>0.98554170196568791</v>
      </c>
      <c r="K37">
        <f>0.5*SIN(RADIANS(60))*((L37*M37)+(M37*N37)+(N37*O37)+(O37*P37)+(P37*Q37)+(Q37*L37))</f>
        <v>7.2168662994486182E-2</v>
      </c>
      <c r="L37">
        <f>(MAX(D:D)-D37)/(MAX(D:D)-MIN(D:D))</f>
        <v>0.12592173261390086</v>
      </c>
      <c r="M37">
        <f>(MAX(E:E)-E37)/(MAX(E:E)-MIN(E:E))</f>
        <v>0.1172875477002894</v>
      </c>
      <c r="N37">
        <f>(MAX(F:F)-F37)/(MAX(F:F)-MIN(F:F))</f>
        <v>0.12885598276769417</v>
      </c>
      <c r="O37">
        <f>(MAX(G:G)-G37)/(MAX(G:G)-MIN(G:G))</f>
        <v>0.11450733867711226</v>
      </c>
      <c r="P37">
        <f>(MAX(H:H)-H37)/(MAX(H:H)-MIN(H:H))</f>
        <v>0.25891910329015289</v>
      </c>
      <c r="Q37">
        <f>(MAX(I:I)-I37)/(MAX(I:I)-MIN(I:I))</f>
        <v>0.24004999691653828</v>
      </c>
    </row>
    <row r="38" spans="1:17" x14ac:dyDescent="0.6">
      <c r="A38">
        <v>20</v>
      </c>
      <c r="B38" s="31" t="s">
        <v>571</v>
      </c>
      <c r="C38" s="31" t="s">
        <v>184</v>
      </c>
      <c r="D38" s="31">
        <v>8.7556812379999993</v>
      </c>
      <c r="E38">
        <v>0.458783477</v>
      </c>
      <c r="F38" s="31">
        <v>7.1033722859999999</v>
      </c>
      <c r="G38" s="31">
        <v>0.54198011899999998</v>
      </c>
      <c r="H38" s="31">
        <v>6.0565795900000001</v>
      </c>
      <c r="I38" s="31">
        <v>0.46277180499999998</v>
      </c>
      <c r="J38">
        <f>SUM(L38:Q38)</f>
        <v>0.94032796721930856</v>
      </c>
      <c r="K38">
        <f>0.5*SIN(RADIANS(60))*((L38*M38)+(M38*N38)+(N38*O38)+(O38*P38)+(P38*Q38)+(Q38*L38))</f>
        <v>6.5350413509247321E-2</v>
      </c>
      <c r="L38">
        <f>(MAX(D:D)-D38)/(MAX(D:D)-MIN(D:D))</f>
        <v>0.12160646386645242</v>
      </c>
      <c r="M38">
        <f>(MAX(E:E)-E38)/(MAX(E:E)-MIN(E:E))</f>
        <v>0.12228092625247414</v>
      </c>
      <c r="N38">
        <f>(MAX(F:F)-F38)/(MAX(F:F)-MIN(F:F))</f>
        <v>0.11726783667402778</v>
      </c>
      <c r="O38">
        <f>(MAX(G:G)-G38)/(MAX(G:G)-MIN(G:G))</f>
        <v>0.10407818768660412</v>
      </c>
      <c r="P38">
        <f>(MAX(H:H)-H38)/(MAX(H:H)-MIN(H:H))</f>
        <v>0.25349694495176922</v>
      </c>
      <c r="Q38">
        <f>(MAX(I:I)-I38)/(MAX(I:I)-MIN(I:I))</f>
        <v>0.22159760778798082</v>
      </c>
    </row>
    <row r="39" spans="1:17" x14ac:dyDescent="0.6">
      <c r="A39">
        <v>20</v>
      </c>
      <c r="B39" s="31" t="s">
        <v>572</v>
      </c>
      <c r="C39" t="s">
        <v>184</v>
      </c>
      <c r="D39" s="31">
        <v>8.7645078109999996</v>
      </c>
      <c r="E39">
        <v>0.46031836799999998</v>
      </c>
      <c r="F39" s="31">
        <v>7.14536807</v>
      </c>
      <c r="G39" s="31">
        <v>0.54504289500000003</v>
      </c>
      <c r="H39" s="31">
        <v>6.0385921749999998</v>
      </c>
      <c r="I39" s="31">
        <v>0.46345282500000001</v>
      </c>
      <c r="J39">
        <f>SUM(L39:Q39)</f>
        <v>0.89516010190245332</v>
      </c>
      <c r="K39">
        <f>0.5*SIN(RADIANS(60))*((L39*M39)+(M39*N39)+(N39*O39)+(O39*P39)+(P39*Q39)+(Q39*L39))</f>
        <v>5.9825311637982784E-2</v>
      </c>
      <c r="L39">
        <f>(MAX(D:D)-D39)/(MAX(D:D)-MIN(D:D))</f>
        <v>0.11748435427400103</v>
      </c>
      <c r="M39">
        <f>(MAX(E:E)-E39)/(MAX(E:E)-MIN(E:E))</f>
        <v>0.11571514821140595</v>
      </c>
      <c r="N39">
        <f>(MAX(F:F)-F39)/(MAX(F:F)-MIN(F:F))</f>
        <v>9.6666046618079857E-2</v>
      </c>
      <c r="O39">
        <f>(MAX(G:G)-G39)/(MAX(G:G)-MIN(G:G))</f>
        <v>8.6228822288733506E-2</v>
      </c>
      <c r="P39">
        <f>(MAX(H:H)-H39)/(MAX(H:H)-MIN(H:H))</f>
        <v>0.26093788337754886</v>
      </c>
      <c r="Q39">
        <f>(MAX(I:I)-I39)/(MAX(I:I)-MIN(I:I))</f>
        <v>0.2181278471326841</v>
      </c>
    </row>
    <row r="40" spans="1:17" x14ac:dyDescent="0.6">
      <c r="A40">
        <v>20</v>
      </c>
      <c r="B40" s="31" t="s">
        <v>571</v>
      </c>
      <c r="C40" s="31" t="s">
        <v>167</v>
      </c>
      <c r="D40" s="31">
        <v>8.7992406550000002</v>
      </c>
      <c r="E40">
        <v>0.46267243299999999</v>
      </c>
      <c r="F40" s="31">
        <v>7.1397418830000001</v>
      </c>
      <c r="G40" s="31">
        <v>0.54488651799999999</v>
      </c>
      <c r="H40" s="31">
        <v>6.0853881840000001</v>
      </c>
      <c r="I40" s="31">
        <v>0.45796710400000001</v>
      </c>
      <c r="J40">
        <f>SUM(L40:Q40)</f>
        <v>0.88113202437497062</v>
      </c>
      <c r="K40">
        <f>0.5*SIN(RADIANS(60))*((L40*M40)+(M40*N40)+(N40*O40)+(O40*P40)+(P40*Q40)+(Q40*L40))</f>
        <v>5.8579322617148967E-2</v>
      </c>
      <c r="L40">
        <f>(MAX(D:D)-D40)/(MAX(D:D)-MIN(D:D))</f>
        <v>0.10126372261712642</v>
      </c>
      <c r="M40">
        <f>(MAX(E:E)-E40)/(MAX(E:E)-MIN(E:E))</f>
        <v>0.10564520299428797</v>
      </c>
      <c r="N40">
        <f>(MAX(F:F)-F40)/(MAX(F:F)-MIN(F:F))</f>
        <v>9.942607422917292E-2</v>
      </c>
      <c r="O40">
        <f>(MAX(G:G)-G40)/(MAX(G:G)-MIN(G:G))</f>
        <v>8.7140162266852547E-2</v>
      </c>
      <c r="P40">
        <f>(MAX(H:H)-H40)/(MAX(H:H)-MIN(H:H))</f>
        <v>0.24157955859651573</v>
      </c>
      <c r="Q40">
        <f>(MAX(I:I)-I40)/(MAX(I:I)-MIN(I:I))</f>
        <v>0.24607730367101502</v>
      </c>
    </row>
    <row r="41" spans="1:17" x14ac:dyDescent="0.6">
      <c r="A41">
        <v>20</v>
      </c>
      <c r="B41" s="31" t="s">
        <v>571</v>
      </c>
      <c r="C41" s="31" t="s">
        <v>171</v>
      </c>
      <c r="D41" s="31">
        <v>8.7619688240000002</v>
      </c>
      <c r="E41">
        <v>0.46103213999999998</v>
      </c>
      <c r="F41" s="31">
        <v>7.1166244860000001</v>
      </c>
      <c r="G41" s="31">
        <v>0.54288278199999995</v>
      </c>
      <c r="H41" s="31">
        <v>6.1295166019999998</v>
      </c>
      <c r="I41" s="31">
        <v>0.467201219</v>
      </c>
      <c r="J41">
        <f>SUM(L41:Q41)</f>
        <v>0.86327101907669201</v>
      </c>
      <c r="K41">
        <f>0.5*SIN(RADIANS(60))*((L41*M41)+(M41*N41)+(N41*O41)+(O41*P41)+(P41*Q41)+(Q41*L41))</f>
        <v>5.4962357048226898E-2</v>
      </c>
      <c r="L41">
        <f>(MAX(D:D)-D41)/(MAX(D:D)-MIN(D:D))</f>
        <v>0.11867008996868192</v>
      </c>
      <c r="M41">
        <f>(MAX(E:E)-E41)/(MAX(E:E)-MIN(E:E))</f>
        <v>0.11266185744096728</v>
      </c>
      <c r="N41">
        <f>(MAX(F:F)-F41)/(MAX(F:F)-MIN(F:F))</f>
        <v>0.11076673070159407</v>
      </c>
      <c r="O41">
        <f>(MAX(G:G)-G41)/(MAX(G:G)-MIN(G:G))</f>
        <v>9.8817613058182943E-2</v>
      </c>
      <c r="P41">
        <f>(MAX(H:H)-H41)/(MAX(H:H)-MIN(H:H))</f>
        <v>0.22332474871054495</v>
      </c>
      <c r="Q41">
        <f>(MAX(I:I)-I41)/(MAX(I:I)-MIN(I:I))</f>
        <v>0.19902997919672086</v>
      </c>
    </row>
    <row r="42" spans="1:17" x14ac:dyDescent="0.6">
      <c r="A42">
        <v>20</v>
      </c>
      <c r="B42" s="31" t="s">
        <v>572</v>
      </c>
      <c r="C42" s="31" t="s">
        <v>167</v>
      </c>
      <c r="D42" s="31">
        <v>8.7683134799999998</v>
      </c>
      <c r="E42">
        <v>0.458940866</v>
      </c>
      <c r="F42" s="31">
        <v>7.1334171460000002</v>
      </c>
      <c r="G42" s="31">
        <v>0.54400456900000005</v>
      </c>
      <c r="H42" s="31">
        <v>6.2265105299999997</v>
      </c>
      <c r="I42" s="31">
        <v>0.47565642499999999</v>
      </c>
      <c r="J42">
        <f>SUM(L42:Q42)</f>
        <v>0.77127550652515442</v>
      </c>
      <c r="K42">
        <f>0.5*SIN(RADIANS(60))*((L42*M42)+(M42*N42)+(N42*O42)+(O42*P42)+(P42*Q42)+(Q42*L42))</f>
        <v>4.3093993337585276E-2</v>
      </c>
      <c r="L42">
        <f>(MAX(D:D)-D42)/(MAX(D:D)-MIN(D:D))</f>
        <v>0.11570706373433236</v>
      </c>
      <c r="M42">
        <f>(MAX(E:E)-E42)/(MAX(E:E)-MIN(E:E))</f>
        <v>0.1216076659101399</v>
      </c>
      <c r="N42">
        <f>(MAX(F:F)-F42)/(MAX(F:F)-MIN(F:F))</f>
        <v>0.10252878815476803</v>
      </c>
      <c r="O42">
        <f>(MAX(G:G)-G42)/(MAX(G:G)-MIN(G:G))</f>
        <v>9.2280019038384398E-2</v>
      </c>
      <c r="P42">
        <f>(MAX(H:H)-H42)/(MAX(H:H)-MIN(H:H))</f>
        <v>0.18320081506457681</v>
      </c>
      <c r="Q42">
        <f>(MAX(I:I)-I42)/(MAX(I:I)-MIN(I:I))</f>
        <v>0.15595115462295295</v>
      </c>
    </row>
    <row r="43" spans="1:17" x14ac:dyDescent="0.6">
      <c r="A43">
        <v>20</v>
      </c>
      <c r="B43" s="31" t="s">
        <v>571</v>
      </c>
      <c r="C43" t="s">
        <v>7</v>
      </c>
      <c r="D43" s="31">
        <v>8.8597977760000006</v>
      </c>
      <c r="E43">
        <v>0.47091724000000001</v>
      </c>
      <c r="F43" s="31">
        <v>7.1502868570000002</v>
      </c>
      <c r="G43" s="31">
        <v>0.54551980200000005</v>
      </c>
      <c r="H43" s="31">
        <v>6.145965576</v>
      </c>
      <c r="I43" s="31">
        <v>0.47494194499999998</v>
      </c>
      <c r="J43">
        <f>SUM(L43:Q43)</f>
        <v>0.6971735369434171</v>
      </c>
      <c r="K43">
        <f>0.5*SIN(RADIANS(60))*((L43*M43)+(M43*N43)+(N43*O43)+(O43*P43)+(P43*Q43)+(Q43*L43))</f>
        <v>3.6332169931867123E-2</v>
      </c>
      <c r="L43">
        <f>(MAX(D:D)-D43)/(MAX(D:D)-MIN(D:D))</f>
        <v>7.2982861022787129E-2</v>
      </c>
      <c r="M43">
        <f>(MAX(E:E)-E43)/(MAX(E:E)-MIN(E:E))</f>
        <v>7.0376527398792299E-2</v>
      </c>
      <c r="N43">
        <f>(MAX(F:F)-F43)/(MAX(F:F)-MIN(F:F))</f>
        <v>9.4253046848771324E-2</v>
      </c>
      <c r="O43">
        <f>(MAX(G:G)-G43)/(MAX(G:G)-MIN(G:G))</f>
        <v>8.3449485078371854E-2</v>
      </c>
      <c r="P43">
        <f>(MAX(H:H)-H43)/(MAX(H:H)-MIN(H:H))</f>
        <v>0.21652022439722643</v>
      </c>
      <c r="Q43">
        <f>(MAX(I:I)-I43)/(MAX(I:I)-MIN(I:I))</f>
        <v>0.15959139219746815</v>
      </c>
    </row>
    <row r="44" spans="1:17" x14ac:dyDescent="0.6">
      <c r="A44">
        <v>20</v>
      </c>
      <c r="B44" s="31" t="s">
        <v>572</v>
      </c>
      <c r="C44" s="31" t="s">
        <v>8</v>
      </c>
      <c r="D44" s="31">
        <v>8.8142353609999997</v>
      </c>
      <c r="E44">
        <v>0.46452645199999998</v>
      </c>
      <c r="F44" s="31">
        <v>7.203232549</v>
      </c>
      <c r="G44" s="31">
        <v>0.54929060600000001</v>
      </c>
      <c r="H44" s="31">
        <v>6.1949852270000001</v>
      </c>
      <c r="I44" s="31">
        <v>0.47585349799999999</v>
      </c>
      <c r="J44">
        <f>SUM(L44:Q44)</f>
        <v>0.67291786296340261</v>
      </c>
      <c r="K44">
        <f>0.5*SIN(RADIANS(60))*((L44*M44)+(M44*N44)+(N44*O44)+(O44*P44)+(P44*Q44)+(Q44*L44))</f>
        <v>3.3409659088050964E-2</v>
      </c>
      <c r="L44">
        <f>(MAX(D:D)-D44)/(MAX(D:D)-MIN(D:D))</f>
        <v>9.4261025031258813E-2</v>
      </c>
      <c r="M44">
        <f>(MAX(E:E)-E44)/(MAX(E:E)-MIN(E:E))</f>
        <v>9.7714296344940735E-2</v>
      </c>
      <c r="N44">
        <f>(MAX(F:F)-F44)/(MAX(F:F)-MIN(F:F))</f>
        <v>6.8279581727823099E-2</v>
      </c>
      <c r="O44">
        <f>(MAX(G:G)-G44)/(MAX(G:G)-MIN(G:G))</f>
        <v>6.1473846494371452E-2</v>
      </c>
      <c r="P44">
        <f>(MAX(H:H)-H44)/(MAX(H:H)-MIN(H:H))</f>
        <v>0.19624203518859348</v>
      </c>
      <c r="Q44">
        <f>(MAX(I:I)-I44)/(MAX(I:I)-MIN(I:I))</f>
        <v>0.15494707817641507</v>
      </c>
    </row>
    <row r="45" spans="1:17" x14ac:dyDescent="0.6">
      <c r="A45">
        <v>20</v>
      </c>
      <c r="B45" s="31" t="s">
        <v>572</v>
      </c>
      <c r="C45" s="31" t="s">
        <v>174</v>
      </c>
      <c r="D45" s="31">
        <v>8.8057263359999993</v>
      </c>
      <c r="E45">
        <v>0.46477906000000002</v>
      </c>
      <c r="F45" s="31">
        <v>7.192400879</v>
      </c>
      <c r="G45" s="31">
        <v>0.54856460900000004</v>
      </c>
      <c r="H45" s="31">
        <v>6.3155711720000003</v>
      </c>
      <c r="I45" s="31">
        <v>0.48427843300000001</v>
      </c>
      <c r="J45">
        <f>SUM(L45:Q45)</f>
        <v>0.59254781231235254</v>
      </c>
      <c r="K45">
        <f>0.5*SIN(RADIANS(60))*((L45*M45)+(M45*N45)+(N45*O45)+(O45*P45)+(P45*Q45)+(Q45*L45))</f>
        <v>2.5312306135558505E-2</v>
      </c>
      <c r="L45">
        <f>(MAX(D:D)-D45)/(MAX(D:D)-MIN(D:D))</f>
        <v>9.8234836110021664E-2</v>
      </c>
      <c r="M45">
        <f>(MAX(E:E)-E45)/(MAX(E:E)-MIN(E:E))</f>
        <v>9.6633719248978581E-2</v>
      </c>
      <c r="N45">
        <f>(MAX(F:F)-F45)/(MAX(F:F)-MIN(F:F))</f>
        <v>7.3593253007190301E-2</v>
      </c>
      <c r="O45">
        <f>(MAX(G:G)-G45)/(MAX(G:G)-MIN(G:G))</f>
        <v>6.5704840119356525E-2</v>
      </c>
      <c r="P45">
        <f>(MAX(H:H)-H45)/(MAX(H:H)-MIN(H:H))</f>
        <v>0.14635868109021752</v>
      </c>
      <c r="Q45">
        <f>(MAX(I:I)-I45)/(MAX(I:I)-MIN(I:I))</f>
        <v>0.11202248273658796</v>
      </c>
    </row>
    <row r="46" spans="1:17" x14ac:dyDescent="0.6">
      <c r="A46">
        <v>20</v>
      </c>
      <c r="B46" s="31" t="s">
        <v>571</v>
      </c>
      <c r="C46" s="31" t="s">
        <v>177</v>
      </c>
      <c r="D46" s="31">
        <v>8.9694394630000005</v>
      </c>
      <c r="E46">
        <v>0.478523529</v>
      </c>
      <c r="F46" s="31">
        <v>7.2627941040000001</v>
      </c>
      <c r="G46" s="31">
        <v>0.554221831</v>
      </c>
      <c r="H46" s="31">
        <v>6.0896911620000003</v>
      </c>
      <c r="I46" s="31">
        <v>0.47177093399999998</v>
      </c>
      <c r="J46">
        <f>SUM(L46:Q46)</f>
        <v>0.5469612774555741</v>
      </c>
      <c r="K46">
        <f>0.5*SIN(RADIANS(60))*((L46*M46)+(M46*N46)+(N46*O46)+(O46*P46)+(P46*Q46)+(Q46*L46))</f>
        <v>2.4856013887332842E-2</v>
      </c>
      <c r="L46">
        <f>(MAX(D:D)-D46)/(MAX(D:D)-MIN(D:D))</f>
        <v>2.1778950998450883E-2</v>
      </c>
      <c r="M46">
        <f>(MAX(E:E)-E46)/(MAX(E:E)-MIN(E:E))</f>
        <v>3.7839229772955077E-2</v>
      </c>
      <c r="N46">
        <f>(MAX(F:F)-F46)/(MAX(F:F)-MIN(F:F))</f>
        <v>3.9060585565832244E-2</v>
      </c>
      <c r="O46">
        <f>(MAX(G:G)-G46)/(MAX(G:G)-MIN(G:G))</f>
        <v>3.2735461158939501E-2</v>
      </c>
      <c r="P46">
        <f>(MAX(H:H)-H46)/(MAX(H:H)-MIN(H:H))</f>
        <v>0.2397995254819473</v>
      </c>
      <c r="Q46">
        <f>(MAX(I:I)-I46)/(MAX(I:I)-MIN(I:I))</f>
        <v>0.1757475244774491</v>
      </c>
    </row>
    <row r="47" spans="1:17" x14ac:dyDescent="0.6">
      <c r="A47">
        <v>20</v>
      </c>
      <c r="B47" s="31" t="s">
        <v>572</v>
      </c>
      <c r="C47" s="31" t="s">
        <v>7</v>
      </c>
      <c r="D47" s="31">
        <v>8.8620488769999994</v>
      </c>
      <c r="E47">
        <v>0.46986672099999999</v>
      </c>
      <c r="F47" s="31">
        <v>7.225846948</v>
      </c>
      <c r="G47" s="31">
        <v>0.55106571299999996</v>
      </c>
      <c r="H47" s="31">
        <v>6.3760977900000002</v>
      </c>
      <c r="I47" s="31">
        <v>0.49124622800000001</v>
      </c>
      <c r="J47">
        <f>SUM(L47:Q47)</f>
        <v>0.45295866420208158</v>
      </c>
      <c r="K47">
        <f>0.5*SIN(RADIANS(60))*((L47*M47)+(M47*N47)+(N47*O47)+(O47*P47)+(P47*Q47)+(Q47*L47))</f>
        <v>1.4541372641072034E-2</v>
      </c>
      <c r="L47">
        <f>(MAX(D:D)-D47)/(MAX(D:D)-MIN(D:D))</f>
        <v>7.1931571351736806E-2</v>
      </c>
      <c r="M47">
        <f>(MAX(E:E)-E47)/(MAX(E:E)-MIN(E:E))</f>
        <v>7.4870315284658567E-2</v>
      </c>
      <c r="N47">
        <f>(MAX(F:F)-F47)/(MAX(F:F)-MIN(F:F))</f>
        <v>5.7185680005701678E-2</v>
      </c>
      <c r="O47">
        <f>(MAX(G:G)-G47)/(MAX(G:G)-MIN(G:G))</f>
        <v>5.1128808704041233E-2</v>
      </c>
      <c r="P47">
        <f>(MAX(H:H)-H47)/(MAX(H:H)-MIN(H:H))</f>
        <v>0.12132035080992552</v>
      </c>
      <c r="Q47">
        <f>(MAX(I:I)-I47)/(MAX(I:I)-MIN(I:I))</f>
        <v>7.6521938046017757E-2</v>
      </c>
    </row>
    <row r="48" spans="1:17" x14ac:dyDescent="0.6">
      <c r="A48">
        <v>20</v>
      </c>
      <c r="B48" s="31" t="s">
        <v>571</v>
      </c>
      <c r="C48" s="31" t="s">
        <v>174</v>
      </c>
      <c r="D48" s="31">
        <v>9.0160742010000003</v>
      </c>
      <c r="E48">
        <v>0.48736925800000003</v>
      </c>
      <c r="F48" s="31">
        <v>7.2765563999999996</v>
      </c>
      <c r="G48" s="31">
        <v>0.55516130699999999</v>
      </c>
      <c r="H48" s="31">
        <v>6.3967742919999999</v>
      </c>
      <c r="I48" s="31">
        <v>0.48096435799999998</v>
      </c>
      <c r="J48">
        <f>SUM(L48:Q48)</f>
        <v>0.30124411270509499</v>
      </c>
      <c r="K48">
        <f>0.5*SIN(RADIANS(60))*((L48*M48)+(M48*N48)+(N48*O48)+(O48*P48)+(P48*Q48)+(Q48*L48))</f>
        <v>8.0069866350408608E-3</v>
      </c>
      <c r="L48">
        <f>(MAX(D:D)-D48)/(MAX(D:D)-MIN(D:D))</f>
        <v>0</v>
      </c>
      <c r="M48">
        <f>(MAX(E:E)-E48)/(MAX(E:E)-MIN(E:E))</f>
        <v>0</v>
      </c>
      <c r="N48">
        <f>(MAX(F:F)-F48)/(MAX(F:F)-MIN(F:F))</f>
        <v>3.2309242791047986E-2</v>
      </c>
      <c r="O48">
        <f>(MAX(G:G)-G48)/(MAX(G:G)-MIN(G:G))</f>
        <v>2.7260346293689952E-2</v>
      </c>
      <c r="P48">
        <f>(MAX(H:H)-H48)/(MAX(H:H)-MIN(H:H))</f>
        <v>0.11276700513782616</v>
      </c>
      <c r="Q48">
        <f>(MAX(I:I)-I48)/(MAX(I:I)-MIN(I:I))</f>
        <v>0.1289075184825309</v>
      </c>
    </row>
    <row r="49" spans="1:17" x14ac:dyDescent="0.6">
      <c r="A49">
        <v>20</v>
      </c>
      <c r="B49" s="31" t="s">
        <v>572</v>
      </c>
      <c r="C49" s="31" t="s">
        <v>171</v>
      </c>
      <c r="D49" s="31">
        <v>8.9577154169999993</v>
      </c>
      <c r="E49">
        <v>0.47834080099999998</v>
      </c>
      <c r="F49" s="31">
        <v>7.3424172780000001</v>
      </c>
      <c r="G49" s="31">
        <v>0.55983891500000005</v>
      </c>
      <c r="H49" s="31">
        <v>6.5634960610000004</v>
      </c>
      <c r="I49" s="31">
        <v>0.50442366199999999</v>
      </c>
      <c r="J49">
        <f>SUM(L49:Q49)</f>
        <v>0.11905713687109795</v>
      </c>
      <c r="K49">
        <f>0.5*SIN(RADIANS(60))*((L49*M49)+(M49*N49)+(N49*O49)+(O49*P49)+(P49*Q49)+(Q49*L49))</f>
        <v>7.444840490690778E-4</v>
      </c>
      <c r="L49">
        <f>(MAX(D:D)-D49)/(MAX(D:D)-MIN(D:D))</f>
        <v>2.7254213309083168E-2</v>
      </c>
      <c r="M49">
        <f>(MAX(E:E)-E49)/(MAX(E:E)-MIN(E:E))</f>
        <v>3.8620882339742202E-2</v>
      </c>
      <c r="N49">
        <f>(MAX(F:F)-F49)/(MAX(F:F)-MIN(F:F))</f>
        <v>0</v>
      </c>
      <c r="O49">
        <f>(MAX(G:G)-G49)/(MAX(G:G)-MIN(G:G))</f>
        <v>0</v>
      </c>
      <c r="P49">
        <f>(MAX(H:H)-H49)/(MAX(H:H)-MIN(H:H))</f>
        <v>4.3798428087369327E-2</v>
      </c>
      <c r="Q49">
        <f>(MAX(I:I)-I49)/(MAX(I:I)-MIN(I:I))</f>
        <v>9.3836131349032438E-3</v>
      </c>
    </row>
    <row r="50" spans="1:17" x14ac:dyDescent="0.6">
      <c r="A50">
        <v>20</v>
      </c>
      <c r="B50" s="31" t="s">
        <v>572</v>
      </c>
      <c r="C50" s="31" t="s">
        <v>181</v>
      </c>
      <c r="D50" s="31">
        <v>8.9509631929999998</v>
      </c>
      <c r="E50">
        <v>0.47791731900000001</v>
      </c>
      <c r="F50" s="31">
        <v>7.3314807110000002</v>
      </c>
      <c r="G50" s="31">
        <v>0.55899988099999998</v>
      </c>
      <c r="H50" s="31">
        <v>6.5700214429999999</v>
      </c>
      <c r="I50" s="31">
        <v>0.506265411</v>
      </c>
      <c r="J50">
        <f>SUM(L50:Q50)</f>
        <v>0.12219391089047396</v>
      </c>
      <c r="K50">
        <f>0.5*SIN(RADIANS(60))*((L50*M50)+(M50*N50)+(N50*O50)+(O50*P50)+(P50*Q50)+(Q50*L50))</f>
        <v>7.246792553326786E-4</v>
      </c>
      <c r="L50">
        <f>(MAX(D:D)-D50)/(MAX(D:D)-MIN(D:D))</f>
        <v>3.0407578417010962E-2</v>
      </c>
      <c r="M50">
        <f>(MAX(E:E)-E50)/(MAX(E:E)-MIN(E:E))</f>
        <v>4.0432404341231229E-2</v>
      </c>
      <c r="N50">
        <f>(MAX(F:F)-F50)/(MAX(F:F)-MIN(F:F))</f>
        <v>5.3651303965847105E-3</v>
      </c>
      <c r="O50">
        <f>(MAX(G:G)-G50)/(MAX(G:G)-MIN(G:G))</f>
        <v>4.8897550611726208E-3</v>
      </c>
      <c r="P50">
        <f>(MAX(H:H)-H50)/(MAX(H:H)-MIN(H:H))</f>
        <v>4.1099042674474444E-2</v>
      </c>
      <c r="Q50">
        <f>(MAX(I:I)-I50)/(MAX(I:I)-MIN(I:I))</f>
        <v>0</v>
      </c>
    </row>
  </sheetData>
  <autoFilter ref="A1:P33" xr:uid="{7428AB68-54D6-4E57-B51C-3C52895577F3}">
    <sortState xmlns:xlrd2="http://schemas.microsoft.com/office/spreadsheetml/2017/richdata2" ref="A2:P50">
      <sortCondition descending="1" ref="K1:K33"/>
    </sortState>
  </autoFilter>
  <phoneticPr fontId="1" type="noConversion"/>
  <conditionalFormatting sqref="K1">
    <cfRule type="top10" dxfId="143" priority="7" percent="1" bottom="1" rank="10"/>
  </conditionalFormatting>
  <conditionalFormatting sqref="K1">
    <cfRule type="top10" dxfId="142" priority="8" percent="1" bottom="1" rank="5"/>
  </conditionalFormatting>
  <conditionalFormatting sqref="D1:D1048576">
    <cfRule type="top10" dxfId="141" priority="6" percent="1" bottom="1" rank="5"/>
  </conditionalFormatting>
  <conditionalFormatting sqref="E1:E1048576">
    <cfRule type="top10" dxfId="140" priority="5" percent="1" bottom="1" rank="5"/>
  </conditionalFormatting>
  <conditionalFormatting sqref="F1:F1048576">
    <cfRule type="top10" dxfId="139" priority="4" percent="1" bottom="1" rank="5"/>
  </conditionalFormatting>
  <conditionalFormatting sqref="G1:G1048576">
    <cfRule type="top10" dxfId="138" priority="3" percent="1" bottom="1" rank="5"/>
  </conditionalFormatting>
  <conditionalFormatting sqref="H1:H1048576">
    <cfRule type="top10" dxfId="137" priority="2" percent="1" bottom="1" rank="5"/>
  </conditionalFormatting>
  <conditionalFormatting sqref="I1:I1048576">
    <cfRule type="top10" dxfId="136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7146-92EC-461F-9EC7-B38495694316}">
  <dimension ref="A1:Q50"/>
  <sheetViews>
    <sheetView workbookViewId="0">
      <selection activeCell="A2" sqref="A2:I50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23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30</v>
      </c>
      <c r="B2" t="s">
        <v>99</v>
      </c>
      <c r="C2" t="s">
        <v>167</v>
      </c>
      <c r="D2">
        <v>7.0456242040000001</v>
      </c>
      <c r="E2">
        <v>0.26660521500000001</v>
      </c>
      <c r="F2">
        <v>5.3802638380000003</v>
      </c>
      <c r="G2">
        <v>0.393671353</v>
      </c>
      <c r="H2">
        <v>4.0630493159999999</v>
      </c>
      <c r="I2">
        <v>0.29501393300000001</v>
      </c>
      <c r="J2">
        <f>SUM(L2:Q2)</f>
        <v>5.923068925131366</v>
      </c>
      <c r="K2">
        <f>0.5*SIN(RADIANS(60))*((L2*M2)+(M2*N2)+(N2*O2)+(O2*P2)+(P2*Q2)+(Q2*L2))</f>
        <v>2.5320833864212435</v>
      </c>
      <c r="L2">
        <f>(MAX(D:D)-D2)/(MAX(D:D)-MIN(D:D))</f>
        <v>0.95691398755700408</v>
      </c>
      <c r="M2">
        <f>(MAX(E:E)-E2)/(MAX(E:E)-MIN(E:E))</f>
        <v>0.96615493757436199</v>
      </c>
      <c r="N2">
        <f>(MAX(F:F)-F2)/(MAX(F:F)-MIN(F:F))</f>
        <v>1</v>
      </c>
      <c r="O2">
        <f>(MAX(G:G)-G2)/(MAX(G:G)-MIN(G:G))</f>
        <v>1</v>
      </c>
      <c r="P2">
        <f>(MAX(H:H)-H2)/(MAX(H:H)-MIN(H:H))</f>
        <v>1</v>
      </c>
      <c r="Q2">
        <f>(MAX(I:I)-I2)/(MAX(I:I)-MIN(I:I))</f>
        <v>1</v>
      </c>
    </row>
    <row r="3" spans="1:17" x14ac:dyDescent="0.6">
      <c r="A3">
        <v>30</v>
      </c>
      <c r="B3" t="s">
        <v>6</v>
      </c>
      <c r="C3" t="s">
        <v>184</v>
      </c>
      <c r="D3">
        <v>6.9449210900000002</v>
      </c>
      <c r="E3">
        <v>0.258124095</v>
      </c>
      <c r="F3">
        <v>5.3968339939999996</v>
      </c>
      <c r="G3">
        <v>0.39450969600000002</v>
      </c>
      <c r="H3">
        <v>4.5006103519999998</v>
      </c>
      <c r="I3">
        <v>0.329599423</v>
      </c>
      <c r="J3">
        <f>SUM(L3:Q3)</f>
        <v>5.6563809592106535</v>
      </c>
      <c r="K3">
        <f>0.5*SIN(RADIANS(60))*((L3*M3)+(M3*N3)+(N3*O3)+(O3*P3)+(P3*Q3)+(Q3*L3))</f>
        <v>2.3127222698589796</v>
      </c>
      <c r="L3">
        <f>(MAX(D:D)-D3)/(MAX(D:D)-MIN(D:D))</f>
        <v>1</v>
      </c>
      <c r="M3">
        <f>(MAX(E:E)-E3)/(MAX(E:E)-MIN(E:E))</f>
        <v>1</v>
      </c>
      <c r="N3">
        <f>(MAX(F:F)-F3)/(MAX(F:F)-MIN(F:F))</f>
        <v>0.99228745607332203</v>
      </c>
      <c r="O3">
        <f>(MAX(G:G)-G3)/(MAX(G:G)-MIN(G:G))</f>
        <v>0.99538247697426618</v>
      </c>
      <c r="P3">
        <f>(MAX(H:H)-H3)/(MAX(H:H)-MIN(H:H))</f>
        <v>0.83045782947582325</v>
      </c>
      <c r="Q3">
        <f>(MAX(I:I)-I3)/(MAX(I:I)-MIN(I:I))</f>
        <v>0.8382531966872423</v>
      </c>
    </row>
    <row r="4" spans="1:17" x14ac:dyDescent="0.6">
      <c r="A4">
        <v>30</v>
      </c>
      <c r="B4" t="s">
        <v>6</v>
      </c>
      <c r="C4" t="s">
        <v>7</v>
      </c>
      <c r="D4">
        <v>7.0741044869999996</v>
      </c>
      <c r="E4">
        <v>0.26864105500000002</v>
      </c>
      <c r="F4">
        <v>5.3911749090000001</v>
      </c>
      <c r="G4">
        <v>0.394375849</v>
      </c>
      <c r="H4">
        <v>4.4763793950000004</v>
      </c>
      <c r="I4">
        <v>0.31870420100000002</v>
      </c>
      <c r="J4">
        <f>SUM(L4:Q4)</f>
        <v>5.6228542146447058</v>
      </c>
      <c r="K4">
        <f>0.5*SIN(RADIANS(60))*((L4*M4)+(M4*N4)+(N4*O4)+(O4*P4)+(P4*Q4)+(Q4*L4))</f>
        <v>2.2831677007495936</v>
      </c>
      <c r="L4">
        <f>(MAX(D:D)-D4)/(MAX(D:D)-MIN(D:D))</f>
        <v>0.94472864612140539</v>
      </c>
      <c r="M4">
        <f>(MAX(E:E)-E4)/(MAX(E:E)-MIN(E:E))</f>
        <v>0.95803064126814164</v>
      </c>
      <c r="N4">
        <f>(MAX(F:F)-F4)/(MAX(F:F)-MIN(F:F))</f>
        <v>0.99492146517059921</v>
      </c>
      <c r="O4">
        <f>(MAX(G:G)-G4)/(MAX(G:G)-MIN(G:G))</f>
        <v>0.99611969503945608</v>
      </c>
      <c r="P4">
        <f>(MAX(H:H)-H4)/(MAX(H:H)-MIN(H:H))</f>
        <v>0.83984662030878465</v>
      </c>
      <c r="Q4">
        <f>(MAX(I:I)-I4)/(MAX(I:I)-MIN(I:I))</f>
        <v>0.88920714673631862</v>
      </c>
    </row>
    <row r="5" spans="1:17" x14ac:dyDescent="0.6">
      <c r="A5">
        <v>30</v>
      </c>
      <c r="B5" t="s">
        <v>99</v>
      </c>
      <c r="C5" t="s">
        <v>184</v>
      </c>
      <c r="D5">
        <v>7.0746923749999997</v>
      </c>
      <c r="E5">
        <v>0.268379164</v>
      </c>
      <c r="F5">
        <v>5.4036343770000004</v>
      </c>
      <c r="G5">
        <v>0.39516464000000001</v>
      </c>
      <c r="H5">
        <v>4.4638061520000001</v>
      </c>
      <c r="I5">
        <v>0.32595539800000001</v>
      </c>
      <c r="J5">
        <f>SUM(L5:Q5)</f>
        <v>5.5844638858887237</v>
      </c>
      <c r="K5">
        <f>0.5*SIN(RADIANS(60))*((L5*M5)+(M5*N5)+(N5*O5)+(O5*P5)+(P5*Q5)+(Q5*L5))</f>
        <v>2.253188615473638</v>
      </c>
      <c r="L5">
        <f>(MAX(D:D)-D5)/(MAX(D:D)-MIN(D:D))</f>
        <v>0.94447711715991678</v>
      </c>
      <c r="M5">
        <f>(MAX(E:E)-E5)/(MAX(E:E)-MIN(E:E))</f>
        <v>0.95907575290949487</v>
      </c>
      <c r="N5">
        <f>(MAX(F:F)-F5)/(MAX(F:F)-MIN(F:F))</f>
        <v>0.98912223224526985</v>
      </c>
      <c r="O5">
        <f>(MAX(G:G)-G5)/(MAX(G:G)-MIN(G:G))</f>
        <v>0.99177510027932625</v>
      </c>
      <c r="P5">
        <f>(MAX(H:H)-H5)/(MAX(H:H)-MIN(H:H))</f>
        <v>0.84471838615026595</v>
      </c>
      <c r="Q5">
        <f>(MAX(I:I)-I5)/(MAX(I:I)-MIN(I:I))</f>
        <v>0.85529529714445063</v>
      </c>
    </row>
    <row r="6" spans="1:17" x14ac:dyDescent="0.6">
      <c r="A6">
        <v>30</v>
      </c>
      <c r="B6" t="s">
        <v>9</v>
      </c>
      <c r="C6" t="s">
        <v>177</v>
      </c>
      <c r="D6">
        <v>7.0785406479999997</v>
      </c>
      <c r="E6">
        <v>0.26886777299999998</v>
      </c>
      <c r="F6">
        <v>5.3913911990000001</v>
      </c>
      <c r="G6">
        <v>0.394443504</v>
      </c>
      <c r="H6">
        <v>4.5274047849999999</v>
      </c>
      <c r="I6">
        <v>0.32923683599999998</v>
      </c>
      <c r="J6">
        <f>SUM(L6:Q6)</f>
        <v>5.5505490515811422</v>
      </c>
      <c r="K6">
        <f>0.5*SIN(RADIANS(60))*((L6*M6)+(M6*N6)+(N6*O6)+(O6*P6)+(P6*Q6)+(Q6*L6))</f>
        <v>2.2267702296740639</v>
      </c>
      <c r="L6">
        <f>(MAX(D:D)-D6)/(MAX(D:D)-MIN(D:D))</f>
        <v>0.94283062648275606</v>
      </c>
      <c r="M6">
        <f>(MAX(E:E)-E6)/(MAX(E:E)-MIN(E:E))</f>
        <v>0.95712589226529599</v>
      </c>
      <c r="N6">
        <f>(MAX(F:F)-F6)/(MAX(F:F)-MIN(F:F))</f>
        <v>0.99482079344934926</v>
      </c>
      <c r="O6">
        <f>(MAX(G:G)-G6)/(MAX(G:G)-MIN(G:G))</f>
        <v>0.99574705696613042</v>
      </c>
      <c r="P6">
        <f>(MAX(H:H)-H6)/(MAX(H:H)-MIN(H:H))</f>
        <v>0.82007576627770828</v>
      </c>
      <c r="Q6">
        <f>(MAX(I:I)-I6)/(MAX(I:I)-MIN(I:I))</f>
        <v>0.83994891613990197</v>
      </c>
    </row>
    <row r="7" spans="1:17" x14ac:dyDescent="0.6">
      <c r="A7">
        <v>30</v>
      </c>
      <c r="B7" t="s">
        <v>99</v>
      </c>
      <c r="C7" t="s">
        <v>177</v>
      </c>
      <c r="D7">
        <v>7.0389696099999997</v>
      </c>
      <c r="E7">
        <v>0.26562296600000002</v>
      </c>
      <c r="F7">
        <v>5.4290623340000002</v>
      </c>
      <c r="G7">
        <v>0.396953626</v>
      </c>
      <c r="H7">
        <v>4.595703125</v>
      </c>
      <c r="I7">
        <v>0.331826766</v>
      </c>
      <c r="J7">
        <f>SUM(L7:Q7)</f>
        <v>5.5104929365901043</v>
      </c>
      <c r="K7">
        <f>0.5*SIN(RADIANS(60))*((L7*M7)+(M7*N7)+(N7*O7)+(O7*P7)+(P7*Q7)+(Q7*L7))</f>
        <v>2.1951456093108423</v>
      </c>
      <c r="L7">
        <f>(MAX(D:D)-D7)/(MAX(D:D)-MIN(D:D))</f>
        <v>0.95976116783275112</v>
      </c>
      <c r="M7">
        <f>(MAX(E:E)-E7)/(MAX(E:E)-MIN(E:E))</f>
        <v>0.97007473575225833</v>
      </c>
      <c r="N7">
        <f>(MAX(F:F)-F7)/(MAX(F:F)-MIN(F:F))</f>
        <v>0.97728684365096907</v>
      </c>
      <c r="O7">
        <f>(MAX(G:G)-G7)/(MAX(G:G)-MIN(G:G))</f>
        <v>0.9819215152339269</v>
      </c>
      <c r="P7">
        <f>(MAX(H:H)-H7)/(MAX(H:H)-MIN(H:H))</f>
        <v>0.79361214668156532</v>
      </c>
      <c r="Q7">
        <f>(MAX(I:I)-I7)/(MAX(I:I)-MIN(I:I))</f>
        <v>0.82783652743863412</v>
      </c>
    </row>
    <row r="8" spans="1:17" x14ac:dyDescent="0.6">
      <c r="A8">
        <v>30</v>
      </c>
      <c r="B8" t="s">
        <v>92</v>
      </c>
      <c r="C8" t="s">
        <v>181</v>
      </c>
      <c r="D8" s="13">
        <v>7.0190722210000001</v>
      </c>
      <c r="E8">
        <v>0.263302492</v>
      </c>
      <c r="F8">
        <v>5.4377097709999997</v>
      </c>
      <c r="G8">
        <v>0.39732566499999999</v>
      </c>
      <c r="H8">
        <v>4.5749511719999996</v>
      </c>
      <c r="I8">
        <v>0.33985430300000002</v>
      </c>
      <c r="J8">
        <f>SUM(L8:Q8)</f>
        <v>5.4926903474201785</v>
      </c>
      <c r="K8">
        <f>0.5*SIN(RADIANS(60))*((L8*M8)+(M8*N8)+(N8*O8)+(O8*P8)+(P8*Q8)+(Q8*L8))</f>
        <v>2.1821098950745395</v>
      </c>
      <c r="L8">
        <f>(MAX(D:D)-D8)/(MAX(D:D)-MIN(D:D))</f>
        <v>0.96827430229289424</v>
      </c>
      <c r="M8">
        <f>(MAX(E:E)-E8)/(MAX(E:E)-MIN(E:E))</f>
        <v>0.97933490273339652</v>
      </c>
      <c r="N8">
        <f>(MAX(F:F)-F8)/(MAX(F:F)-MIN(F:F))</f>
        <v>0.97326191246047944</v>
      </c>
      <c r="O8">
        <f>(MAX(G:G)-G8)/(MAX(G:G)-MIN(G:G))</f>
        <v>0.97987235558331742</v>
      </c>
      <c r="P8">
        <f>(MAX(H:H)-H8)/(MAX(H:H)-MIN(H:H))</f>
        <v>0.80165292468684402</v>
      </c>
      <c r="Q8">
        <f>(MAX(I:I)-I8)/(MAX(I:I)-MIN(I:I))</f>
        <v>0.79029394966324651</v>
      </c>
    </row>
    <row r="9" spans="1:17" x14ac:dyDescent="0.6">
      <c r="A9">
        <v>30</v>
      </c>
      <c r="B9" t="s">
        <v>6</v>
      </c>
      <c r="C9" t="s">
        <v>181</v>
      </c>
      <c r="D9">
        <v>7.1613486200000001</v>
      </c>
      <c r="E9">
        <v>0.274647417</v>
      </c>
      <c r="F9">
        <v>5.4657379449999999</v>
      </c>
      <c r="G9">
        <v>0.39960011200000001</v>
      </c>
      <c r="H9">
        <v>4.4232177730000002</v>
      </c>
      <c r="I9">
        <v>0.32861494000000002</v>
      </c>
      <c r="J9">
        <f>SUM(L9:Q9)</f>
        <v>5.4723262253311935</v>
      </c>
      <c r="K9">
        <f>0.5*SIN(RADIANS(60))*((L9*M9)+(M9*N9)+(N9*O9)+(O9*P9)+(P9*Q9)+(Q9*L9))</f>
        <v>2.1632098434136404</v>
      </c>
      <c r="L9">
        <f>(MAX(D:D)-D9)/(MAX(D:D)-MIN(D:D))</f>
        <v>0.90740108344031079</v>
      </c>
      <c r="M9">
        <f>(MAX(E:E)-E9)/(MAX(E:E)-MIN(E:E))</f>
        <v>0.93406143710159539</v>
      </c>
      <c r="N9">
        <f>(MAX(F:F)-F9)/(MAX(F:F)-MIN(F:F))</f>
        <v>0.96021625838458635</v>
      </c>
      <c r="O9">
        <f>(MAX(G:G)-G9)/(MAX(G:G)-MIN(G:G))</f>
        <v>0.96734489201135354</v>
      </c>
      <c r="P9">
        <f>(MAX(H:H)-H9)/(MAX(H:H)-MIN(H:H))</f>
        <v>0.86044520208576414</v>
      </c>
      <c r="Q9">
        <f>(MAX(I:I)-I9)/(MAX(I:I)-MIN(I:I))</f>
        <v>0.84285735230758341</v>
      </c>
    </row>
    <row r="10" spans="1:17" x14ac:dyDescent="0.6">
      <c r="A10">
        <v>30</v>
      </c>
      <c r="B10" t="s">
        <v>6</v>
      </c>
      <c r="C10" t="s">
        <v>177</v>
      </c>
      <c r="D10" s="13">
        <v>6.9798013120000002</v>
      </c>
      <c r="E10">
        <v>0.26082164299999999</v>
      </c>
      <c r="F10">
        <v>5.414489154</v>
      </c>
      <c r="G10">
        <v>0.39583638799999998</v>
      </c>
      <c r="H10">
        <v>4.7343139650000001</v>
      </c>
      <c r="I10">
        <v>0.34857923200000002</v>
      </c>
      <c r="J10">
        <f>SUM(L10:Q10)</f>
        <v>5.4358509095832854</v>
      </c>
      <c r="K10">
        <f>0.5*SIN(RADIANS(60))*((L10*M10)+(M10*N10)+(N10*O10)+(O10*P10)+(P10*Q10)+(Q10*L10))</f>
        <v>2.1409103145112267</v>
      </c>
      <c r="L10">
        <f>(MAX(D:D)-D10)/(MAX(D:D)-MIN(D:D))</f>
        <v>0.98507643289852531</v>
      </c>
      <c r="M10">
        <f>(MAX(E:E)-E10)/(MAX(E:E)-MIN(E:E))</f>
        <v>0.98923506795610072</v>
      </c>
      <c r="N10">
        <f>(MAX(F:F)-F10)/(MAX(F:F)-MIN(F:F))</f>
        <v>0.98406989933863975</v>
      </c>
      <c r="O10">
        <f>(MAX(G:G)-G10)/(MAX(G:G)-MIN(G:G))</f>
        <v>0.98807516855986244</v>
      </c>
      <c r="P10">
        <f>(MAX(H:H)-H10)/(MAX(H:H)-MIN(H:H))</f>
        <v>0.73990447909166723</v>
      </c>
      <c r="Q10">
        <f>(MAX(I:I)-I10)/(MAX(I:I)-MIN(I:I))</f>
        <v>0.74948986173849041</v>
      </c>
    </row>
    <row r="11" spans="1:17" x14ac:dyDescent="0.6">
      <c r="A11">
        <v>30</v>
      </c>
      <c r="B11" t="s">
        <v>6</v>
      </c>
      <c r="C11" t="s">
        <v>167</v>
      </c>
      <c r="D11">
        <v>7.0867419250000001</v>
      </c>
      <c r="E11">
        <v>0.26887227600000002</v>
      </c>
      <c r="F11">
        <v>5.4375284439999998</v>
      </c>
      <c r="G11">
        <v>0.39761129499999998</v>
      </c>
      <c r="H11">
        <v>4.6083374020000001</v>
      </c>
      <c r="I11">
        <v>0.33992134899999998</v>
      </c>
      <c r="J11">
        <f>SUM(L11:Q11)</f>
        <v>5.4267721836119032</v>
      </c>
      <c r="K11">
        <f>0.5*SIN(RADIANS(60))*((L11*M11)+(M11*N11)+(N11*O11)+(O11*P11)+(P11*Q11)+(Q11*L11))</f>
        <v>2.1302366959649999</v>
      </c>
      <c r="L11">
        <f>(MAX(D:D)-D11)/(MAX(D:D)-MIN(D:D))</f>
        <v>0.93932169504225993</v>
      </c>
      <c r="M11">
        <f>(MAX(E:E)-E11)/(MAX(E:E)-MIN(E:E))</f>
        <v>0.95710792243158249</v>
      </c>
      <c r="N11">
        <f>(MAX(F:F)-F11)/(MAX(F:F)-MIN(F:F))</f>
        <v>0.97334631072761657</v>
      </c>
      <c r="O11">
        <f>(MAX(G:G)-G11)/(MAX(G:G)-MIN(G:G))</f>
        <v>0.97829912946722863</v>
      </c>
      <c r="P11">
        <f>(MAX(H:H)-H11)/(MAX(H:H)-MIN(H:H))</f>
        <v>0.78871673194088054</v>
      </c>
      <c r="Q11">
        <f>(MAX(I:I)-I11)/(MAX(I:I)-MIN(I:I))</f>
        <v>0.789980394002335</v>
      </c>
    </row>
    <row r="12" spans="1:17" x14ac:dyDescent="0.6">
      <c r="A12">
        <v>30</v>
      </c>
      <c r="B12" t="s">
        <v>92</v>
      </c>
      <c r="C12" t="s">
        <v>7</v>
      </c>
      <c r="D12">
        <v>7.102481</v>
      </c>
      <c r="E12">
        <v>0.26960000000000001</v>
      </c>
      <c r="F12">
        <v>5.5047560000000004</v>
      </c>
      <c r="G12">
        <v>0.402221</v>
      </c>
      <c r="H12">
        <v>4.533569</v>
      </c>
      <c r="I12">
        <v>0.33159</v>
      </c>
      <c r="J12">
        <f>SUM(L12:Q12)</f>
        <v>5.4283873207733695</v>
      </c>
      <c r="K12">
        <f>0.5*SIN(RADIANS(60))*((L12*M12)+(M12*N12)+(N12*O12)+(O12*P12)+(P12*Q12)+(Q12*L12))</f>
        <v>2.1289270420459228</v>
      </c>
      <c r="L12">
        <f>(MAX(D:D)-D12)/(MAX(D:D)-MIN(D:D))</f>
        <v>0.93258770287106207</v>
      </c>
      <c r="M12">
        <f>(MAX(E:E)-E12)/(MAX(E:E)-MIN(E:E))</f>
        <v>0.95420384087058174</v>
      </c>
      <c r="N12">
        <f>(MAX(F:F)-F12)/(MAX(F:F)-MIN(F:F))</f>
        <v>0.94205538753213014</v>
      </c>
      <c r="O12">
        <f>(MAX(G:G)-G12)/(MAX(G:G)-MIN(G:G))</f>
        <v>0.9529092604287327</v>
      </c>
      <c r="P12">
        <f>(MAX(H:H)-H12)/(MAX(H:H)-MIN(H:H))</f>
        <v>0.81768731231427605</v>
      </c>
      <c r="Q12">
        <f>(MAX(I:I)-I12)/(MAX(I:I)-MIN(I:I))</f>
        <v>0.82894381675658646</v>
      </c>
    </row>
    <row r="13" spans="1:17" x14ac:dyDescent="0.6">
      <c r="A13">
        <v>30</v>
      </c>
      <c r="B13" t="s">
        <v>6</v>
      </c>
      <c r="C13" t="s">
        <v>171</v>
      </c>
      <c r="D13">
        <v>7.3118162099999999</v>
      </c>
      <c r="E13">
        <v>0.288365702</v>
      </c>
      <c r="F13">
        <v>5.5585795280000001</v>
      </c>
      <c r="G13">
        <v>0.40722401200000002</v>
      </c>
      <c r="H13">
        <v>4.2322387700000004</v>
      </c>
      <c r="I13">
        <v>0.31374622899999999</v>
      </c>
      <c r="J13">
        <f>SUM(L13:Q13)</f>
        <v>5.4115346585635056</v>
      </c>
      <c r="K13">
        <f>0.5*SIN(RADIANS(60))*((L13*M13)+(M13*N13)+(N13*O13)+(O13*P13)+(P13*Q13)+(Q13*L13))</f>
        <v>2.1142339838571025</v>
      </c>
      <c r="L13">
        <f>(MAX(D:D)-D13)/(MAX(D:D)-MIN(D:D))</f>
        <v>0.84302324846087207</v>
      </c>
      <c r="M13">
        <f>(MAX(E:E)-E13)/(MAX(E:E)-MIN(E:E))</f>
        <v>0.87931675571544665</v>
      </c>
      <c r="N13">
        <f>(MAX(F:F)-F13)/(MAX(F:F)-MIN(F:F))</f>
        <v>0.91700334070838296</v>
      </c>
      <c r="O13">
        <f>(MAX(G:G)-G13)/(MAX(G:G)-MIN(G:G))</f>
        <v>0.92535308937700078</v>
      </c>
      <c r="P13">
        <f>(MAX(H:H)-H13)/(MAX(H:H)-MIN(H:H))</f>
        <v>0.93444400917598969</v>
      </c>
      <c r="Q13">
        <f>(MAX(I:I)-I13)/(MAX(I:I)-MIN(I:I))</f>
        <v>0.91239421512581276</v>
      </c>
    </row>
    <row r="14" spans="1:17" x14ac:dyDescent="0.6">
      <c r="A14">
        <v>30</v>
      </c>
      <c r="B14" t="s">
        <v>92</v>
      </c>
      <c r="C14" t="s">
        <v>171</v>
      </c>
      <c r="D14">
        <v>7.1621247610000003</v>
      </c>
      <c r="E14">
        <v>0.275117677</v>
      </c>
      <c r="F14">
        <v>5.5567585470000003</v>
      </c>
      <c r="G14">
        <v>0.40637251200000002</v>
      </c>
      <c r="H14">
        <v>4.4996948239999996</v>
      </c>
      <c r="I14">
        <v>0.327213262</v>
      </c>
      <c r="J14">
        <f>SUM(L14:Q14)</f>
        <v>5.3673729871106968</v>
      </c>
      <c r="K14">
        <f>0.5*SIN(RADIANS(60))*((L14*M14)+(M14*N14)+(N14*O14)+(O14*P14)+(P14*Q14)+(Q14*L14))</f>
        <v>2.0800516503024991</v>
      </c>
      <c r="L14">
        <f>(MAX(D:D)-D14)/(MAX(D:D)-MIN(D:D))</f>
        <v>0.90706901008671492</v>
      </c>
      <c r="M14">
        <f>(MAX(E:E)-E14)/(MAX(E:E)-MIN(E:E))</f>
        <v>0.93218480063656706</v>
      </c>
      <c r="N14">
        <f>(MAX(F:F)-F14)/(MAX(F:F)-MIN(F:F))</f>
        <v>0.91785091244833183</v>
      </c>
      <c r="O14">
        <f>(MAX(G:G)-G14)/(MAX(G:G)-MIN(G:G))</f>
        <v>0.93004308005672531</v>
      </c>
      <c r="P14">
        <f>(MAX(H:H)-H14)/(MAX(H:H)-MIN(H:H))</f>
        <v>0.83081256993835306</v>
      </c>
      <c r="Q14">
        <f>(MAX(I:I)-I14)/(MAX(I:I)-MIN(I:I))</f>
        <v>0.84941261394400447</v>
      </c>
    </row>
    <row r="15" spans="1:17" x14ac:dyDescent="0.6">
      <c r="A15">
        <v>30</v>
      </c>
      <c r="B15" t="s">
        <v>92</v>
      </c>
      <c r="C15" t="s">
        <v>184</v>
      </c>
      <c r="D15" s="13">
        <v>7.1172234830000001</v>
      </c>
      <c r="E15">
        <v>0.27072464299999999</v>
      </c>
      <c r="F15">
        <v>5.5274770789999996</v>
      </c>
      <c r="G15">
        <v>0.40387515899999998</v>
      </c>
      <c r="H15">
        <v>4.5657958980000002</v>
      </c>
      <c r="I15">
        <v>0.33906506800000002</v>
      </c>
      <c r="J15">
        <f>SUM(L15:Q15)</f>
        <v>5.3504594164517538</v>
      </c>
      <c r="K15">
        <f>0.5*SIN(RADIANS(60))*((L15*M15)+(M15*N15)+(N15*O15)+(O15*P15)+(P15*Q15)+(Q15*L15))</f>
        <v>2.069016676537867</v>
      </c>
      <c r="L15">
        <f>(MAX(D:D)-D15)/(MAX(D:D)-MIN(D:D))</f>
        <v>0.92628010441905528</v>
      </c>
      <c r="M15">
        <f>(MAX(E:E)-E15)/(MAX(E:E)-MIN(E:E))</f>
        <v>0.94971580007625789</v>
      </c>
      <c r="N15">
        <f>(MAX(F:F)-F15)/(MAX(F:F)-MIN(F:F))</f>
        <v>0.93147990955539772</v>
      </c>
      <c r="O15">
        <f>(MAX(G:G)-G15)/(MAX(G:G)-MIN(G:G))</f>
        <v>0.94379829120643999</v>
      </c>
      <c r="P15">
        <f>(MAX(H:H)-H15)/(MAX(H:H)-MIN(H:H))</f>
        <v>0.80520032698731636</v>
      </c>
      <c r="Q15">
        <f>(MAX(I:I)-I15)/(MAX(I:I)-MIN(I:I))</f>
        <v>0.79398498420728636</v>
      </c>
    </row>
    <row r="16" spans="1:17" x14ac:dyDescent="0.6">
      <c r="A16">
        <v>30</v>
      </c>
      <c r="B16" t="s">
        <v>92</v>
      </c>
      <c r="C16" t="s">
        <v>174</v>
      </c>
      <c r="D16" s="13">
        <v>7.1899717330000001</v>
      </c>
      <c r="E16">
        <v>0.276100185</v>
      </c>
      <c r="F16">
        <v>5.5557754660000001</v>
      </c>
      <c r="G16">
        <v>0.40580977499999998</v>
      </c>
      <c r="H16">
        <v>4.5750732420000002</v>
      </c>
      <c r="I16">
        <v>0.33253939700000001</v>
      </c>
      <c r="J16">
        <f>SUM(L16:Q16)</f>
        <v>5.3009790493421463</v>
      </c>
      <c r="K16">
        <f>0.5*SIN(RADIANS(60))*((L16*M16)+(M16*N16)+(N16*O16)+(O16*P16)+(P16*Q16)+(Q16*L16))</f>
        <v>2.029652976691771</v>
      </c>
      <c r="L16">
        <f>(MAX(D:D)-D16)/(MAX(D:D)-MIN(D:D))</f>
        <v>0.89515463192665368</v>
      </c>
      <c r="M16">
        <f>(MAX(E:E)-E16)/(MAX(E:E)-MIN(E:E))</f>
        <v>0.9282639688839579</v>
      </c>
      <c r="N16">
        <f>(MAX(F:F)-F16)/(MAX(F:F)-MIN(F:F))</f>
        <v>0.91830848541239962</v>
      </c>
      <c r="O16">
        <f>(MAX(G:G)-G16)/(MAX(G:G)-MIN(G:G))</f>
        <v>0.93314258831877606</v>
      </c>
      <c r="P16">
        <f>(MAX(H:H)-H16)/(MAX(H:H)-MIN(H:H))</f>
        <v>0.80160562611349484</v>
      </c>
      <c r="Q16">
        <f>(MAX(I:I)-I16)/(MAX(I:I)-MIN(I:I))</f>
        <v>0.82450374868686349</v>
      </c>
    </row>
    <row r="17" spans="1:17" x14ac:dyDescent="0.6">
      <c r="A17">
        <v>30</v>
      </c>
      <c r="B17" t="s">
        <v>99</v>
      </c>
      <c r="C17" t="s">
        <v>174</v>
      </c>
      <c r="D17">
        <v>7.2855276250000003</v>
      </c>
      <c r="E17">
        <v>0.28530570700000002</v>
      </c>
      <c r="F17">
        <v>5.5776900500000002</v>
      </c>
      <c r="G17">
        <v>0.40814862200000002</v>
      </c>
      <c r="H17">
        <v>4.5207519530000004</v>
      </c>
      <c r="I17">
        <v>0.323686099</v>
      </c>
      <c r="J17">
        <f>SUM(L17:Q17)</f>
        <v>5.2627294815822765</v>
      </c>
      <c r="K17">
        <f>0.5*SIN(RADIANS(60))*((L17*M17)+(M17*N17)+(N17*O17)+(O17*P17)+(P17*Q17)+(Q17*L17))</f>
        <v>1.998797398857975</v>
      </c>
      <c r="L17">
        <f>(MAX(D:D)-D17)/(MAX(D:D)-MIN(D:D))</f>
        <v>0.854270867878269</v>
      </c>
      <c r="M17">
        <f>(MAX(E:E)-E17)/(MAX(E:E)-MIN(E:E))</f>
        <v>0.89152808178996745</v>
      </c>
      <c r="N17">
        <f>(MAX(F:F)-F17)/(MAX(F:F)-MIN(F:F))</f>
        <v>0.90810838882098055</v>
      </c>
      <c r="O17">
        <f>(MAX(G:G)-G17)/(MAX(G:G)-MIN(G:G))</f>
        <v>0.92026041494085287</v>
      </c>
      <c r="P17">
        <f>(MAX(H:H)-H17)/(MAX(H:H)-MIN(H:H))</f>
        <v>0.82265354511223099</v>
      </c>
      <c r="Q17">
        <f>(MAX(I:I)-I17)/(MAX(I:I)-MIN(I:I))</f>
        <v>0.86590818303997608</v>
      </c>
    </row>
    <row r="18" spans="1:17" x14ac:dyDescent="0.6">
      <c r="A18">
        <v>30</v>
      </c>
      <c r="B18" t="s">
        <v>99</v>
      </c>
      <c r="C18" t="s">
        <v>7</v>
      </c>
      <c r="D18">
        <v>7.2696249999999996</v>
      </c>
      <c r="E18">
        <v>0.28449999999999998</v>
      </c>
      <c r="F18">
        <v>5.5980309999999998</v>
      </c>
      <c r="G18">
        <v>0.40990300000000002</v>
      </c>
      <c r="H18">
        <v>4.5358890000000001</v>
      </c>
      <c r="I18">
        <v>0.332318</v>
      </c>
      <c r="J18">
        <f>SUM(L18:Q18)</f>
        <v>5.2073839262700838</v>
      </c>
      <c r="K18">
        <f>0.5*SIN(RADIANS(60))*((L18*M18)+(M18*N18)+(N18*O18)+(O18*P18)+(P18*Q18)+(Q18*L18))</f>
        <v>1.9579539670365123</v>
      </c>
      <c r="L18">
        <f>(MAX(D:D)-D18)/(MAX(D:D)-MIN(D:D))</f>
        <v>0.86107483521761397</v>
      </c>
      <c r="M18">
        <f>(MAX(E:E)-E18)/(MAX(E:E)-MIN(E:E))</f>
        <v>0.89474336511478481</v>
      </c>
      <c r="N18">
        <f>(MAX(F:F)-F18)/(MAX(F:F)-MIN(F:F))</f>
        <v>0.89864073683355428</v>
      </c>
      <c r="O18">
        <f>(MAX(G:G)-G18)/(MAX(G:G)-MIN(G:G))</f>
        <v>0.91059744786074293</v>
      </c>
      <c r="P18">
        <f>(MAX(H:H)-H18)/(MAX(H:H)-MIN(H:H))</f>
        <v>0.81678837981513985</v>
      </c>
      <c r="Q18">
        <f>(MAX(I:I)-I18)/(MAX(I:I)-MIN(I:I))</f>
        <v>0.82553916142824824</v>
      </c>
    </row>
    <row r="19" spans="1:17" x14ac:dyDescent="0.6">
      <c r="A19">
        <v>30</v>
      </c>
      <c r="B19" t="s">
        <v>92</v>
      </c>
      <c r="C19" t="s">
        <v>177</v>
      </c>
      <c r="D19">
        <v>7.4298276870000004</v>
      </c>
      <c r="E19">
        <v>0.296828441</v>
      </c>
      <c r="F19" s="13">
        <v>5.6015613149999997</v>
      </c>
      <c r="G19" s="13">
        <v>0.41004964300000002</v>
      </c>
      <c r="H19">
        <v>4.3900146480000002</v>
      </c>
      <c r="I19" s="13">
        <v>0.32433594399999999</v>
      </c>
      <c r="J19">
        <f>SUM(L19:Q19)</f>
        <v>5.1810436600476075</v>
      </c>
      <c r="K19">
        <f>0.5*SIN(RADIANS(60))*((L19*M19)+(M19*N19)+(N19*O19)+(O19*P19)+(P19*Q19)+(Q19*L19))</f>
        <v>1.9384181614439668</v>
      </c>
      <c r="L19">
        <f>(MAX(D:D)-D19)/(MAX(D:D)-MIN(D:D))</f>
        <v>0.79253182109112508</v>
      </c>
      <c r="M19">
        <f>(MAX(E:E)-E19)/(MAX(E:E)-MIN(E:E))</f>
        <v>0.84554504516933005</v>
      </c>
      <c r="N19">
        <f>(MAX(F:F)-F19)/(MAX(F:F)-MIN(F:F))</f>
        <v>0.89699755921274549</v>
      </c>
      <c r="O19">
        <f>(MAX(G:G)-G19)/(MAX(G:G)-MIN(G:G))</f>
        <v>0.90978975049932553</v>
      </c>
      <c r="P19">
        <f>(MAX(H:H)-H19)/(MAX(H:H)-MIN(H:H))</f>
        <v>0.87331044697170401</v>
      </c>
      <c r="Q19">
        <f>(MAX(I:I)-I19)/(MAX(I:I)-MIN(I:I))</f>
        <v>0.86286903710337737</v>
      </c>
    </row>
    <row r="20" spans="1:17" x14ac:dyDescent="0.6">
      <c r="A20">
        <v>30</v>
      </c>
      <c r="B20" t="s">
        <v>99</v>
      </c>
      <c r="C20" t="s">
        <v>181</v>
      </c>
      <c r="D20" s="13">
        <v>7.2015741179999999</v>
      </c>
      <c r="E20">
        <v>0.277904135</v>
      </c>
      <c r="F20">
        <v>5.4982489430000001</v>
      </c>
      <c r="G20">
        <v>0.40196100699999998</v>
      </c>
      <c r="H20">
        <v>4.8254394530000004</v>
      </c>
      <c r="I20">
        <v>0.35399384299999997</v>
      </c>
      <c r="J20">
        <f>SUM(L20:Q20)</f>
        <v>5.1394441772419723</v>
      </c>
      <c r="K20">
        <f>0.5*SIN(RADIANS(60))*((L20*M20)+(M20*N20)+(N20*O20)+(O20*P20)+(P20*Q20)+(Q20*L20))</f>
        <v>1.9137677311351349</v>
      </c>
      <c r="L20">
        <f>(MAX(D:D)-D20)/(MAX(D:D)-MIN(D:D))</f>
        <v>0.89019053017625083</v>
      </c>
      <c r="M20">
        <f>(MAX(E:E)-E20)/(MAX(E:E)-MIN(E:E))</f>
        <v>0.92106506114975184</v>
      </c>
      <c r="N20">
        <f>(MAX(F:F)-F20)/(MAX(F:F)-MIN(F:F))</f>
        <v>0.94508408339630312</v>
      </c>
      <c r="O20">
        <f>(MAX(G:G)-G20)/(MAX(G:G)-MIN(G:G))</f>
        <v>0.95434128009613572</v>
      </c>
      <c r="P20">
        <f>(MAX(H:H)-H20)/(MAX(H:H)-MIN(H:H))</f>
        <v>0.7045960038059591</v>
      </c>
      <c r="Q20">
        <f>(MAX(I:I)-I20)/(MAX(I:I)-MIN(I:I))</f>
        <v>0.72416721861757216</v>
      </c>
    </row>
    <row r="21" spans="1:17" x14ac:dyDescent="0.6">
      <c r="A21">
        <v>30</v>
      </c>
      <c r="B21" t="s">
        <v>6</v>
      </c>
      <c r="C21" t="s">
        <v>174</v>
      </c>
      <c r="D21">
        <v>7.3132836040000004</v>
      </c>
      <c r="E21">
        <v>0.28748316899999998</v>
      </c>
      <c r="F21" s="13">
        <v>5.6368722269999996</v>
      </c>
      <c r="G21" s="13">
        <v>0.41241311899999999</v>
      </c>
      <c r="H21">
        <v>4.64453125</v>
      </c>
      <c r="I21">
        <v>0.33701328400000002</v>
      </c>
      <c r="J21">
        <f>SUM(L21:Q21)</f>
        <v>5.0808414190428177</v>
      </c>
      <c r="K21">
        <f>0.5*SIN(RADIANS(60))*((L21*M21)+(M21*N21)+(N21*O21)+(O21*P21)+(P21*Q21)+(Q21*L21))</f>
        <v>1.8640937922291796</v>
      </c>
      <c r="L21">
        <f>(MAX(D:D)-D21)/(MAX(D:D)-MIN(D:D))</f>
        <v>0.84239542124052613</v>
      </c>
      <c r="M21">
        <f>(MAX(E:E)-E21)/(MAX(E:E)-MIN(E:E))</f>
        <v>0.88283862363827836</v>
      </c>
      <c r="N21">
        <f>(MAX(F:F)-F21)/(MAX(F:F)-MIN(F:F))</f>
        <v>0.88056217019823835</v>
      </c>
      <c r="O21">
        <f>(MAX(G:G)-G21)/(MAX(G:G)-MIN(G:G))</f>
        <v>0.89677192265228822</v>
      </c>
      <c r="P21">
        <f>(MAX(H:H)-H21)/(MAX(H:H)-MIN(H:H))</f>
        <v>0.77469266890812427</v>
      </c>
      <c r="Q21">
        <f>(MAX(I:I)-I21)/(MAX(I:I)-MIN(I:I))</f>
        <v>0.80358061240536205</v>
      </c>
    </row>
    <row r="22" spans="1:17" x14ac:dyDescent="0.6">
      <c r="A22">
        <v>30</v>
      </c>
      <c r="B22" t="s">
        <v>9</v>
      </c>
      <c r="C22" t="s">
        <v>174</v>
      </c>
      <c r="D22">
        <v>7.3205897259999997</v>
      </c>
      <c r="E22">
        <v>0.28517133300000003</v>
      </c>
      <c r="F22">
        <v>5.7015777879999998</v>
      </c>
      <c r="G22">
        <v>0.416100521</v>
      </c>
      <c r="H22">
        <v>4.6337280270000001</v>
      </c>
      <c r="I22">
        <v>0.339841328</v>
      </c>
      <c r="J22">
        <f>SUM(L22:Q22)</f>
        <v>5.0274741621864365</v>
      </c>
      <c r="K22">
        <f>0.5*SIN(RADIANS(60))*((L22*M22)+(M22*N22)+(N22*O22)+(O22*P22)+(P22*Q22)+(Q22*L22))</f>
        <v>1.8248390543039255</v>
      </c>
      <c r="L22">
        <f>(MAX(D:D)-D22)/(MAX(D:D)-MIN(D:D))</f>
        <v>0.83926948351230435</v>
      </c>
      <c r="M22">
        <f>(MAX(E:E)-E22)/(MAX(E:E)-MIN(E:E))</f>
        <v>0.89206431950602172</v>
      </c>
      <c r="N22">
        <f>(MAX(F:F)-F22)/(MAX(F:F)-MIN(F:F))</f>
        <v>0.85044510422053343</v>
      </c>
      <c r="O22">
        <f>(MAX(G:G)-G22)/(MAX(G:G)-MIN(G:G))</f>
        <v>0.87646202128717099</v>
      </c>
      <c r="P22">
        <f>(MAX(H:H)-H22)/(MAX(H:H)-MIN(H:H))</f>
        <v>0.7788786034986912</v>
      </c>
      <c r="Q22">
        <f>(MAX(I:I)-I22)/(MAX(I:I)-MIN(I:I))</f>
        <v>0.79035463016171537</v>
      </c>
    </row>
    <row r="23" spans="1:17" x14ac:dyDescent="0.6">
      <c r="A23">
        <v>30</v>
      </c>
      <c r="B23" t="s">
        <v>99</v>
      </c>
      <c r="C23" t="s">
        <v>8</v>
      </c>
      <c r="D23" s="13">
        <v>7.1938149999999998</v>
      </c>
      <c r="E23">
        <v>0.27739999999999998</v>
      </c>
      <c r="F23" s="13">
        <v>5.5053179999999999</v>
      </c>
      <c r="G23" s="13">
        <v>0.40247699999999997</v>
      </c>
      <c r="H23">
        <v>5.0181269999999998</v>
      </c>
      <c r="I23" s="13">
        <v>0.36741200000000002</v>
      </c>
      <c r="J23">
        <f>SUM(L23:Q23)</f>
        <v>5.0012295858212834</v>
      </c>
      <c r="K23">
        <f>0.5*SIN(RADIANS(60))*((L23*M23)+(M23*N23)+(N23*O23)+(O23*P23)+(P23*Q23)+(Q23*L23))</f>
        <v>1.8174643667659265</v>
      </c>
      <c r="L23">
        <f>(MAX(D:D)-D23)/(MAX(D:D)-MIN(D:D))</f>
        <v>0.8935102830757955</v>
      </c>
      <c r="M23">
        <f>(MAX(E:E)-E23)/(MAX(E:E)-MIN(E:E))</f>
        <v>0.92307688040781566</v>
      </c>
      <c r="N23">
        <f>(MAX(F:F)-F23)/(MAX(F:F)-MIN(F:F))</f>
        <v>0.94179380582542871</v>
      </c>
      <c r="O23">
        <f>(MAX(G:G)-G23)/(MAX(G:G)-MIN(G:G))</f>
        <v>0.95149923387088264</v>
      </c>
      <c r="P23">
        <f>(MAX(H:H)-H23)/(MAX(H:H)-MIN(H:H))</f>
        <v>0.62993518562616291</v>
      </c>
      <c r="Q23">
        <f>(MAX(I:I)-I23)/(MAX(I:I)-MIN(I:I))</f>
        <v>0.66141419701519755</v>
      </c>
    </row>
    <row r="24" spans="1:17" x14ac:dyDescent="0.6">
      <c r="A24">
        <v>30</v>
      </c>
      <c r="B24" t="s">
        <v>92</v>
      </c>
      <c r="C24" t="s">
        <v>167</v>
      </c>
      <c r="D24">
        <v>7.3448530400000003</v>
      </c>
      <c r="E24">
        <v>0.28724003199999998</v>
      </c>
      <c r="F24">
        <v>5.7409259090000004</v>
      </c>
      <c r="G24">
        <v>0.41901546499999998</v>
      </c>
      <c r="H24">
        <v>4.6744995119999997</v>
      </c>
      <c r="I24">
        <v>0.34660005100000002</v>
      </c>
      <c r="J24">
        <f>SUM(L24:Q24)</f>
        <v>4.9270614186776687</v>
      </c>
      <c r="K24">
        <f>0.5*SIN(RADIANS(60))*((L24*M24)+(M24*N24)+(N24*O24)+(O24*P24)+(P24*Q24)+(Q24*L24))</f>
        <v>1.7530321109937024</v>
      </c>
      <c r="L24">
        <f>(MAX(D:D)-D24)/(MAX(D:D)-MIN(D:D))</f>
        <v>0.82888838001522347</v>
      </c>
      <c r="M24">
        <f>(MAX(E:E)-E24)/(MAX(E:E)-MIN(E:E))</f>
        <v>0.88380889489289838</v>
      </c>
      <c r="N24">
        <f>(MAX(F:F)-F24)/(MAX(F:F)-MIN(F:F))</f>
        <v>0.83213060484920842</v>
      </c>
      <c r="O24">
        <f>(MAX(G:G)-G24)/(MAX(G:G)-MIN(G:G))</f>
        <v>0.86040675388620957</v>
      </c>
      <c r="P24">
        <f>(MAX(H:H)-H24)/(MAX(H:H)-MIN(H:H))</f>
        <v>0.76308083931569881</v>
      </c>
      <c r="Q24">
        <f>(MAX(I:I)-I24)/(MAX(I:I)-MIN(I:I))</f>
        <v>0.75874594571842957</v>
      </c>
    </row>
    <row r="25" spans="1:17" x14ac:dyDescent="0.6">
      <c r="A25">
        <v>30</v>
      </c>
      <c r="B25" t="s">
        <v>9</v>
      </c>
      <c r="C25" t="s">
        <v>7</v>
      </c>
      <c r="D25" s="13">
        <v>7.2593668100000004</v>
      </c>
      <c r="E25">
        <v>0.28106569300000001</v>
      </c>
      <c r="F25" s="13">
        <v>5.6277566559999999</v>
      </c>
      <c r="G25" s="13">
        <v>0.41086201500000002</v>
      </c>
      <c r="H25">
        <v>4.9595947269999998</v>
      </c>
      <c r="I25" s="13">
        <v>0.359681892</v>
      </c>
      <c r="J25">
        <f>SUM(L25:Q25)</f>
        <v>4.9142130414619229</v>
      </c>
      <c r="K25">
        <f>0.5*SIN(RADIANS(60))*((L25*M25)+(M25*N25)+(N25*O25)+(O25*P25)+(P25*Q25)+(Q25*L25))</f>
        <v>1.7497342602408459</v>
      </c>
      <c r="L25">
        <f>(MAX(D:D)-D25)/(MAX(D:D)-MIN(D:D))</f>
        <v>0.86546382066629213</v>
      </c>
      <c r="M25">
        <f>(MAX(E:E)-E25)/(MAX(E:E)-MIN(E:E))</f>
        <v>0.90844843411555409</v>
      </c>
      <c r="N25">
        <f>(MAX(F:F)-F25)/(MAX(F:F)-MIN(F:F))</f>
        <v>0.88480499336503604</v>
      </c>
      <c r="O25">
        <f>(MAX(G:G)-G25)/(MAX(G:G)-MIN(G:G))</f>
        <v>0.90531527356630248</v>
      </c>
      <c r="P25">
        <f>(MAX(H:H)-H25)/(MAX(H:H)-MIN(H:H))</f>
        <v>0.65261473840547779</v>
      </c>
      <c r="Q25">
        <f>(MAX(I:I)-I25)/(MAX(I:I)-MIN(I:I))</f>
        <v>0.69756578134326053</v>
      </c>
    </row>
    <row r="26" spans="1:17" x14ac:dyDescent="0.6">
      <c r="A26">
        <v>30</v>
      </c>
      <c r="B26" t="s">
        <v>9</v>
      </c>
      <c r="C26" t="s">
        <v>171</v>
      </c>
      <c r="D26">
        <v>7.5494601919999997</v>
      </c>
      <c r="E26">
        <v>0.30704520400000002</v>
      </c>
      <c r="F26" s="13">
        <v>5.7602390919999999</v>
      </c>
      <c r="G26" s="13">
        <v>0.42193719400000002</v>
      </c>
      <c r="H26">
        <v>4.4500122070000003</v>
      </c>
      <c r="I26" s="13">
        <v>0.32860352100000001</v>
      </c>
      <c r="J26">
        <f>SUM(L26:Q26)</f>
        <v>4.9065498317178537</v>
      </c>
      <c r="K26">
        <f>0.5*SIN(RADIANS(60))*((L26*M26)+(M26*N26)+(N26*O26)+(O26*P26)+(P26*Q26)+(Q26*L26))</f>
        <v>1.737760337955474</v>
      </c>
      <c r="L26">
        <f>(MAX(D:D)-D26)/(MAX(D:D)-MIN(D:D))</f>
        <v>0.7413468339117143</v>
      </c>
      <c r="M26">
        <f>(MAX(E:E)-E26)/(MAX(E:E)-MIN(E:E))</f>
        <v>0.80477366337978462</v>
      </c>
      <c r="N26">
        <f>(MAX(F:F)-F26)/(MAX(F:F)-MIN(F:F))</f>
        <v>0.82314132482966773</v>
      </c>
      <c r="O26">
        <f>(MAX(G:G)-G26)/(MAX(G:G)-MIN(G:G))</f>
        <v>0.8443141152735486</v>
      </c>
      <c r="P26">
        <f>(MAX(H:H)-H26)/(MAX(H:H)-MIN(H:H))</f>
        <v>0.85006313850017823</v>
      </c>
      <c r="Q26">
        <f>(MAX(I:I)-I26)/(MAX(I:I)-MIN(I:I))</f>
        <v>0.84291075582296027</v>
      </c>
    </row>
    <row r="27" spans="1:17" x14ac:dyDescent="0.6">
      <c r="A27">
        <v>30</v>
      </c>
      <c r="B27" t="s">
        <v>92</v>
      </c>
      <c r="C27" t="s">
        <v>8</v>
      </c>
      <c r="D27">
        <v>7.3824569999999996</v>
      </c>
      <c r="E27">
        <v>0.2903</v>
      </c>
      <c r="F27">
        <v>5.7939259999999999</v>
      </c>
      <c r="G27">
        <v>0.42299999999999999</v>
      </c>
      <c r="H27">
        <v>4.7860719999999999</v>
      </c>
      <c r="I27">
        <v>0.34620400000000001</v>
      </c>
      <c r="J27">
        <f>SUM(L27:Q27)</f>
        <v>4.8107671405566004</v>
      </c>
      <c r="K27">
        <f>0.5*SIN(RADIANS(60))*((L27*M27)+(M27*N27)+(N27*O27)+(O27*P27)+(P27*Q27)+(Q27*L27))</f>
        <v>1.6707951913408678</v>
      </c>
      <c r="L27">
        <f>(MAX(D:D)-D27)/(MAX(D:D)-MIN(D:D))</f>
        <v>0.81279945660352149</v>
      </c>
      <c r="M27">
        <f>(MAX(E:E)-E27)/(MAX(E:E)-MIN(E:E))</f>
        <v>0.87159767656554821</v>
      </c>
      <c r="N27">
        <f>(MAX(F:F)-F27)/(MAX(F:F)-MIN(F:F))</f>
        <v>0.80746182502870212</v>
      </c>
      <c r="O27">
        <f>(MAX(G:G)-G27)/(MAX(G:G)-MIN(G:G))</f>
        <v>0.83846026884447633</v>
      </c>
      <c r="P27">
        <f>(MAX(H:H)-H27)/(MAX(H:H)-MIN(H:H))</f>
        <v>0.71984974643954358</v>
      </c>
      <c r="Q27">
        <f>(MAX(I:I)-I27)/(MAX(I:I)-MIN(I:I))</f>
        <v>0.76059816707480832</v>
      </c>
    </row>
    <row r="28" spans="1:17" x14ac:dyDescent="0.6">
      <c r="A28">
        <v>30</v>
      </c>
      <c r="B28" t="s">
        <v>6</v>
      </c>
      <c r="C28" t="s">
        <v>8</v>
      </c>
      <c r="D28">
        <v>7.4534726520000003</v>
      </c>
      <c r="E28">
        <v>0.29792400000000002</v>
      </c>
      <c r="F28" s="13">
        <v>5.6844968329999999</v>
      </c>
      <c r="G28" s="13">
        <v>0.41555569799999997</v>
      </c>
      <c r="H28">
        <v>4.8734130860000002</v>
      </c>
      <c r="I28" s="13">
        <v>0.35191327</v>
      </c>
      <c r="J28">
        <f>SUM(L28:Q28)</f>
        <v>4.7813517084303223</v>
      </c>
      <c r="K28">
        <f>0.5*SIN(RADIANS(60))*((L28*M28)+(M28*N28)+(N28*O28)+(O28*P28)+(P28*Q28)+(Q28*L28))</f>
        <v>1.6524296081473155</v>
      </c>
      <c r="L28">
        <f>(MAX(D:D)-D28)/(MAX(D:D)-MIN(D:D))</f>
        <v>0.78241527935037813</v>
      </c>
      <c r="M28">
        <f>(MAX(E:E)-E28)/(MAX(E:E)-MIN(E:E))</f>
        <v>0.84117306803117253</v>
      </c>
      <c r="N28">
        <f>(MAX(F:F)-F28)/(MAX(F:F)-MIN(F:F))</f>
        <v>0.85839539845717883</v>
      </c>
      <c r="O28">
        <f>(MAX(G:G)-G28)/(MAX(G:G)-MIN(G:G))</f>
        <v>0.87946286073766966</v>
      </c>
      <c r="P28">
        <f>(MAX(H:H)-H28)/(MAX(H:H)-MIN(H:H))</f>
        <v>0.6860076168209025</v>
      </c>
      <c r="Q28">
        <f>(MAX(I:I)-I28)/(MAX(I:I)-MIN(I:I))</f>
        <v>0.73389748503302066</v>
      </c>
    </row>
    <row r="29" spans="1:17" x14ac:dyDescent="0.6">
      <c r="A29">
        <v>30</v>
      </c>
      <c r="B29" t="s">
        <v>9</v>
      </c>
      <c r="C29" t="s">
        <v>184</v>
      </c>
      <c r="D29">
        <v>7.3475514080000002</v>
      </c>
      <c r="E29">
        <v>0.28750274999999997</v>
      </c>
      <c r="F29" s="13">
        <v>5.7964430130000002</v>
      </c>
      <c r="G29" s="13">
        <v>0.42306592500000001</v>
      </c>
      <c r="H29">
        <v>4.8620605469999996</v>
      </c>
      <c r="I29" s="13">
        <v>0.35609102399999998</v>
      </c>
      <c r="J29">
        <f>SUM(L29:Q29)</f>
        <v>4.7596474839833274</v>
      </c>
      <c r="K29">
        <f>0.5*SIN(RADIANS(60))*((L29*M29)+(M29*N29)+(N29*O29)+(O29*P29)+(P29*Q29)+(Q29*L29))</f>
        <v>1.6373625316032117</v>
      </c>
      <c r="L29">
        <f>(MAX(D:D)-D29)/(MAX(D:D)-MIN(D:D))</f>
        <v>0.82773387830613254</v>
      </c>
      <c r="M29">
        <f>(MAX(E:E)-E29)/(MAX(E:E)-MIN(E:E))</f>
        <v>0.88276048299560894</v>
      </c>
      <c r="N29">
        <f>(MAX(F:F)-F29)/(MAX(F:F)-MIN(F:F))</f>
        <v>0.80629028667224234</v>
      </c>
      <c r="O29">
        <f>(MAX(G:G)-G29)/(MAX(G:G)-MIN(G:G))</f>
        <v>0.83809715946624852</v>
      </c>
      <c r="P29">
        <f>(MAX(H:H)-H29)/(MAX(H:H)-MIN(H:H))</f>
        <v>0.69040639537901094</v>
      </c>
      <c r="Q29">
        <f>(MAX(I:I)-I29)/(MAX(I:I)-MIN(I:I))</f>
        <v>0.71435928116408365</v>
      </c>
    </row>
    <row r="30" spans="1:17" x14ac:dyDescent="0.6">
      <c r="A30">
        <v>30</v>
      </c>
      <c r="B30" t="s">
        <v>99</v>
      </c>
      <c r="C30" t="s">
        <v>171</v>
      </c>
      <c r="D30">
        <v>7.3695552690000001</v>
      </c>
      <c r="E30">
        <v>0.28993969400000003</v>
      </c>
      <c r="F30" s="13">
        <v>5.795027353</v>
      </c>
      <c r="G30" s="13">
        <v>0.42326796999999999</v>
      </c>
      <c r="H30">
        <v>5.1556396480000002</v>
      </c>
      <c r="I30">
        <v>0.37674241200000003</v>
      </c>
      <c r="J30">
        <f>SUM(L30:Q30)</f>
        <v>4.529719995199418</v>
      </c>
      <c r="K30">
        <f>0.5*SIN(RADIANS(60))*((L30*M30)+(M30*N30)+(N30*O30)+(O30*P30)+(P30*Q30)+(Q30*L30))</f>
        <v>1.4890244250234539</v>
      </c>
      <c r="L30">
        <f>(MAX(D:D)-D30)/(MAX(D:D)-MIN(D:D))</f>
        <v>0.81831948592855464</v>
      </c>
      <c r="M30">
        <f>(MAX(E:E)-E30)/(MAX(E:E)-MIN(E:E))</f>
        <v>0.87303552664458628</v>
      </c>
      <c r="N30">
        <f>(MAX(F:F)-F30)/(MAX(F:F)-MIN(F:F))</f>
        <v>0.80694920261336223</v>
      </c>
      <c r="O30">
        <f>(MAX(G:G)-G30)/(MAX(G:G)-MIN(G:G))</f>
        <v>0.83698431252921401</v>
      </c>
      <c r="P30">
        <f>(MAX(H:H)-H30)/(MAX(H:H)-MIN(H:H))</f>
        <v>0.57665303548414903</v>
      </c>
      <c r="Q30">
        <f>(MAX(I:I)-I30)/(MAX(I:I)-MIN(I:I))</f>
        <v>0.61777843199955096</v>
      </c>
    </row>
    <row r="31" spans="1:17" x14ac:dyDescent="0.6">
      <c r="A31">
        <v>30</v>
      </c>
      <c r="B31" t="s">
        <v>9</v>
      </c>
      <c r="C31" t="s">
        <v>167</v>
      </c>
      <c r="D31">
        <v>7.5860740230000001</v>
      </c>
      <c r="E31">
        <v>0.30612790299999998</v>
      </c>
      <c r="F31">
        <v>5.9595176920000004</v>
      </c>
      <c r="G31">
        <v>0.43484306700000003</v>
      </c>
      <c r="H31">
        <v>4.9299926760000004</v>
      </c>
      <c r="I31">
        <v>0.35561045299999999</v>
      </c>
      <c r="J31">
        <f>SUM(L31:Q31)</f>
        <v>4.4184244392534477</v>
      </c>
      <c r="K31">
        <f>0.5*SIN(RADIANS(60))*((L31*M31)+(M31*N31)+(N31*O31)+(O31*P31)+(P31*Q31)+(Q31*L31))</f>
        <v>1.407853883211285</v>
      </c>
      <c r="L31">
        <f>(MAX(D:D)-D31)/(MAX(D:D)-MIN(D:D))</f>
        <v>0.72568153901277233</v>
      </c>
      <c r="M31">
        <f>(MAX(E:E)-E31)/(MAX(E:E)-MIN(E:E))</f>
        <v>0.80843427773356114</v>
      </c>
      <c r="N31">
        <f>(MAX(F:F)-F31)/(MAX(F:F)-MIN(F:F))</f>
        <v>0.73038752358923575</v>
      </c>
      <c r="O31">
        <f>(MAX(G:G)-G31)/(MAX(G:G)-MIN(G:G))</f>
        <v>0.77322964776479053</v>
      </c>
      <c r="P31">
        <f>(MAX(H:H)-H31)/(MAX(H:H)-MIN(H:H))</f>
        <v>0.66408467189038545</v>
      </c>
      <c r="Q31">
        <f>(MAX(I:I)-I31)/(MAX(I:I)-MIN(I:I))</f>
        <v>0.71660677926270278</v>
      </c>
    </row>
    <row r="32" spans="1:17" x14ac:dyDescent="0.6">
      <c r="A32">
        <v>30</v>
      </c>
      <c r="B32" t="s">
        <v>9</v>
      </c>
      <c r="C32" t="s">
        <v>8</v>
      </c>
      <c r="D32">
        <v>7.6305046079999999</v>
      </c>
      <c r="E32">
        <v>0.30891904799999997</v>
      </c>
      <c r="F32">
        <v>5.8908187720000003</v>
      </c>
      <c r="G32">
        <v>0.42947208599999998</v>
      </c>
      <c r="H32">
        <v>4.8965454099999999</v>
      </c>
      <c r="I32">
        <v>0.36789645500000001</v>
      </c>
      <c r="J32">
        <f>SUM(L32:Q32)</f>
        <v>4.4053365657938359</v>
      </c>
      <c r="K32">
        <f>0.5*SIN(RADIANS(60))*((L32*M32)+(M32*N32)+(N32*O32)+(O32*P32)+(P32*Q32)+(Q32*L32))</f>
        <v>1.4024869403929421</v>
      </c>
      <c r="L32">
        <f>(MAX(D:D)-D32)/(MAX(D:D)-MIN(D:D))</f>
        <v>0.70667183154573632</v>
      </c>
      <c r="M32">
        <f>(MAX(E:E)-E32)/(MAX(E:E)-MIN(E:E))</f>
        <v>0.79729583413601668</v>
      </c>
      <c r="N32">
        <f>(MAX(F:F)-F32)/(MAX(F:F)-MIN(F:F))</f>
        <v>0.76236329003436498</v>
      </c>
      <c r="O32">
        <f>(MAX(G:G)-G32)/(MAX(G:G)-MIN(G:G))</f>
        <v>0.8028125612480288</v>
      </c>
      <c r="P32">
        <f>(MAX(H:H)-H32)/(MAX(H:H)-MIN(H:H))</f>
        <v>0.67704451431049428</v>
      </c>
      <c r="Q32">
        <f>(MAX(I:I)-I32)/(MAX(I:I)-MIN(I:I))</f>
        <v>0.65914853451919475</v>
      </c>
    </row>
    <row r="33" spans="1:17" x14ac:dyDescent="0.6">
      <c r="A33">
        <v>30</v>
      </c>
      <c r="B33" s="31" t="s">
        <v>9</v>
      </c>
      <c r="C33" s="31" t="s">
        <v>181</v>
      </c>
      <c r="D33" s="31">
        <v>7.6559406939999999</v>
      </c>
      <c r="E33">
        <v>0.31150548900000002</v>
      </c>
      <c r="F33" s="31">
        <v>6.1104576330000002</v>
      </c>
      <c r="G33" s="31">
        <v>0.44575702</v>
      </c>
      <c r="H33" s="31">
        <v>4.8057861329999998</v>
      </c>
      <c r="I33" s="31">
        <v>0.35668302200000002</v>
      </c>
      <c r="J33">
        <f>SUM(L33:Q33)</f>
        <v>4.2798143655822969</v>
      </c>
      <c r="K33">
        <f>0.5*SIN(RADIANS(60))*((L33*M33)+(M33*N33)+(N33*O33)+(O33*P33)+(P33*Q33)+(Q33*L33))</f>
        <v>1.3196652793185883</v>
      </c>
      <c r="L33">
        <f>(MAX(D:D)-D33)/(MAX(D:D)-MIN(D:D))</f>
        <v>0.69578895539260055</v>
      </c>
      <c r="M33">
        <f>(MAX(E:E)-E33)/(MAX(E:E)-MIN(E:E))</f>
        <v>0.7869742896813654</v>
      </c>
      <c r="N33">
        <f>(MAX(F:F)-F33)/(MAX(F:F)-MIN(F:F))</f>
        <v>0.66013284854255994</v>
      </c>
      <c r="O33">
        <f>(MAX(G:G)-G33)/(MAX(G:G)-MIN(G:G))</f>
        <v>0.7131165087760053</v>
      </c>
      <c r="P33">
        <f>(MAX(H:H)-H33)/(MAX(H:H)-MIN(H:H))</f>
        <v>0.71221109348868461</v>
      </c>
      <c r="Q33">
        <f>(MAX(I:I)-I33)/(MAX(I:I)-MIN(I:I))</f>
        <v>0.71159066970108131</v>
      </c>
    </row>
    <row r="34" spans="1:17" x14ac:dyDescent="0.6">
      <c r="A34">
        <v>30</v>
      </c>
      <c r="B34" t="s">
        <v>569</v>
      </c>
      <c r="D34">
        <v>8.6211544730000007</v>
      </c>
      <c r="E34">
        <v>0.44398070099999998</v>
      </c>
      <c r="F34" s="13">
        <v>6.9252069399999998</v>
      </c>
      <c r="G34" s="13">
        <v>0.52845462600000004</v>
      </c>
      <c r="H34">
        <v>5.8337707520000004</v>
      </c>
      <c r="I34" s="13">
        <v>0.44207933500000002</v>
      </c>
      <c r="J34">
        <f>SUM(L34:Q34)</f>
        <v>1.7057815622981018</v>
      </c>
      <c r="K34">
        <f>0.5*SIN(RADIANS(60))*((L34*M34)+(M34*N34)+(N34*O34)+(O34*P34)+(P34*Q34)+(Q34*L34))</f>
        <v>0.21008081836418274</v>
      </c>
      <c r="L34">
        <f>(MAX(D:D)-D34)/(MAX(D:D)-MIN(D:D))</f>
        <v>0.28282046573750241</v>
      </c>
      <c r="M34">
        <f>(MAX(E:E)-E34)/(MAX(E:E)-MIN(E:E))</f>
        <v>0.25831394529411178</v>
      </c>
      <c r="N34">
        <f>(MAX(F:F)-F34)/(MAX(F:F)-MIN(F:F))</f>
        <v>0.28090951356199739</v>
      </c>
      <c r="O34">
        <f>(MAX(G:G)-G34)/(MAX(G:G)-MIN(G:G))</f>
        <v>0.25762502154696831</v>
      </c>
      <c r="P34">
        <f>(MAX(H:H)-H34)/(MAX(H:H)-MIN(H:H))</f>
        <v>0.31389696304419729</v>
      </c>
      <c r="Q34">
        <f>(MAX(I:I)-I34)/(MAX(I:I)-MIN(I:I))</f>
        <v>0.31221565311332466</v>
      </c>
    </row>
    <row r="35" spans="1:17" x14ac:dyDescent="0.6">
      <c r="A35">
        <v>30</v>
      </c>
      <c r="B35" s="31" t="s">
        <v>572</v>
      </c>
      <c r="C35" s="31" t="s">
        <v>167</v>
      </c>
      <c r="D35" s="31">
        <v>8.8812635649999994</v>
      </c>
      <c r="E35">
        <v>0.47386569899999997</v>
      </c>
      <c r="F35" s="31">
        <v>7.2212946379999998</v>
      </c>
      <c r="G35" s="31">
        <v>0.55165120700000003</v>
      </c>
      <c r="H35" s="31">
        <v>6.1029298189999999</v>
      </c>
      <c r="I35" s="31">
        <v>0.47095258899999998</v>
      </c>
      <c r="J35">
        <f>SUM(L35:Q35)</f>
        <v>0.97033148863132113</v>
      </c>
      <c r="K35">
        <f>0.5*SIN(RADIANS(60))*((L35*M35)+(M35*N35)+(N35*O35)+(O35*P35)+(P35*Q35)+(Q35*L35))</f>
        <v>6.8019160882451218E-2</v>
      </c>
      <c r="L35">
        <f>(MAX(D:D)-D35)/(MAX(D:D)-MIN(D:D))</f>
        <v>0.17153231257822354</v>
      </c>
      <c r="M35">
        <f>(MAX(E:E)-E35)/(MAX(E:E)-MIN(E:E))</f>
        <v>0.13905379770746445</v>
      </c>
      <c r="N35">
        <f>(MAX(F:F)-F35)/(MAX(F:F)-MIN(F:F))</f>
        <v>0.14309612321286302</v>
      </c>
      <c r="O35">
        <f>(MAX(G:G)-G35)/(MAX(G:G)-MIN(G:G))</f>
        <v>0.12986019630742246</v>
      </c>
      <c r="P35">
        <f>(MAX(H:H)-H35)/(MAX(H:H)-MIN(H:H))</f>
        <v>0.20960565581856436</v>
      </c>
      <c r="Q35">
        <f>(MAX(I:I)-I35)/(MAX(I:I)-MIN(I:I))</f>
        <v>0.17718340300678323</v>
      </c>
    </row>
    <row r="36" spans="1:17" x14ac:dyDescent="0.6">
      <c r="A36">
        <v>30</v>
      </c>
      <c r="B36" s="31" t="s">
        <v>572</v>
      </c>
      <c r="C36" s="31" t="s">
        <v>177</v>
      </c>
      <c r="D36" s="31">
        <v>8.9700375670000003</v>
      </c>
      <c r="E36">
        <v>0.48208905899999999</v>
      </c>
      <c r="F36" s="31">
        <v>7.2710027979999996</v>
      </c>
      <c r="G36" s="31">
        <v>0.55523661499999999</v>
      </c>
      <c r="H36" s="31">
        <v>6.2033109590000004</v>
      </c>
      <c r="I36" s="31">
        <v>0.47945615800000002</v>
      </c>
      <c r="J36">
        <f>SUM(L36:Q36)</f>
        <v>0.77798462873972141</v>
      </c>
      <c r="K36">
        <f>0.5*SIN(RADIANS(60))*((L36*M36)+(M36*N36)+(N36*O36)+(O36*P36)+(P36*Q36)+(Q36*L36))</f>
        <v>4.3625351241551528E-2</v>
      </c>
      <c r="L36">
        <f>(MAX(D:D)-D36)/(MAX(D:D)-MIN(D:D))</f>
        <v>0.13355019263318801</v>
      </c>
      <c r="M36">
        <f>(MAX(E:E)-E36)/(MAX(E:E)-MIN(E:E))</f>
        <v>0.10623736160604215</v>
      </c>
      <c r="N36">
        <f>(MAX(F:F)-F36)/(MAX(F:F)-MIN(F:F))</f>
        <v>0.11995956568652771</v>
      </c>
      <c r="O36">
        <f>(MAX(G:G)-G36)/(MAX(G:G)-MIN(G:G))</f>
        <v>0.1101120693514515</v>
      </c>
      <c r="P36">
        <f>(MAX(H:H)-H36)/(MAX(H:H)-MIN(H:H))</f>
        <v>0.17071088467790146</v>
      </c>
      <c r="Q36">
        <f>(MAX(I:I)-I36)/(MAX(I:I)-MIN(I:I))</f>
        <v>0.13741455478461057</v>
      </c>
    </row>
    <row r="37" spans="1:17" x14ac:dyDescent="0.6">
      <c r="A37">
        <v>30</v>
      </c>
      <c r="B37" s="31" t="s">
        <v>572</v>
      </c>
      <c r="C37" s="31" t="s">
        <v>184</v>
      </c>
      <c r="D37" s="31">
        <v>8.9297262750000002</v>
      </c>
      <c r="E37">
        <v>0.47851671099999998</v>
      </c>
      <c r="F37" s="31">
        <v>7.274694201</v>
      </c>
      <c r="G37" s="31">
        <v>0.55566987700000003</v>
      </c>
      <c r="H37" s="31">
        <v>6.3353870450000001</v>
      </c>
      <c r="I37" s="31">
        <v>0.47747503200000002</v>
      </c>
      <c r="J37">
        <f>SUM(L37:Q37)</f>
        <v>0.76347284267216287</v>
      </c>
      <c r="K37">
        <f>0.5*SIN(RADIANS(60))*((L37*M37)+(M37*N37)+(N37*O37)+(O37*P37)+(P37*Q37)+(Q37*L37))</f>
        <v>4.2298571041739369E-2</v>
      </c>
      <c r="L37">
        <f>(MAX(D:D)-D37)/(MAX(D:D)-MIN(D:D))</f>
        <v>0.15079745301785943</v>
      </c>
      <c r="M37">
        <f>(MAX(E:E)-E37)/(MAX(E:E)-MIN(E:E))</f>
        <v>0.12049330198491935</v>
      </c>
      <c r="N37">
        <f>(MAX(F:F)-F37)/(MAX(F:F)-MIN(F:F))</f>
        <v>0.11824140999815792</v>
      </c>
      <c r="O37">
        <f>(MAX(G:G)-G37)/(MAX(G:G)-MIN(G:G))</f>
        <v>0.1077256985447821</v>
      </c>
      <c r="P37">
        <f>(MAX(H:H)-H37)/(MAX(H:H)-MIN(H:H))</f>
        <v>0.1195352441330295</v>
      </c>
      <c r="Q37">
        <f>(MAX(I:I)-I37)/(MAX(I:I)-MIN(I:I))</f>
        <v>0.14667973499341461</v>
      </c>
    </row>
    <row r="38" spans="1:17" x14ac:dyDescent="0.6">
      <c r="A38">
        <v>30</v>
      </c>
      <c r="B38" s="31" t="s">
        <v>572</v>
      </c>
      <c r="C38" s="31" t="s">
        <v>7</v>
      </c>
      <c r="D38" s="31">
        <v>8.9289730620000007</v>
      </c>
      <c r="E38">
        <v>0.47887273699999999</v>
      </c>
      <c r="F38" s="31">
        <v>7.2823787109999998</v>
      </c>
      <c r="G38" s="31">
        <v>0.55627896499999996</v>
      </c>
      <c r="H38" s="31">
        <v>6.3556280420000002</v>
      </c>
      <c r="I38" s="31">
        <v>0.49218219600000002</v>
      </c>
      <c r="J38">
        <f>SUM(L38:Q38)</f>
        <v>0.67881864208000997</v>
      </c>
      <c r="K38">
        <f>0.5*SIN(RADIANS(60))*((L38*M38)+(M38*N38)+(N38*O38)+(O38*P38)+(P38*Q38)+(Q38*L38))</f>
        <v>3.2798701692232354E-2</v>
      </c>
      <c r="L38">
        <f>(MAX(D:D)-D38)/(MAX(D:D)-MIN(D:D))</f>
        <v>0.15111971658450743</v>
      </c>
      <c r="M38">
        <f>(MAX(E:E)-E38)/(MAX(E:E)-MIN(E:E))</f>
        <v>0.11907253182777613</v>
      </c>
      <c r="N38">
        <f>(MAX(F:F)-F38)/(MAX(F:F)-MIN(F:F))</f>
        <v>0.11466467113522888</v>
      </c>
      <c r="O38">
        <f>(MAX(G:G)-G38)/(MAX(G:G)-MIN(G:G))</f>
        <v>0.10437089285701739</v>
      </c>
      <c r="P38">
        <f>(MAX(H:H)-H38)/(MAX(H:H)-MIN(H:H))</f>
        <v>0.11169244671138391</v>
      </c>
      <c r="Q38">
        <f>(MAX(I:I)-I38)/(MAX(I:I)-MIN(I:I))</f>
        <v>7.7898382964096263E-2</v>
      </c>
    </row>
    <row r="39" spans="1:17" x14ac:dyDescent="0.6">
      <c r="A39">
        <v>30</v>
      </c>
      <c r="B39" s="31" t="s">
        <v>572</v>
      </c>
      <c r="C39" s="31" t="s">
        <v>8</v>
      </c>
      <c r="D39" s="31">
        <v>8.9900339010000003</v>
      </c>
      <c r="E39">
        <v>0.48581234400000001</v>
      </c>
      <c r="F39" s="31">
        <v>7.319746512</v>
      </c>
      <c r="G39" s="31">
        <v>0.55921686400000004</v>
      </c>
      <c r="H39" s="31">
        <v>6.3688813309999999</v>
      </c>
      <c r="I39" s="31">
        <v>0.494511174</v>
      </c>
      <c r="J39">
        <f>SUM(L39:Q39)</f>
        <v>0.57539848738941257</v>
      </c>
      <c r="K39">
        <f>0.5*SIN(RADIANS(60))*((L39*M39)+(M39*N39)+(N39*O39)+(O39*P39)+(P39*Q39)+(Q39*L39))</f>
        <v>2.329673415859685E-2</v>
      </c>
      <c r="L39">
        <f>(MAX(D:D)-D39)/(MAX(D:D)-MIN(D:D))</f>
        <v>0.12499472437290855</v>
      </c>
      <c r="M39">
        <f>(MAX(E:E)-E39)/(MAX(E:E)-MIN(E:E))</f>
        <v>9.1379086607758633E-2</v>
      </c>
      <c r="N39">
        <f>(MAX(F:F)-F39)/(MAX(F:F)-MIN(F:F))</f>
        <v>9.7271907503077543E-2</v>
      </c>
      <c r="O39">
        <f>(MAX(G:G)-G39)/(MAX(G:G)-MIN(G:G))</f>
        <v>8.8189191238729495E-2</v>
      </c>
      <c r="P39">
        <f>(MAX(H:H)-H39)/(MAX(H:H)-MIN(H:H))</f>
        <v>0.1065571828309772</v>
      </c>
      <c r="Q39">
        <f>(MAX(I:I)-I39)/(MAX(I:I)-MIN(I:I))</f>
        <v>6.7006394835961117E-2</v>
      </c>
    </row>
    <row r="40" spans="1:17" x14ac:dyDescent="0.6">
      <c r="A40">
        <v>30</v>
      </c>
      <c r="B40" s="31" t="s">
        <v>571</v>
      </c>
      <c r="C40" s="31" t="s">
        <v>174</v>
      </c>
      <c r="D40" s="31">
        <v>9.0140195209999998</v>
      </c>
      <c r="E40">
        <v>0.48811969700000002</v>
      </c>
      <c r="F40" s="31">
        <v>7.2673730619999999</v>
      </c>
      <c r="G40" s="31">
        <v>0.55530637800000004</v>
      </c>
      <c r="H40" s="31">
        <v>6.4797363280000004</v>
      </c>
      <c r="I40" s="31">
        <v>0.49707694800000002</v>
      </c>
      <c r="J40">
        <f>SUM(L40:Q40)</f>
        <v>0.54689162664650393</v>
      </c>
      <c r="K40">
        <f>0.5*SIN(RADIANS(60))*((L40*M40)+(M40*N40)+(N40*O40)+(O40*P40)+(P40*Q40)+(Q40*L40))</f>
        <v>2.1460516806164596E-2</v>
      </c>
      <c r="L40">
        <f>(MAX(D:D)-D40)/(MAX(D:D)-MIN(D:D))</f>
        <v>0.1147324327642007</v>
      </c>
      <c r="M40">
        <f>(MAX(E:E)-E40)/(MAX(E:E)-MIN(E:E))</f>
        <v>8.2171280761009213E-2</v>
      </c>
      <c r="N40">
        <f>(MAX(F:F)-F40)/(MAX(F:F)-MIN(F:F))</f>
        <v>0.12164901860068515</v>
      </c>
      <c r="O40">
        <f>(MAX(G:G)-G40)/(MAX(G:G)-MIN(G:G))</f>
        <v>0.10972782059068828</v>
      </c>
      <c r="P40">
        <f>(MAX(H:H)-H40)/(MAX(H:H)-MIN(H:H))</f>
        <v>6.360409684177773E-2</v>
      </c>
      <c r="Q40">
        <f>(MAX(I:I)-I40)/(MAX(I:I)-MIN(I:I))</f>
        <v>5.500697708814286E-2</v>
      </c>
    </row>
    <row r="41" spans="1:17" x14ac:dyDescent="0.6">
      <c r="A41">
        <v>30</v>
      </c>
      <c r="B41" s="31" t="s">
        <v>571</v>
      </c>
      <c r="C41" s="31" t="s">
        <v>7</v>
      </c>
      <c r="D41" s="31">
        <v>9.0033045470000008</v>
      </c>
      <c r="E41">
        <v>0.48795764200000002</v>
      </c>
      <c r="F41" s="31">
        <v>7.3148438990000004</v>
      </c>
      <c r="G41" s="31">
        <v>0.55885642999999996</v>
      </c>
      <c r="H41" s="31">
        <v>6.3985443120000003</v>
      </c>
      <c r="I41" s="31">
        <v>0.49621020500000002</v>
      </c>
      <c r="J41">
        <f>SUM(L41:Q41)</f>
        <v>0.54598722312058579</v>
      </c>
      <c r="K41">
        <f>0.5*SIN(RADIANS(60))*((L41*M41)+(M41*N41)+(N41*O41)+(O41*P41)+(P41*Q41)+(Q41*L41))</f>
        <v>2.0930692848858269E-2</v>
      </c>
      <c r="L41">
        <f>(MAX(D:D)-D41)/(MAX(D:D)-MIN(D:D))</f>
        <v>0.11931685408696471</v>
      </c>
      <c r="M41">
        <f>(MAX(E:E)-E41)/(MAX(E:E)-MIN(E:E))</f>
        <v>8.281798327098272E-2</v>
      </c>
      <c r="N41">
        <f>(MAX(F:F)-F41)/(MAX(F:F)-MIN(F:F))</f>
        <v>9.9553818314176784E-2</v>
      </c>
      <c r="O41">
        <f>(MAX(G:G)-G41)/(MAX(G:G)-MIN(G:G))</f>
        <v>9.0174431521355639E-2</v>
      </c>
      <c r="P41">
        <f>(MAX(H:H)-H41)/(MAX(H:H)-MIN(H:H))</f>
        <v>9.5063640743839703E-2</v>
      </c>
      <c r="Q41">
        <f>(MAX(I:I)-I41)/(MAX(I:I)-MIN(I:I))</f>
        <v>5.9060495183266282E-2</v>
      </c>
    </row>
    <row r="42" spans="1:17" x14ac:dyDescent="0.6">
      <c r="A42">
        <v>30</v>
      </c>
      <c r="B42" s="31" t="s">
        <v>572</v>
      </c>
      <c r="C42" s="31" t="s">
        <v>174</v>
      </c>
      <c r="D42" s="31">
        <v>8.9691848440000008</v>
      </c>
      <c r="E42">
        <v>0.48341975999999998</v>
      </c>
      <c r="F42" s="31">
        <v>7.3001002049999997</v>
      </c>
      <c r="G42" s="31">
        <v>0.557528472</v>
      </c>
      <c r="H42" s="31">
        <v>6.6185833770000002</v>
      </c>
      <c r="I42" s="31">
        <v>0.50315402600000003</v>
      </c>
      <c r="J42">
        <f>SUM(L42:Q42)</f>
        <v>0.4751380659755966</v>
      </c>
      <c r="K42">
        <f>0.5*SIN(RADIANS(60))*((L42*M42)+(M42*N42)+(N42*O42)+(O42*P42)+(P42*Q42)+(Q42*L42))</f>
        <v>1.7063787582394005E-2</v>
      </c>
      <c r="L42">
        <f>(MAX(D:D)-D42)/(MAX(D:D)-MIN(D:D))</f>
        <v>0.1339150317362609</v>
      </c>
      <c r="M42">
        <f>(MAX(E:E)-E42)/(MAX(E:E)-MIN(E:E))</f>
        <v>0.10092701834773916</v>
      </c>
      <c r="N42">
        <f>(MAX(F:F)-F42)/(MAX(F:F)-MIN(F:F))</f>
        <v>0.10641623938109424</v>
      </c>
      <c r="O42">
        <f>(MAX(G:G)-G42)/(MAX(G:G)-MIN(G:G))</f>
        <v>9.7488712957721282E-2</v>
      </c>
      <c r="P42">
        <f>(MAX(H:H)-H42)/(MAX(H:H)-MIN(H:H))</f>
        <v>9.8049051369279109E-3</v>
      </c>
      <c r="Q42">
        <f>(MAX(I:I)-I42)/(MAX(I:I)-MIN(I:I))</f>
        <v>2.6586158415853153E-2</v>
      </c>
    </row>
    <row r="43" spans="1:17" x14ac:dyDescent="0.6">
      <c r="A43">
        <v>30</v>
      </c>
      <c r="B43" s="31" t="s">
        <v>571</v>
      </c>
      <c r="C43" s="31" t="s">
        <v>177</v>
      </c>
      <c r="D43" s="31">
        <v>9.0528273890000008</v>
      </c>
      <c r="E43">
        <v>0.48919062299999999</v>
      </c>
      <c r="F43" s="31">
        <v>7.3926786870000001</v>
      </c>
      <c r="G43" s="31">
        <v>0.56477829800000001</v>
      </c>
      <c r="H43" s="31">
        <v>6.4109802250000003</v>
      </c>
      <c r="I43" s="31">
        <v>0.49127030599999999</v>
      </c>
      <c r="J43">
        <f>SUM(L43:Q43)</f>
        <v>0.46931720756546763</v>
      </c>
      <c r="K43">
        <f>0.5*SIN(RADIANS(60))*((L43*M43)+(M43*N43)+(N43*O43)+(O43*P43)+(P43*Q43)+(Q43*L43))</f>
        <v>1.5975291845056631E-2</v>
      </c>
      <c r="L43">
        <f>(MAX(D:D)-D43)/(MAX(D:D)-MIN(D:D))</f>
        <v>9.8128415101606997E-2</v>
      </c>
      <c r="M43">
        <f>(MAX(E:E)-E43)/(MAX(E:E)-MIN(E:E))</f>
        <v>7.7897604958374903E-2</v>
      </c>
      <c r="N43">
        <f>(MAX(F:F)-F43)/(MAX(F:F)-MIN(F:F))</f>
        <v>6.3325781506696627E-2</v>
      </c>
      <c r="O43">
        <f>(MAX(G:G)-G43)/(MAX(G:G)-MIN(G:G))</f>
        <v>5.755727858352977E-2</v>
      </c>
      <c r="P43">
        <f>(MAX(H:H)-H43)/(MAX(H:H)-MIN(H:H))</f>
        <v>9.0245086281714709E-2</v>
      </c>
      <c r="Q43">
        <f>(MAX(I:I)-I43)/(MAX(I:I)-MIN(I:I))</f>
        <v>8.2163041133544626E-2</v>
      </c>
    </row>
    <row r="44" spans="1:17" x14ac:dyDescent="0.6">
      <c r="A44">
        <v>30</v>
      </c>
      <c r="B44" s="31" t="s">
        <v>572</v>
      </c>
      <c r="C44" s="31" t="s">
        <v>181</v>
      </c>
      <c r="D44" s="31">
        <v>8.9803267390000006</v>
      </c>
      <c r="E44">
        <v>0.484264001</v>
      </c>
      <c r="F44" s="31">
        <v>7.2871286189999998</v>
      </c>
      <c r="G44" s="31">
        <v>0.55673026800000003</v>
      </c>
      <c r="H44" s="31">
        <v>6.6438882579999996</v>
      </c>
      <c r="I44" s="31">
        <v>0.50883880800000003</v>
      </c>
      <c r="J44">
        <f>SUM(L44:Q44)</f>
        <v>0.44104490161139354</v>
      </c>
      <c r="K44">
        <f>0.5*SIN(RADIANS(60))*((L44*M44)+(M44*N44)+(N44*O44)+(O44*P44)+(P44*Q44)+(Q44*L44))</f>
        <v>1.5167375781385866E-2</v>
      </c>
      <c r="L44">
        <f>(MAX(D:D)-D44)/(MAX(D:D)-MIN(D:D))</f>
        <v>0.12914795147885652</v>
      </c>
      <c r="M44">
        <f>(MAX(E:E)-E44)/(MAX(E:E)-MIN(E:E))</f>
        <v>9.7557959856963916E-2</v>
      </c>
      <c r="N44">
        <f>(MAX(F:F)-F44)/(MAX(F:F)-MIN(F:F))</f>
        <v>0.11245383654213993</v>
      </c>
      <c r="O44">
        <f>(MAX(G:G)-G44)/(MAX(G:G)-MIN(G:G))</f>
        <v>0.10188515373343313</v>
      </c>
      <c r="P44">
        <f>(MAX(H:H)-H44)/(MAX(H:H)-MIN(H:H))</f>
        <v>0</v>
      </c>
      <c r="Q44">
        <f>(MAX(I:I)-I44)/(MAX(I:I)-MIN(I:I))</f>
        <v>0</v>
      </c>
    </row>
    <row r="45" spans="1:17" x14ac:dyDescent="0.6">
      <c r="A45">
        <v>30</v>
      </c>
      <c r="B45" s="31" t="s">
        <v>571</v>
      </c>
      <c r="C45" s="31" t="s">
        <v>184</v>
      </c>
      <c r="D45" s="31">
        <v>9.0687753359999999</v>
      </c>
      <c r="E45">
        <v>0.492795861</v>
      </c>
      <c r="F45" s="31">
        <v>7.3621954379999996</v>
      </c>
      <c r="G45" s="31">
        <v>0.56263484200000002</v>
      </c>
      <c r="H45" s="31">
        <v>6.4725341800000002</v>
      </c>
      <c r="I45" s="31">
        <v>0.49858435699999998</v>
      </c>
      <c r="J45">
        <f>SUM(L45:Q45)</f>
        <v>0.41604482930477238</v>
      </c>
      <c r="K45">
        <f>0.5*SIN(RADIANS(60))*((L45*M45)+(M45*N45)+(N45*O45)+(O45*P45)+(P45*Q45)+(Q45*L45))</f>
        <v>1.2239801391841719E-2</v>
      </c>
      <c r="L45">
        <f>(MAX(D:D)-D45)/(MAX(D:D)-MIN(D:D))</f>
        <v>9.1305056661249356E-2</v>
      </c>
      <c r="M45">
        <f>(MAX(E:E)-E45)/(MAX(E:E)-MIN(E:E))</f>
        <v>6.3510412562879662E-2</v>
      </c>
      <c r="N45">
        <f>(MAX(F:F)-F45)/(MAX(F:F)-MIN(F:F))</f>
        <v>7.7514145028462794E-2</v>
      </c>
      <c r="O45">
        <f>(MAX(G:G)-G45)/(MAX(G:G)-MIN(G:G))</f>
        <v>6.9363254699089841E-2</v>
      </c>
      <c r="P45">
        <f>(MAX(H:H)-H45)/(MAX(H:H)-MIN(H:H))</f>
        <v>6.6394719643841832E-2</v>
      </c>
      <c r="Q45">
        <f>(MAX(I:I)-I45)/(MAX(I:I)-MIN(I:I))</f>
        <v>4.7957240709248873E-2</v>
      </c>
    </row>
    <row r="46" spans="1:17" x14ac:dyDescent="0.6">
      <c r="A46">
        <v>30</v>
      </c>
      <c r="B46" s="31" t="s">
        <v>571</v>
      </c>
      <c r="C46" t="s">
        <v>171</v>
      </c>
      <c r="D46" s="31">
        <v>9.1625564839999996</v>
      </c>
      <c r="E46">
        <v>0.50296775599999999</v>
      </c>
      <c r="F46" s="31">
        <v>7.4406235860000001</v>
      </c>
      <c r="G46" s="31">
        <v>0.56856959500000004</v>
      </c>
      <c r="H46" s="31">
        <v>6.402313232</v>
      </c>
      <c r="I46" s="31">
        <v>0.49586746700000001</v>
      </c>
      <c r="J46">
        <f>SUM(L46:Q46)</f>
        <v>0.30605044528808123</v>
      </c>
      <c r="K46">
        <f>0.5*SIN(RADIANS(60))*((L46*M46)+(M46*N46)+(N46*O46)+(O46*P46)+(P46*Q46)+(Q46*L46))</f>
        <v>6.8558342283573433E-3</v>
      </c>
      <c r="L46">
        <f>(MAX(D:D)-D46)/(MAX(D:D)-MIN(D:D))</f>
        <v>5.1180620095698549E-2</v>
      </c>
      <c r="M46">
        <f>(MAX(E:E)-E46)/(MAX(E:E)-MIN(E:E))</f>
        <v>2.2918082627442549E-2</v>
      </c>
      <c r="N46">
        <f>(MAX(F:F)-F46)/(MAX(F:F)-MIN(F:F))</f>
        <v>4.1009930068867481E-2</v>
      </c>
      <c r="O46">
        <f>(MAX(G:G)-G46)/(MAX(G:G)-MIN(G:G))</f>
        <v>3.6675132260491135E-2</v>
      </c>
      <c r="P46">
        <f>(MAX(H:H)-H46)/(MAX(H:H)-MIN(H:H))</f>
        <v>9.3603293901320717E-2</v>
      </c>
      <c r="Q46">
        <f>(MAX(I:I)-I46)/(MAX(I:I)-MIN(I:I))</f>
        <v>6.0663386334260799E-2</v>
      </c>
    </row>
    <row r="47" spans="1:17" x14ac:dyDescent="0.6">
      <c r="A47">
        <v>30</v>
      </c>
      <c r="B47" s="31" t="s">
        <v>571</v>
      </c>
      <c r="C47" t="s">
        <v>181</v>
      </c>
      <c r="D47" s="31">
        <v>9.0866003820000003</v>
      </c>
      <c r="E47">
        <v>0.49592755399999999</v>
      </c>
      <c r="F47" s="31">
        <v>7.4125874280000001</v>
      </c>
      <c r="G47" s="31">
        <v>0.56635041600000002</v>
      </c>
      <c r="H47" s="31">
        <v>6.6358032229999999</v>
      </c>
      <c r="I47" s="31">
        <v>0.49497571400000001</v>
      </c>
      <c r="J47">
        <f>SUM(L47:Q47)</f>
        <v>0.30561561356512623</v>
      </c>
      <c r="K47">
        <f>0.5*SIN(RADIANS(60))*((L47*M47)+(M47*N47)+(N47*O47)+(O47*P47)+(P47*Q47)+(Q47*L47))</f>
        <v>6.6906158737405751E-3</v>
      </c>
      <c r="L47">
        <f>(MAX(D:D)-D47)/(MAX(D:D)-MIN(D:D))</f>
        <v>8.3678577963152742E-2</v>
      </c>
      <c r="M47">
        <f>(MAX(E:E)-E47)/(MAX(E:E)-MIN(E:E))</f>
        <v>5.1012965871530744E-2</v>
      </c>
      <c r="N47">
        <f>(MAX(F:F)-F47)/(MAX(F:F)-MIN(F:F))</f>
        <v>5.405930028060791E-2</v>
      </c>
      <c r="O47">
        <f>(MAX(G:G)-G47)/(MAX(G:G)-MIN(G:G))</f>
        <v>4.889818431761421E-2</v>
      </c>
      <c r="P47">
        <f>(MAX(H:H)-H47)/(MAX(H:H)-MIN(H:H))</f>
        <v>3.1327158267901267E-3</v>
      </c>
      <c r="Q47">
        <f>(MAX(I:I)-I47)/(MAX(I:I)-MIN(I:I))</f>
        <v>6.483386930543053E-2</v>
      </c>
    </row>
    <row r="48" spans="1:17" x14ac:dyDescent="0.6">
      <c r="A48">
        <v>30</v>
      </c>
      <c r="B48" s="31" t="s">
        <v>571</v>
      </c>
      <c r="C48" s="31" t="s">
        <v>167</v>
      </c>
      <c r="D48" s="31">
        <v>9.1539777250000007</v>
      </c>
      <c r="E48">
        <v>0.49975241199999998</v>
      </c>
      <c r="F48" s="31">
        <v>7.4185365210000001</v>
      </c>
      <c r="G48" s="31">
        <v>0.56675238699999997</v>
      </c>
      <c r="H48" s="31">
        <v>6.561264038</v>
      </c>
      <c r="I48" s="31">
        <v>0.50056107000000005</v>
      </c>
      <c r="J48">
        <f>SUM(L48:Q48)</f>
        <v>0.25930205737139167</v>
      </c>
      <c r="K48">
        <f>0.5*SIN(RADIANS(60))*((L48*M48)+(M48*N48)+(N48*O48)+(O48*P48)+(P48*Q48)+(Q48*L48))</f>
        <v>4.7831875687646026E-3</v>
      </c>
      <c r="L48">
        <f>(MAX(D:D)-D48)/(MAX(D:D)-MIN(D:D))</f>
        <v>5.4851057903802604E-2</v>
      </c>
      <c r="M48">
        <f>(MAX(E:E)-E48)/(MAX(E:E)-MIN(E:E))</f>
        <v>3.5749350007210884E-2</v>
      </c>
      <c r="N48">
        <f>(MAX(F:F)-F48)/(MAX(F:F)-MIN(F:F))</f>
        <v>5.1290307575506427E-2</v>
      </c>
      <c r="O48">
        <f>(MAX(G:G)-G48)/(MAX(G:G)-MIN(G:G))</f>
        <v>4.6684161718061348E-2</v>
      </c>
      <c r="P48">
        <f>(MAX(H:H)-H48)/(MAX(H:H)-MIN(H:H))</f>
        <v>3.2014481281800032E-2</v>
      </c>
      <c r="Q48">
        <f>(MAX(I:I)-I48)/(MAX(I:I)-MIN(I:I))</f>
        <v>3.8712698885010353E-2</v>
      </c>
    </row>
    <row r="49" spans="1:17" x14ac:dyDescent="0.6">
      <c r="A49">
        <v>30</v>
      </c>
      <c r="B49" s="31" t="s">
        <v>572</v>
      </c>
      <c r="C49" s="31" t="s">
        <v>171</v>
      </c>
      <c r="D49" s="31">
        <v>9.1839241499999993</v>
      </c>
      <c r="E49">
        <v>0.50460095500000002</v>
      </c>
      <c r="F49" s="31">
        <v>7.429492067</v>
      </c>
      <c r="G49" s="31">
        <v>0.56697928099999995</v>
      </c>
      <c r="H49" s="31">
        <v>6.6225707729999996</v>
      </c>
      <c r="I49" s="31">
        <v>0.499721525</v>
      </c>
      <c r="J49">
        <f>SUM(L49:Q49)</f>
        <v>0.20096345004619617</v>
      </c>
      <c r="K49">
        <f>0.5*SIN(RADIANS(60))*((L49*M49)+(M49*N49)+(N49*O49)+(O49*P49)+(P49*Q49)+(Q49*L49))</f>
        <v>2.6264976564071845E-3</v>
      </c>
      <c r="L49">
        <f>(MAX(D:D)-D49)/(MAX(D:D)-MIN(D:D))</f>
        <v>4.2038424918360046E-2</v>
      </c>
      <c r="M49">
        <f>(MAX(E:E)-E49)/(MAX(E:E)-MIN(E:E))</f>
        <v>1.6400579973489943E-2</v>
      </c>
      <c r="N49">
        <f>(MAX(F:F)-F49)/(MAX(F:F)-MIN(F:F))</f>
        <v>4.6191071951789675E-2</v>
      </c>
      <c r="O49">
        <f>(MAX(G:G)-G49)/(MAX(G:G)-MIN(G:G))</f>
        <v>4.5434448570339341E-2</v>
      </c>
      <c r="P49">
        <f>(MAX(H:H)-H49)/(MAX(H:H)-MIN(H:H))</f>
        <v>8.2599052010119481E-3</v>
      </c>
      <c r="Q49">
        <f>(MAX(I:I)-I49)/(MAX(I:I)-MIN(I:I))</f>
        <v>4.2639019431205238E-2</v>
      </c>
    </row>
    <row r="50" spans="1:17" x14ac:dyDescent="0.6">
      <c r="A50">
        <v>30</v>
      </c>
      <c r="B50" s="31" t="s">
        <v>571</v>
      </c>
      <c r="C50" s="31" t="s">
        <v>8</v>
      </c>
      <c r="D50" s="31">
        <v>9.2821787820000008</v>
      </c>
      <c r="E50">
        <v>0.50871072100000003</v>
      </c>
      <c r="F50" s="31">
        <v>7.5287321199999999</v>
      </c>
      <c r="G50" s="31">
        <v>0.57522821700000004</v>
      </c>
      <c r="H50" s="31">
        <v>6.6312255860000002</v>
      </c>
      <c r="I50" s="31">
        <v>0.50562407700000001</v>
      </c>
      <c r="J50">
        <f>SUM(L50:Q50)</f>
        <v>1.9940827730218717E-2</v>
      </c>
      <c r="K50">
        <f>0.5*SIN(RADIANS(60))*((L50*M50)+(M50*N50)+(N50*O50)+(O50*P50)+(P50*Q50)+(Q50*L50))</f>
        <v>3.194122012906798E-5</v>
      </c>
      <c r="L50">
        <f>(MAX(D:D)-D50)/(MAX(D:D)-MIN(D:D))</f>
        <v>0</v>
      </c>
      <c r="M50">
        <f>(MAX(E:E)-E50)/(MAX(E:E)-MIN(E:E))</f>
        <v>0</v>
      </c>
      <c r="N50">
        <f>(MAX(F:F)-F50)/(MAX(F:F)-MIN(F:F))</f>
        <v>0</v>
      </c>
      <c r="O50">
        <f>(MAX(G:G)-G50)/(MAX(G:G)-MIN(G:G))</f>
        <v>0</v>
      </c>
      <c r="P50">
        <f>(MAX(H:H)-H50)/(MAX(H:H)-MIN(H:H))</f>
        <v>4.9064169770262935E-3</v>
      </c>
      <c r="Q50">
        <f>(MAX(I:I)-I50)/(MAX(I:I)-MIN(I:I))</f>
        <v>1.5034410753192423E-2</v>
      </c>
    </row>
  </sheetData>
  <autoFilter ref="A1:P33" xr:uid="{7428AB68-54D6-4E57-B51C-3C52895577F3}">
    <sortState xmlns:xlrd2="http://schemas.microsoft.com/office/spreadsheetml/2017/richdata2" ref="A2:P50">
      <sortCondition descending="1" ref="K1:K33"/>
    </sortState>
  </autoFilter>
  <phoneticPr fontId="1" type="noConversion"/>
  <conditionalFormatting sqref="K1">
    <cfRule type="top10" dxfId="129" priority="7" percent="1" bottom="1" rank="10"/>
  </conditionalFormatting>
  <conditionalFormatting sqref="K1">
    <cfRule type="top10" dxfId="128" priority="8" percent="1" bottom="1" rank="5"/>
  </conditionalFormatting>
  <conditionalFormatting sqref="D1:D1048576">
    <cfRule type="top10" dxfId="127" priority="6" percent="1" bottom="1" rank="5"/>
  </conditionalFormatting>
  <conditionalFormatting sqref="E1:E1048576">
    <cfRule type="top10" dxfId="126" priority="5" percent="1" bottom="1" rank="5"/>
  </conditionalFormatting>
  <conditionalFormatting sqref="F1:F1048576">
    <cfRule type="top10" dxfId="125" priority="4" percent="1" bottom="1" rank="5"/>
  </conditionalFormatting>
  <conditionalFormatting sqref="G1:G1048576">
    <cfRule type="top10" dxfId="124" priority="3" percent="1" bottom="1" rank="5"/>
  </conditionalFormatting>
  <conditionalFormatting sqref="H1:H1048576">
    <cfRule type="top10" dxfId="123" priority="2" percent="1" bottom="1" rank="5"/>
  </conditionalFormatting>
  <conditionalFormatting sqref="I1:I1048576">
    <cfRule type="top10" dxfId="122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BB686-9590-4F69-B6C2-1F622B11C76A}">
  <dimension ref="A1:Q50"/>
  <sheetViews>
    <sheetView workbookViewId="0">
      <selection activeCell="A2" sqref="A2:I50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23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60</v>
      </c>
      <c r="B2" t="s">
        <v>92</v>
      </c>
      <c r="C2" t="s">
        <v>174</v>
      </c>
      <c r="D2">
        <v>7.2218359379999999</v>
      </c>
      <c r="E2">
        <v>0.27811566300000001</v>
      </c>
      <c r="F2">
        <v>5.5552395910000003</v>
      </c>
      <c r="G2">
        <v>0.404683821</v>
      </c>
      <c r="H2">
        <v>4.543945313</v>
      </c>
      <c r="I2">
        <v>0.32296682399999999</v>
      </c>
      <c r="J2">
        <f>SUM(L2:Q2)</f>
        <v>5.8272694418927387</v>
      </c>
      <c r="K2">
        <f>0.5*SIN(RADIANS(60))*((L2*M2)+(M2*N2)+(N2*O2)+(O2*P2)+(P2*Q2)+(Q2*L2))</f>
        <v>2.4512996323469038</v>
      </c>
      <c r="L2">
        <f>(MAX(D:D)-D2)/(MAX(D:D)-MIN(D:D))</f>
        <v>1</v>
      </c>
      <c r="M2">
        <f>(MAX(E:E)-E2)/(MAX(E:E)-MIN(E:E))</f>
        <v>1</v>
      </c>
      <c r="N2">
        <f>(MAX(F:F)-F2)/(MAX(F:F)-MIN(F:F))</f>
        <v>0.98692693029244793</v>
      </c>
      <c r="O2">
        <f>(MAX(G:G)-G2)/(MAX(G:G)-MIN(G:G))</f>
        <v>0.99029041230293147</v>
      </c>
      <c r="P2">
        <f>(MAX(H:H)-H2)/(MAX(H:H)-MIN(H:H))</f>
        <v>0.91806509741672837</v>
      </c>
      <c r="Q2">
        <f>(MAX(I:I)-I2)/(MAX(I:I)-MIN(I:I))</f>
        <v>0.93198700188063077</v>
      </c>
    </row>
    <row r="3" spans="1:17" x14ac:dyDescent="0.6">
      <c r="A3">
        <v>60</v>
      </c>
      <c r="B3" t="s">
        <v>6</v>
      </c>
      <c r="C3" t="s">
        <v>174</v>
      </c>
      <c r="D3">
        <v>7.2240690140000003</v>
      </c>
      <c r="E3">
        <v>0.27833894300000001</v>
      </c>
      <c r="F3">
        <v>5.5348531550000004</v>
      </c>
      <c r="G3">
        <v>0.40327618100000001</v>
      </c>
      <c r="H3">
        <v>4.5801391599999999</v>
      </c>
      <c r="I3">
        <v>0.33618222199999998</v>
      </c>
      <c r="J3">
        <f>SUM(L3:Q3)</f>
        <v>5.7548846725095277</v>
      </c>
      <c r="K3">
        <f>0.5*SIN(RADIANS(60))*((L3*M3)+(M3*N3)+(N3*O3)+(O3*P3)+(P3*Q3)+(Q3*L3))</f>
        <v>2.392072617626086</v>
      </c>
      <c r="L3">
        <f>(MAX(D:D)-D3)/(MAX(D:D)-MIN(D:D))</f>
        <v>0.99840599932254603</v>
      </c>
      <c r="M3">
        <f>(MAX(E:E)-E3)/(MAX(E:E)-MIN(E:E))</f>
        <v>0.99870522526096939</v>
      </c>
      <c r="N3">
        <f>(MAX(F:F)-F3)/(MAX(F:F)-MIN(F:F))</f>
        <v>1</v>
      </c>
      <c r="O3">
        <f>(MAX(G:G)-G3)/(MAX(G:G)-MIN(G:G))</f>
        <v>1</v>
      </c>
      <c r="P3">
        <f>(MAX(H:H)-H3)/(MAX(H:H)-MIN(H:H))</f>
        <v>0.89913740124614894</v>
      </c>
      <c r="Q3">
        <f>(MAX(I:I)-I3)/(MAX(I:I)-MIN(I:I))</f>
        <v>0.85863604667986371</v>
      </c>
    </row>
    <row r="4" spans="1:17" x14ac:dyDescent="0.6">
      <c r="A4">
        <v>60</v>
      </c>
      <c r="B4" t="s">
        <v>92</v>
      </c>
      <c r="C4" t="s">
        <v>7</v>
      </c>
      <c r="D4">
        <v>7.2754630000000002</v>
      </c>
      <c r="E4">
        <v>0.28189999999999998</v>
      </c>
      <c r="F4">
        <v>5.5962430000000003</v>
      </c>
      <c r="G4">
        <v>0.40754000000000001</v>
      </c>
      <c r="H4">
        <v>4.4950559999999999</v>
      </c>
      <c r="I4">
        <v>0.33418700000000001</v>
      </c>
      <c r="J4">
        <f>SUM(L4:Q4)</f>
        <v>5.6843396983610042</v>
      </c>
      <c r="K4">
        <f>0.5*SIN(RADIANS(60))*((L4*M4)+(M4*N4)+(N4*O4)+(O4*P4)+(P4*Q4)+(Q4*L4))</f>
        <v>2.3320031704438038</v>
      </c>
      <c r="L4">
        <f>(MAX(D:D)-D4)/(MAX(D:D)-MIN(D:D))</f>
        <v>0.96172025799486938</v>
      </c>
      <c r="M4">
        <f>(MAX(E:E)-E4)/(MAX(E:E)-MIN(E:E))</f>
        <v>0.97805507008429304</v>
      </c>
      <c r="N4">
        <f>(MAX(F:F)-F4)/(MAX(F:F)-MIN(F:F))</f>
        <v>0.96063295599972354</v>
      </c>
      <c r="O4">
        <f>(MAX(G:G)-G4)/(MAX(G:G)-MIN(G:G))</f>
        <v>0.97058912470167968</v>
      </c>
      <c r="P4">
        <f>(MAX(H:H)-H4)/(MAX(H:H)-MIN(H:H))</f>
        <v>0.94363193098521758</v>
      </c>
      <c r="Q4">
        <f>(MAX(I:I)-I4)/(MAX(I:I)-MIN(I:I))</f>
        <v>0.8697103585952205</v>
      </c>
    </row>
    <row r="5" spans="1:17" x14ac:dyDescent="0.6">
      <c r="A5">
        <v>60</v>
      </c>
      <c r="B5" t="s">
        <v>92</v>
      </c>
      <c r="C5" t="s">
        <v>181</v>
      </c>
      <c r="D5">
        <v>7.2727806370000003</v>
      </c>
      <c r="E5">
        <v>0.28212038499999997</v>
      </c>
      <c r="F5">
        <v>5.5981438380000004</v>
      </c>
      <c r="G5">
        <v>0.407850718</v>
      </c>
      <c r="H5">
        <v>4.5718383789999999</v>
      </c>
      <c r="I5">
        <v>0.32702967199999999</v>
      </c>
      <c r="J5">
        <f>SUM(L5:Q5)</f>
        <v>5.6811867576200274</v>
      </c>
      <c r="K5">
        <f>0.5*SIN(RADIANS(60))*((L5*M5)+(M5*N5)+(N5*O5)+(O5*P5)+(P5*Q5)+(Q5*L5))</f>
        <v>2.3298341701699896</v>
      </c>
      <c r="L5">
        <f>(MAX(D:D)-D5)/(MAX(D:D)-MIN(D:D))</f>
        <v>0.96363496597577847</v>
      </c>
      <c r="M5">
        <f>(MAX(E:E)-E5)/(MAX(E:E)-MIN(E:E))</f>
        <v>0.97677708311339884</v>
      </c>
      <c r="N5">
        <f>(MAX(F:F)-F5)/(MAX(F:F)-MIN(F:F))</f>
        <v>0.95941401867900866</v>
      </c>
      <c r="O5">
        <f>(MAX(G:G)-G5)/(MAX(G:G)-MIN(G:G))</f>
        <v>0.96844586103337127</v>
      </c>
      <c r="P5">
        <f>(MAX(H:H)-H5)/(MAX(H:H)-MIN(H:H))</f>
        <v>0.90347832308146858</v>
      </c>
      <c r="Q5">
        <f>(MAX(I:I)-I5)/(MAX(I:I)-MIN(I:I))</f>
        <v>0.90943650573700141</v>
      </c>
    </row>
    <row r="6" spans="1:17" x14ac:dyDescent="0.6">
      <c r="A6">
        <v>60</v>
      </c>
      <c r="B6" t="s">
        <v>6</v>
      </c>
      <c r="C6" t="s">
        <v>171</v>
      </c>
      <c r="D6">
        <v>7.2983879600000003</v>
      </c>
      <c r="E6">
        <v>0.28452423599999999</v>
      </c>
      <c r="F6">
        <v>5.574669578</v>
      </c>
      <c r="G6">
        <v>0.40629008100000003</v>
      </c>
      <c r="H6">
        <v>4.5595092770000001</v>
      </c>
      <c r="I6">
        <v>0.32931139799999998</v>
      </c>
      <c r="J6">
        <f>SUM(L6:Q6)</f>
        <v>5.6685693645932105</v>
      </c>
      <c r="K6">
        <f>0.5*SIN(RADIANS(60))*((L6*M6)+(M6*N6)+(N6*O6)+(O6*P6)+(P6*Q6)+(Q6*L6))</f>
        <v>2.3198485045344275</v>
      </c>
      <c r="L6">
        <f>(MAX(D:D)-D6)/(MAX(D:D)-MIN(D:D))</f>
        <v>0.94535610300390727</v>
      </c>
      <c r="M6">
        <f>(MAX(E:E)-E6)/(MAX(E:E)-MIN(E:E))</f>
        <v>0.9628374308776696</v>
      </c>
      <c r="N6">
        <f>(MAX(F:F)-F6)/(MAX(F:F)-MIN(F:F))</f>
        <v>0.97446719606191212</v>
      </c>
      <c r="O6">
        <f>(MAX(G:G)-G6)/(MAX(G:G)-MIN(G:G))</f>
        <v>0.97921078801384209</v>
      </c>
      <c r="P6">
        <f>(MAX(H:H)-H6)/(MAX(H:H)-MIN(H:H))</f>
        <v>0.90992586917161156</v>
      </c>
      <c r="Q6">
        <f>(MAX(I:I)-I6)/(MAX(I:I)-MIN(I:I))</f>
        <v>0.89677197746426807</v>
      </c>
    </row>
    <row r="7" spans="1:17" x14ac:dyDescent="0.6">
      <c r="A7">
        <v>60</v>
      </c>
      <c r="B7" t="s">
        <v>9</v>
      </c>
      <c r="C7" t="s">
        <v>167</v>
      </c>
      <c r="D7">
        <v>7.4323322310000002</v>
      </c>
      <c r="E7">
        <v>0.29545744299999999</v>
      </c>
      <c r="F7">
        <v>5.6471321799999998</v>
      </c>
      <c r="G7">
        <v>0.41171675800000002</v>
      </c>
      <c r="H7">
        <v>4.3988647460000001</v>
      </c>
      <c r="I7">
        <v>0.31071314799999999</v>
      </c>
      <c r="J7">
        <f>SUM(L7:Q7)</f>
        <v>5.6128957114835094</v>
      </c>
      <c r="K7">
        <f>0.5*SIN(RADIANS(60))*((L7*M7)+(M7*N7)+(N7*O7)+(O7*P7)+(P7*Q7)+(Q7*L7))</f>
        <v>2.2744802497931693</v>
      </c>
      <c r="L7">
        <f>(MAX(D:D)-D7)/(MAX(D:D)-MIN(D:D))</f>
        <v>0.84974482120470551</v>
      </c>
      <c r="M7">
        <f>(MAX(E:E)-E7)/(MAX(E:E)-MIN(E:E))</f>
        <v>0.89943703567795064</v>
      </c>
      <c r="N7">
        <f>(MAX(F:F)-F7)/(MAX(F:F)-MIN(F:F))</f>
        <v>0.92799960127797798</v>
      </c>
      <c r="O7">
        <f>(MAX(G:G)-G7)/(MAX(G:G)-MIN(G:G))</f>
        <v>0.94177877682123223</v>
      </c>
      <c r="P7">
        <f>(MAX(H:H)-H7)/(MAX(H:H)-MIN(H:H))</f>
        <v>0.99393547650164293</v>
      </c>
      <c r="Q7">
        <f>(MAX(I:I)-I7)/(MAX(I:I)-MIN(I:I))</f>
        <v>1</v>
      </c>
    </row>
    <row r="8" spans="1:17" x14ac:dyDescent="0.6">
      <c r="A8">
        <v>60</v>
      </c>
      <c r="B8" t="s">
        <v>92</v>
      </c>
      <c r="C8" t="s">
        <v>8</v>
      </c>
      <c r="D8" s="13">
        <v>7.3410529999999996</v>
      </c>
      <c r="E8">
        <v>0.28810000000000002</v>
      </c>
      <c r="F8">
        <v>5.6173570000000002</v>
      </c>
      <c r="G8">
        <v>0.40954499999999999</v>
      </c>
      <c r="H8">
        <v>4.5057980000000004</v>
      </c>
      <c r="I8">
        <v>0.330175</v>
      </c>
      <c r="J8">
        <f>SUM(L8:Q8)</f>
        <v>5.5908485955367926</v>
      </c>
      <c r="K8">
        <f>0.5*SIN(RADIANS(60))*((L8*M8)+(M8*N8)+(N8*O8)+(O8*P8)+(P8*Q8)+(Q8*L8))</f>
        <v>2.2562316249148688</v>
      </c>
      <c r="L8">
        <f>(MAX(D:D)-D8)/(MAX(D:D)-MIN(D:D))</f>
        <v>0.91490120461998048</v>
      </c>
      <c r="M8">
        <f>(MAX(E:E)-E8)/(MAX(E:E)-MIN(E:E))</f>
        <v>0.94210199151930663</v>
      </c>
      <c r="N8">
        <f>(MAX(F:F)-F8)/(MAX(F:F)-MIN(F:F))</f>
        <v>0.94709332632608878</v>
      </c>
      <c r="O8">
        <f>(MAX(G:G)-G8)/(MAX(G:G)-MIN(G:G))</f>
        <v>0.95675908056211112</v>
      </c>
      <c r="P8">
        <f>(MAX(H:H)-H8)/(MAX(H:H)-MIN(H:H))</f>
        <v>0.93801436531820315</v>
      </c>
      <c r="Q8">
        <f>(MAX(I:I)-I8)/(MAX(I:I)-MIN(I:I))</f>
        <v>0.89197862719110232</v>
      </c>
    </row>
    <row r="9" spans="1:17" x14ac:dyDescent="0.6">
      <c r="A9">
        <v>60</v>
      </c>
      <c r="B9" t="s">
        <v>6</v>
      </c>
      <c r="C9" t="s">
        <v>177</v>
      </c>
      <c r="D9">
        <v>7.2612476140000002</v>
      </c>
      <c r="E9">
        <v>0.28027560899999998</v>
      </c>
      <c r="F9">
        <v>5.649516019</v>
      </c>
      <c r="G9">
        <v>0.41121107299999998</v>
      </c>
      <c r="H9">
        <v>4.7030029300000002</v>
      </c>
      <c r="I9">
        <v>0.34549559699999999</v>
      </c>
      <c r="J9">
        <f>SUM(L9:Q9)</f>
        <v>5.4729082494285315</v>
      </c>
      <c r="K9">
        <f>0.5*SIN(RADIANS(60))*((L9*M9)+(M9*N9)+(N9*O9)+(O9*P9)+(P9*Q9)+(Q9*L9))</f>
        <v>2.1639633519273547</v>
      </c>
      <c r="L9">
        <f>(MAX(D:D)-D9)/(MAX(D:D)-MIN(D:D))</f>
        <v>0.97186739804485656</v>
      </c>
      <c r="M9">
        <f>(MAX(E:E)-E9)/(MAX(E:E)-MIN(E:E))</f>
        <v>0.98747472447836671</v>
      </c>
      <c r="N9">
        <f>(MAX(F:F)-F9)/(MAX(F:F)-MIN(F:F))</f>
        <v>0.92647093322542662</v>
      </c>
      <c r="O9">
        <f>(MAX(G:G)-G9)/(MAX(G:G)-MIN(G:G))</f>
        <v>0.94526687949989474</v>
      </c>
      <c r="P9">
        <f>(MAX(H:H)-H9)/(MAX(H:H)-MIN(H:H))</f>
        <v>0.83488537219458214</v>
      </c>
      <c r="Q9">
        <f>(MAX(I:I)-I9)/(MAX(I:I)-MIN(I:I))</f>
        <v>0.80694294198540462</v>
      </c>
    </row>
    <row r="10" spans="1:17" x14ac:dyDescent="0.6">
      <c r="A10">
        <v>60</v>
      </c>
      <c r="B10" t="s">
        <v>99</v>
      </c>
      <c r="C10" t="s">
        <v>174</v>
      </c>
      <c r="D10">
        <v>7.3278160569999997</v>
      </c>
      <c r="E10">
        <v>0.28613997499999999</v>
      </c>
      <c r="F10">
        <v>5.5937832920000004</v>
      </c>
      <c r="G10">
        <v>0.407418856</v>
      </c>
      <c r="H10">
        <v>4.7029418950000004</v>
      </c>
      <c r="I10">
        <v>0.34730410499999997</v>
      </c>
      <c r="J10">
        <f>SUM(L10:Q10)</f>
        <v>5.4432751530861587</v>
      </c>
      <c r="K10">
        <f>0.5*SIN(RADIANS(60))*((L10*M10)+(M10*N10)+(N10*O10)+(O10*P10)+(P10*Q10)+(Q10*L10))</f>
        <v>2.1419049756253776</v>
      </c>
      <c r="L10">
        <f>(MAX(D:D)-D10)/(MAX(D:D)-MIN(D:D))</f>
        <v>0.92434991846107462</v>
      </c>
      <c r="M10">
        <f>(MAX(E:E)-E10)/(MAX(E:E)-MIN(E:E))</f>
        <v>0.95346794842484506</v>
      </c>
      <c r="N10">
        <f>(MAX(F:F)-F10)/(MAX(F:F)-MIN(F:F))</f>
        <v>0.96221027604449361</v>
      </c>
      <c r="O10">
        <f>(MAX(G:G)-G10)/(MAX(G:G)-MIN(G:G))</f>
        <v>0.97142474907437004</v>
      </c>
      <c r="P10">
        <f>(MAX(H:H)-H10)/(MAX(H:H)-MIN(H:H))</f>
        <v>0.8349172906567387</v>
      </c>
      <c r="Q10">
        <f>(MAX(I:I)-I10)/(MAX(I:I)-MIN(I:I))</f>
        <v>0.7969049704246367</v>
      </c>
    </row>
    <row r="11" spans="1:17" x14ac:dyDescent="0.6">
      <c r="A11">
        <v>60</v>
      </c>
      <c r="B11" t="s">
        <v>92</v>
      </c>
      <c r="C11" t="s">
        <v>171</v>
      </c>
      <c r="D11">
        <v>7.3124180179999998</v>
      </c>
      <c r="E11">
        <v>0.284874933</v>
      </c>
      <c r="F11">
        <v>5.6562527740000004</v>
      </c>
      <c r="G11">
        <v>0.41188939299999999</v>
      </c>
      <c r="H11">
        <v>4.6723022460000001</v>
      </c>
      <c r="I11">
        <v>0.341196043</v>
      </c>
      <c r="J11">
        <f>SUM(L11:Q11)</f>
        <v>5.4406315669113026</v>
      </c>
      <c r="K11">
        <f>0.5*SIN(RADIANS(60))*((L11*M11)+(M11*N11)+(N11*O11)+(O11*P11)+(P11*Q11)+(Q11*L11))</f>
        <v>2.1375627000165882</v>
      </c>
      <c r="L11">
        <f>(MAX(D:D)-D11)/(MAX(D:D)-MIN(D:D))</f>
        <v>0.9353412526554582</v>
      </c>
      <c r="M11">
        <f>(MAX(E:E)-E11)/(MAX(E:E)-MIN(E:E))</f>
        <v>0.96080377978194298</v>
      </c>
      <c r="N11">
        <f>(MAX(F:F)-F11)/(MAX(F:F)-MIN(F:F))</f>
        <v>0.92215090064505278</v>
      </c>
      <c r="O11">
        <f>(MAX(G:G)-G11)/(MAX(G:G)-MIN(G:G))</f>
        <v>0.94058797898081625</v>
      </c>
      <c r="P11">
        <f>(MAX(H:H)-H11)/(MAX(H:H)-MIN(H:H))</f>
        <v>0.85094039997267301</v>
      </c>
      <c r="Q11">
        <f>(MAX(I:I)-I11)/(MAX(I:I)-MIN(I:I))</f>
        <v>0.830807254875359</v>
      </c>
    </row>
    <row r="12" spans="1:17" x14ac:dyDescent="0.6">
      <c r="A12">
        <v>60</v>
      </c>
      <c r="B12" t="s">
        <v>92</v>
      </c>
      <c r="C12" t="s">
        <v>167</v>
      </c>
      <c r="D12" s="13">
        <v>7.4105862169999996</v>
      </c>
      <c r="E12">
        <v>0.29231740499999997</v>
      </c>
      <c r="F12">
        <v>5.7145420419999997</v>
      </c>
      <c r="G12">
        <v>0.41594271900000002</v>
      </c>
      <c r="H12">
        <v>4.471191406</v>
      </c>
      <c r="I12">
        <v>0.33018144900000002</v>
      </c>
      <c r="J12">
        <f>SUM(L12:Q12)</f>
        <v>5.4283691934186837</v>
      </c>
      <c r="K12">
        <f>0.5*SIN(RADIANS(60))*((L12*M12)+(M12*N12)+(N12*O12)+(O12*P12)+(P12*Q12)+(Q12*L12))</f>
        <v>2.126320576377251</v>
      </c>
      <c r="L12">
        <f>(MAX(D:D)-D12)/(MAX(D:D)-MIN(D:D))</f>
        <v>0.86526742815938029</v>
      </c>
      <c r="M12">
        <f>(MAX(E:E)-E12)/(MAX(E:E)-MIN(E:E))</f>
        <v>0.91764575066360277</v>
      </c>
      <c r="N12">
        <f>(MAX(F:F)-F12)/(MAX(F:F)-MIN(F:F))</f>
        <v>0.88477214234879242</v>
      </c>
      <c r="O12">
        <f>(MAX(G:G)-G12)/(MAX(G:G)-MIN(G:G))</f>
        <v>0.91262903758826652</v>
      </c>
      <c r="P12">
        <f>(MAX(H:H)-H12)/(MAX(H:H)-MIN(H:H))</f>
        <v>0.95611200209968727</v>
      </c>
      <c r="Q12">
        <f>(MAX(I:I)-I12)/(MAX(I:I)-MIN(I:I))</f>
        <v>0.8919428325589549</v>
      </c>
    </row>
    <row r="13" spans="1:17" x14ac:dyDescent="0.6">
      <c r="A13">
        <v>60</v>
      </c>
      <c r="B13" t="s">
        <v>9</v>
      </c>
      <c r="C13" t="s">
        <v>184</v>
      </c>
      <c r="D13">
        <v>7.5078361109999996</v>
      </c>
      <c r="E13">
        <v>0.30042021600000002</v>
      </c>
      <c r="F13">
        <v>5.7300026629999996</v>
      </c>
      <c r="G13">
        <v>0.417504563</v>
      </c>
      <c r="H13">
        <v>4.3872680659999999</v>
      </c>
      <c r="I13">
        <v>0.31816177899999998</v>
      </c>
      <c r="J13">
        <f>SUM(L13:Q13)</f>
        <v>5.401878196272472</v>
      </c>
      <c r="K13">
        <f>0.5*SIN(RADIANS(60))*((L13*M13)+(M13*N13)+(N13*O13)+(O13*P13)+(P13*Q13)+(Q13*L13))</f>
        <v>2.107503065189642</v>
      </c>
      <c r="L13">
        <f>(MAX(D:D)-D13)/(MAX(D:D)-MIN(D:D))</f>
        <v>0.795849102532176</v>
      </c>
      <c r="M13">
        <f>(MAX(E:E)-E13)/(MAX(E:E)-MIN(E:E))</f>
        <v>0.87065849252162919</v>
      </c>
      <c r="N13">
        <f>(MAX(F:F)-F13)/(MAX(F:F)-MIN(F:F))</f>
        <v>0.87485781617353342</v>
      </c>
      <c r="O13">
        <f>(MAX(G:G)-G13)/(MAX(G:G)-MIN(G:G))</f>
        <v>0.90185578499020147</v>
      </c>
      <c r="P13">
        <f>(MAX(H:H)-H13)/(MAX(H:H)-MIN(H:H))</f>
        <v>1</v>
      </c>
      <c r="Q13">
        <f>(MAX(I:I)-I13)/(MAX(I:I)-MIN(I:I))</f>
        <v>0.9586570000549326</v>
      </c>
    </row>
    <row r="14" spans="1:17" x14ac:dyDescent="0.6">
      <c r="A14">
        <v>60</v>
      </c>
      <c r="B14" t="s">
        <v>99</v>
      </c>
      <c r="C14" t="s">
        <v>171</v>
      </c>
      <c r="D14">
        <v>7.3593117389999998</v>
      </c>
      <c r="E14">
        <v>0.28778825699999999</v>
      </c>
      <c r="F14">
        <v>5.7077074919999999</v>
      </c>
      <c r="G14">
        <v>0.415354261</v>
      </c>
      <c r="H14">
        <v>4.6244506840000001</v>
      </c>
      <c r="I14">
        <v>0.33636452100000003</v>
      </c>
      <c r="J14">
        <f>SUM(L14:Q14)</f>
        <v>5.3852093427041341</v>
      </c>
      <c r="K14">
        <f>0.5*SIN(RADIANS(60))*((L14*M14)+(M14*N14)+(N14*O14)+(O14*P14)+(P14*Q14)+(Q14*L14))</f>
        <v>2.0928975724513945</v>
      </c>
      <c r="L14">
        <f>(MAX(D:D)-D14)/(MAX(D:D)-MIN(D:D))</f>
        <v>0.9018678630160899</v>
      </c>
      <c r="M14">
        <f>(MAX(E:E)-E14)/(MAX(E:E)-MIN(E:E))</f>
        <v>0.94390975290173973</v>
      </c>
      <c r="N14">
        <f>(MAX(F:F)-F14)/(MAX(F:F)-MIN(F:F))</f>
        <v>0.88915488725671787</v>
      </c>
      <c r="O14">
        <f>(MAX(G:G)-G14)/(MAX(G:G)-MIN(G:G))</f>
        <v>0.91668809001434259</v>
      </c>
      <c r="P14">
        <f>(MAX(H:H)-H14)/(MAX(H:H)-MIN(H:H))</f>
        <v>0.87596453810376607</v>
      </c>
      <c r="Q14">
        <f>(MAX(I:I)-I14)/(MAX(I:I)-MIN(I:I))</f>
        <v>0.85762421141147838</v>
      </c>
    </row>
    <row r="15" spans="1:17" x14ac:dyDescent="0.6">
      <c r="A15">
        <v>60</v>
      </c>
      <c r="B15" t="s">
        <v>92</v>
      </c>
      <c r="C15" t="s">
        <v>177</v>
      </c>
      <c r="D15" s="13">
        <v>7.3231435720000002</v>
      </c>
      <c r="E15">
        <v>0.28557284999999999</v>
      </c>
      <c r="F15">
        <v>5.6495555529999999</v>
      </c>
      <c r="G15">
        <v>0.41140818099999998</v>
      </c>
      <c r="H15">
        <v>4.7750244139999998</v>
      </c>
      <c r="I15">
        <v>0.347665051</v>
      </c>
      <c r="J15">
        <f>SUM(L15:Q15)</f>
        <v>5.3469177579969784</v>
      </c>
      <c r="K15">
        <f>0.5*SIN(RADIANS(60))*((L15*M15)+(M15*N15)+(N15*O15)+(O15*P15)+(P15*Q15)+(Q15*L15))</f>
        <v>2.0663647002806909</v>
      </c>
      <c r="L15">
        <f>(MAX(D:D)-D15)/(MAX(D:D)-MIN(D:D))</f>
        <v>0.92768520317838432</v>
      </c>
      <c r="M15">
        <f>(MAX(E:E)-E15)/(MAX(E:E)-MIN(E:E))</f>
        <v>0.95675664030890439</v>
      </c>
      <c r="N15">
        <f>(MAX(F:F)-F15)/(MAX(F:F)-MIN(F:F))</f>
        <v>0.92644558152894485</v>
      </c>
      <c r="O15">
        <f>(MAX(G:G)-G15)/(MAX(G:G)-MIN(G:G))</f>
        <v>0.94390727234764438</v>
      </c>
      <c r="P15">
        <f>(MAX(H:H)-H15)/(MAX(H:H)-MIN(H:H))</f>
        <v>0.79722149062636305</v>
      </c>
      <c r="Q15">
        <f>(MAX(I:I)-I15)/(MAX(I:I)-MIN(I:I))</f>
        <v>0.794901570006738</v>
      </c>
    </row>
    <row r="16" spans="1:17" x14ac:dyDescent="0.6">
      <c r="A16">
        <v>60</v>
      </c>
      <c r="B16" t="s">
        <v>92</v>
      </c>
      <c r="C16" t="s">
        <v>184</v>
      </c>
      <c r="D16" s="13">
        <v>7.3560864649999997</v>
      </c>
      <c r="E16">
        <v>0.28808767899999999</v>
      </c>
      <c r="F16">
        <v>5.6902049669999997</v>
      </c>
      <c r="G16">
        <v>0.41428189199999998</v>
      </c>
      <c r="H16">
        <v>4.7127075200000004</v>
      </c>
      <c r="I16">
        <v>0.34084819100000002</v>
      </c>
      <c r="J16">
        <f>SUM(L16:Q16)</f>
        <v>5.3333555138485771</v>
      </c>
      <c r="K16">
        <f>0.5*SIN(RADIANS(60))*((L16*M16)+(M16*N16)+(N16*O16)+(O16*P16)+(P16*Q16)+(Q16*L16))</f>
        <v>2.0537753334552664</v>
      </c>
      <c r="L16">
        <f>(MAX(D:D)-D16)/(MAX(D:D)-MIN(D:D))</f>
        <v>0.90417010841256262</v>
      </c>
      <c r="M16">
        <f>(MAX(E:E)-E16)/(MAX(E:E)-MIN(E:E))</f>
        <v>0.94217343956462929</v>
      </c>
      <c r="N16">
        <f>(MAX(F:F)-F16)/(MAX(F:F)-MIN(F:F))</f>
        <v>0.90037861117703322</v>
      </c>
      <c r="O16">
        <f>(MAX(G:G)-G16)/(MAX(G:G)-MIN(G:G))</f>
        <v>0.92408505290905862</v>
      </c>
      <c r="P16">
        <f>(MAX(H:H)-H16)/(MAX(H:H)-MIN(H:H))</f>
        <v>0.8298103236378469</v>
      </c>
      <c r="Q16">
        <f>(MAX(I:I)-I16)/(MAX(I:I)-MIN(I:I))</f>
        <v>0.83273797814744632</v>
      </c>
    </row>
    <row r="17" spans="1:17" x14ac:dyDescent="0.6">
      <c r="A17">
        <v>60</v>
      </c>
      <c r="B17" t="s">
        <v>6</v>
      </c>
      <c r="C17" t="s">
        <v>181</v>
      </c>
      <c r="D17">
        <v>7.3078442099999998</v>
      </c>
      <c r="E17">
        <v>0.28358682099999999</v>
      </c>
      <c r="F17">
        <v>5.6755794179999999</v>
      </c>
      <c r="G17">
        <v>0.412918644</v>
      </c>
      <c r="H17">
        <v>4.830566406</v>
      </c>
      <c r="I17">
        <v>0.35216855000000002</v>
      </c>
      <c r="J17">
        <f>SUM(L17:Q17)</f>
        <v>5.2882062560255889</v>
      </c>
      <c r="K17">
        <f>0.5*SIN(RADIANS(60))*((L17*M17)+(M17*N17)+(N17*O17)+(O17*P17)+(P17*Q17)+(Q17*L17))</f>
        <v>2.0222180661075324</v>
      </c>
      <c r="L17">
        <f>(MAX(D:D)-D17)/(MAX(D:D)-MIN(D:D))</f>
        <v>0.93860610035904868</v>
      </c>
      <c r="M17">
        <f>(MAX(E:E)-E17)/(MAX(E:E)-MIN(E:E))</f>
        <v>0.96827339138460455</v>
      </c>
      <c r="N17">
        <f>(MAX(F:F)-F17)/(MAX(F:F)-MIN(F:F))</f>
        <v>0.90975743646990037</v>
      </c>
      <c r="O17">
        <f>(MAX(G:G)-G17)/(MAX(G:G)-MIN(G:G))</f>
        <v>0.9334884344617661</v>
      </c>
      <c r="P17">
        <f>(MAX(H:H)-H17)/(MAX(H:H)-MIN(H:H))</f>
        <v>0.76817561580446969</v>
      </c>
      <c r="Q17">
        <f>(MAX(I:I)-I17)/(MAX(I:I)-MIN(I:I))</f>
        <v>0.76990527754579952</v>
      </c>
    </row>
    <row r="18" spans="1:17" x14ac:dyDescent="0.6">
      <c r="A18">
        <v>60</v>
      </c>
      <c r="B18" t="s">
        <v>99</v>
      </c>
      <c r="C18" t="s">
        <v>177</v>
      </c>
      <c r="D18" s="13">
        <v>7.3469796230000002</v>
      </c>
      <c r="E18">
        <v>0.28775952199999999</v>
      </c>
      <c r="F18">
        <v>5.6367152819999999</v>
      </c>
      <c r="G18">
        <v>0.41066739000000002</v>
      </c>
      <c r="H18">
        <v>4.8701782229999999</v>
      </c>
      <c r="I18">
        <v>0.35273478600000002</v>
      </c>
      <c r="J18">
        <f>SUM(L18:Q18)</f>
        <v>5.2526666531671129</v>
      </c>
      <c r="K18">
        <f>0.5*SIN(RADIANS(60))*((L18*M18)+(M18*N18)+(N18*O18)+(O18*P18)+(P18*Q18)+(Q18*L18))</f>
        <v>1.996155628349787</v>
      </c>
      <c r="L18">
        <f>(MAX(D:D)-D18)/(MAX(D:D)-MIN(D:D))</f>
        <v>0.91067069877198725</v>
      </c>
      <c r="M18">
        <f>(MAX(E:E)-E18)/(MAX(E:E)-MIN(E:E))</f>
        <v>0.9440763838231212</v>
      </c>
      <c r="N18">
        <f>(MAX(F:F)-F18)/(MAX(F:F)-MIN(F:F))</f>
        <v>0.93467957386810896</v>
      </c>
      <c r="O18">
        <f>(MAX(G:G)-G18)/(MAX(G:G)-MIN(G:G))</f>
        <v>0.94901708393277895</v>
      </c>
      <c r="P18">
        <f>(MAX(H:H)-H18)/(MAX(H:H)-MIN(H:H))</f>
        <v>0.74746048052358638</v>
      </c>
      <c r="Q18">
        <f>(MAX(I:I)-I18)/(MAX(I:I)-MIN(I:I))</f>
        <v>0.76676243224752993</v>
      </c>
    </row>
    <row r="19" spans="1:17" x14ac:dyDescent="0.6">
      <c r="A19">
        <v>60</v>
      </c>
      <c r="B19" t="s">
        <v>99</v>
      </c>
      <c r="C19" t="s">
        <v>181</v>
      </c>
      <c r="D19">
        <v>7.2622173610000003</v>
      </c>
      <c r="E19">
        <v>0.28053172900000001</v>
      </c>
      <c r="F19">
        <v>5.6549204050000004</v>
      </c>
      <c r="G19">
        <v>0.41162120499999999</v>
      </c>
      <c r="H19">
        <v>4.9458618159999999</v>
      </c>
      <c r="I19">
        <v>0.36269718000000001</v>
      </c>
      <c r="J19">
        <f>SUM(L19:Q19)</f>
        <v>5.2419563621804999</v>
      </c>
      <c r="K19">
        <f>0.5*SIN(RADIANS(60))*((L19*M19)+(M19*N19)+(N19*O19)+(O19*P19)+(P19*Q19)+(Q19*L19))</f>
        <v>1.9915314992041753</v>
      </c>
      <c r="L19">
        <f>(MAX(D:D)-D19)/(MAX(D:D)-MIN(D:D))</f>
        <v>0.97117517916159468</v>
      </c>
      <c r="M19">
        <f>(MAX(E:E)-E19)/(MAX(E:E)-MIN(E:E))</f>
        <v>0.98598951440061422</v>
      </c>
      <c r="N19">
        <f>(MAX(F:F)-F19)/(MAX(F:F)-MIN(F:F))</f>
        <v>0.92300529975695156</v>
      </c>
      <c r="O19">
        <f>(MAX(G:G)-G19)/(MAX(G:G)-MIN(G:G))</f>
        <v>0.94243788016670293</v>
      </c>
      <c r="P19">
        <f>(MAX(H:H)-H19)/(MAX(H:H)-MIN(H:H))</f>
        <v>0.70788148651939009</v>
      </c>
      <c r="Q19">
        <f>(MAX(I:I)-I19)/(MAX(I:I)-MIN(I:I))</f>
        <v>0.71146700217524672</v>
      </c>
    </row>
    <row r="20" spans="1:17" x14ac:dyDescent="0.6">
      <c r="A20">
        <v>60</v>
      </c>
      <c r="B20" t="s">
        <v>9</v>
      </c>
      <c r="C20" t="s">
        <v>174</v>
      </c>
      <c r="D20">
        <v>7.4022491319999997</v>
      </c>
      <c r="E20">
        <v>0.29280848900000001</v>
      </c>
      <c r="F20" s="13">
        <v>5.6577973799999999</v>
      </c>
      <c r="G20" s="13">
        <v>0.41224095599999999</v>
      </c>
      <c r="H20">
        <v>4.7761230469999996</v>
      </c>
      <c r="I20" s="13">
        <v>0.345879985</v>
      </c>
      <c r="J20">
        <f>SUM(L20:Q20)</f>
        <v>5.2467963297795706</v>
      </c>
      <c r="K20">
        <f>0.5*SIN(RADIANS(60))*((L20*M20)+(M20*N20)+(N20*O20)+(O20*P20)+(P20*Q20)+(Q20*L20))</f>
        <v>1.9890706318518419</v>
      </c>
      <c r="L20">
        <f>(MAX(D:D)-D20)/(MAX(D:D)-MIN(D:D))</f>
        <v>0.87121855527641012</v>
      </c>
      <c r="M20">
        <f>(MAX(E:E)-E20)/(MAX(E:E)-MIN(E:E))</f>
        <v>0.91479801169037545</v>
      </c>
      <c r="N20">
        <f>(MAX(F:F)-F20)/(MAX(F:F)-MIN(F:F))</f>
        <v>0.92116040177076719</v>
      </c>
      <c r="O20">
        <f>(MAX(G:G)-G20)/(MAX(G:G)-MIN(G:G))</f>
        <v>0.93816297558538519</v>
      </c>
      <c r="P20">
        <f>(MAX(H:H)-H20)/(MAX(H:H)-MIN(H:H))</f>
        <v>0.79664695673868402</v>
      </c>
      <c r="Q20">
        <f>(MAX(I:I)-I20)/(MAX(I:I)-MIN(I:I))</f>
        <v>0.80480942871794836</v>
      </c>
    </row>
    <row r="21" spans="1:17" x14ac:dyDescent="0.6">
      <c r="A21">
        <v>60</v>
      </c>
      <c r="B21" t="s">
        <v>9</v>
      </c>
      <c r="C21" t="s">
        <v>177</v>
      </c>
      <c r="D21">
        <v>7.3762618</v>
      </c>
      <c r="E21">
        <v>0.29004984900000003</v>
      </c>
      <c r="F21" s="13">
        <v>5.6494709360000002</v>
      </c>
      <c r="G21" s="13">
        <v>0.411655777</v>
      </c>
      <c r="H21">
        <v>4.8190307619999997</v>
      </c>
      <c r="I21">
        <v>0.352155361</v>
      </c>
      <c r="J21">
        <f>SUM(L21:Q21)</f>
        <v>5.233449673794869</v>
      </c>
      <c r="K21">
        <f>0.5*SIN(RADIANS(60))*((L21*M21)+(M21*N21)+(N21*O21)+(O21*P21)+(P21*Q21)+(Q21*L21))</f>
        <v>1.9806894168836964</v>
      </c>
      <c r="L21">
        <f>(MAX(D:D)-D21)/(MAX(D:D)-MIN(D:D))</f>
        <v>0.88976867395271686</v>
      </c>
      <c r="M21">
        <f>(MAX(E:E)-E21)/(MAX(E:E)-MIN(E:E))</f>
        <v>0.93079504405368396</v>
      </c>
      <c r="N21">
        <f>(MAX(F:F)-F21)/(MAX(F:F)-MIN(F:F))</f>
        <v>0.92649984329100277</v>
      </c>
      <c r="O21">
        <f>(MAX(G:G)-G21)/(MAX(G:G)-MIN(G:G))</f>
        <v>0.94219941019862641</v>
      </c>
      <c r="P21">
        <f>(MAX(H:H)-H21)/(MAX(H:H)-MIN(H:H))</f>
        <v>0.77420822031771674</v>
      </c>
      <c r="Q21">
        <f>(MAX(I:I)-I21)/(MAX(I:I)-MIN(I:I))</f>
        <v>0.76997848198112151</v>
      </c>
    </row>
    <row r="22" spans="1:17" x14ac:dyDescent="0.6">
      <c r="A22">
        <v>60</v>
      </c>
      <c r="B22" t="s">
        <v>9</v>
      </c>
      <c r="C22" t="s">
        <v>8</v>
      </c>
      <c r="D22">
        <v>7.5538931319999998</v>
      </c>
      <c r="E22">
        <v>0.30560981799999998</v>
      </c>
      <c r="F22">
        <v>5.7484637169999999</v>
      </c>
      <c r="G22">
        <v>0.419201869</v>
      </c>
      <c r="H22">
        <v>4.5098266599999999</v>
      </c>
      <c r="I22">
        <v>0.32744125800000001</v>
      </c>
      <c r="J22">
        <f>SUM(L22:Q22)</f>
        <v>5.1997647199953487</v>
      </c>
      <c r="K22">
        <f>0.5*SIN(RADIANS(60))*((L22*M22)+(M22*N22)+(N22*O22)+(O22*P22)+(P22*Q22)+(Q22*L22))</f>
        <v>1.9525435040427144</v>
      </c>
      <c r="L22">
        <f>(MAX(D:D)-D22)/(MAX(D:D)-MIN(D:D))</f>
        <v>0.76297296097877743</v>
      </c>
      <c r="M22">
        <f>(MAX(E:E)-E22)/(MAX(E:E)-MIN(E:E))</f>
        <v>0.84056459438824072</v>
      </c>
      <c r="N22">
        <f>(MAX(F:F)-F22)/(MAX(F:F)-MIN(F:F))</f>
        <v>0.86301942294889677</v>
      </c>
      <c r="O22">
        <f>(MAX(G:G)-G22)/(MAX(G:G)-MIN(G:G))</f>
        <v>0.89014814563940092</v>
      </c>
      <c r="P22">
        <f>(MAX(H:H)-H22)/(MAX(H:H)-MIN(H:H))</f>
        <v>0.93590756378216977</v>
      </c>
      <c r="Q22">
        <f>(MAX(I:I)-I22)/(MAX(I:I)-MIN(I:I))</f>
        <v>0.90715203225786267</v>
      </c>
    </row>
    <row r="23" spans="1:17" x14ac:dyDescent="0.6">
      <c r="A23">
        <v>60</v>
      </c>
      <c r="B23" t="s">
        <v>99</v>
      </c>
      <c r="C23" t="s">
        <v>167</v>
      </c>
      <c r="D23" s="13">
        <v>7.5261966029999998</v>
      </c>
      <c r="E23">
        <v>0.30075816700000002</v>
      </c>
      <c r="F23" s="13">
        <v>5.8170013430000003</v>
      </c>
      <c r="G23" s="13">
        <v>0.42313114499999999</v>
      </c>
      <c r="H23">
        <v>4.5469360349999999</v>
      </c>
      <c r="I23" s="13">
        <v>0.333240543</v>
      </c>
      <c r="J23">
        <f>SUM(L23:Q23)</f>
        <v>5.1250202040193962</v>
      </c>
      <c r="K23">
        <f>0.5*SIN(RADIANS(60))*((L23*M23)+(M23*N23)+(N23*O23)+(O23*P23)+(P23*Q23)+(Q23*L23))</f>
        <v>1.8949257160213313</v>
      </c>
      <c r="L23">
        <f>(MAX(D:D)-D23)/(MAX(D:D)-MIN(D:D))</f>
        <v>0.78274312822302461</v>
      </c>
      <c r="M23">
        <f>(MAX(E:E)-E23)/(MAX(E:E)-MIN(E:E))</f>
        <v>0.86869875399677177</v>
      </c>
      <c r="N23">
        <f>(MAX(F:F)-F23)/(MAX(F:F)-MIN(F:F))</f>
        <v>0.81906877055001037</v>
      </c>
      <c r="O23">
        <f>(MAX(G:G)-G23)/(MAX(G:G)-MIN(G:G))</f>
        <v>0.86304487356132209</v>
      </c>
      <c r="P23">
        <f>(MAX(H:H)-H23)/(MAX(H:H)-MIN(H:H))</f>
        <v>0.91650108911038097</v>
      </c>
      <c r="Q23">
        <f>(MAX(I:I)-I23)/(MAX(I:I)-MIN(I:I))</f>
        <v>0.8749635885778857</v>
      </c>
    </row>
    <row r="24" spans="1:17" x14ac:dyDescent="0.6">
      <c r="A24">
        <v>60</v>
      </c>
      <c r="B24" t="s">
        <v>99</v>
      </c>
      <c r="C24" t="s">
        <v>8</v>
      </c>
      <c r="D24">
        <v>7.4376990000000003</v>
      </c>
      <c r="E24">
        <v>0.29449999999999998</v>
      </c>
      <c r="F24">
        <v>5.6944710000000001</v>
      </c>
      <c r="G24">
        <v>0.41458800000000001</v>
      </c>
      <c r="H24">
        <v>4.959778</v>
      </c>
      <c r="I24">
        <v>0.34940700000000002</v>
      </c>
      <c r="J24">
        <f>SUM(L24:Q24)</f>
        <v>5.0563566316997672</v>
      </c>
      <c r="K24">
        <f>0.5*SIN(RADIANS(60))*((L24*M24)+(M24*N24)+(N24*O24)+(O24*P24)+(P24*Q24)+(Q24*L24))</f>
        <v>1.8471535801447037</v>
      </c>
      <c r="L24">
        <f>(MAX(D:D)-D24)/(MAX(D:D)-MIN(D:D))</f>
        <v>0.84591394692109978</v>
      </c>
      <c r="M24">
        <f>(MAX(E:E)-E24)/(MAX(E:E)-MIN(E:E))</f>
        <v>0.90498913622641786</v>
      </c>
      <c r="N24">
        <f>(MAX(F:F)-F24)/(MAX(F:F)-MIN(F:F))</f>
        <v>0.89764296151351564</v>
      </c>
      <c r="O24">
        <f>(MAX(G:G)-G24)/(MAX(G:G)-MIN(G:G))</f>
        <v>0.92197358799560447</v>
      </c>
      <c r="P24">
        <f>(MAX(H:H)-H24)/(MAX(H:H)-MIN(H:H))</f>
        <v>0.70060397046518674</v>
      </c>
      <c r="Q24">
        <f>(MAX(I:I)-I24)/(MAX(I:I)-MIN(I:I))</f>
        <v>0.78523302857794242</v>
      </c>
    </row>
    <row r="25" spans="1:17" x14ac:dyDescent="0.6">
      <c r="A25">
        <v>60</v>
      </c>
      <c r="B25" t="s">
        <v>6</v>
      </c>
      <c r="C25" t="s">
        <v>8</v>
      </c>
      <c r="D25" s="13">
        <v>7.5197311899999999</v>
      </c>
      <c r="E25">
        <v>0.30258052699999999</v>
      </c>
      <c r="F25" s="13">
        <v>5.7225223889999999</v>
      </c>
      <c r="G25" s="13">
        <v>0.41718175000000002</v>
      </c>
      <c r="H25">
        <v>4.8104858400000001</v>
      </c>
      <c r="I25" s="13">
        <v>0.34794145700000001</v>
      </c>
      <c r="J25">
        <f>SUM(L25:Q25)</f>
        <v>5.0012706658928163</v>
      </c>
      <c r="K25">
        <f>0.5*SIN(RADIANS(60))*((L25*M25)+(M25*N25)+(N25*O25)+(O25*P25)+(P25*Q25)+(Q25*L25))</f>
        <v>1.8066264875710807</v>
      </c>
      <c r="L25">
        <f>(MAX(D:D)-D25)/(MAX(D:D)-MIN(D:D))</f>
        <v>0.78735822985951953</v>
      </c>
      <c r="M25">
        <f>(MAX(E:E)-E25)/(MAX(E:E)-MIN(E:E))</f>
        <v>0.85813110040746743</v>
      </c>
      <c r="N25">
        <f>(MAX(F:F)-F25)/(MAX(F:F)-MIN(F:F))</f>
        <v>0.87965464007318839</v>
      </c>
      <c r="O25">
        <f>(MAX(G:G)-G25)/(MAX(G:G)-MIN(G:G))</f>
        <v>0.9040824772788929</v>
      </c>
      <c r="P25">
        <f>(MAX(H:H)-H25)/(MAX(H:H)-MIN(H:H))</f>
        <v>0.77867681652461596</v>
      </c>
      <c r="Q25">
        <f>(MAX(I:I)-I25)/(MAX(I:I)-MIN(I:I))</f>
        <v>0.79336740174913245</v>
      </c>
    </row>
    <row r="26" spans="1:17" x14ac:dyDescent="0.6">
      <c r="A26">
        <v>60</v>
      </c>
      <c r="B26" t="s">
        <v>6</v>
      </c>
      <c r="C26" t="s">
        <v>184</v>
      </c>
      <c r="D26">
        <v>7.4011120400000001</v>
      </c>
      <c r="E26">
        <v>0.291778708</v>
      </c>
      <c r="F26" s="13">
        <v>5.6897693980000001</v>
      </c>
      <c r="G26" s="13">
        <v>0.41433295599999997</v>
      </c>
      <c r="H26">
        <v>5.0358276369999997</v>
      </c>
      <c r="I26" s="13">
        <v>0.36658699099999997</v>
      </c>
      <c r="J26">
        <f>SUM(L26:Q26)</f>
        <v>4.9679010553843224</v>
      </c>
      <c r="K26">
        <f>0.5*SIN(RADIANS(60))*((L26*M26)+(M26*N26)+(N26*O26)+(O26*P26)+(P26*Q26)+(Q26*L26))</f>
        <v>1.7892628899273875</v>
      </c>
      <c r="L26">
        <f>(MAX(D:D)-D26)/(MAX(D:D)-MIN(D:D))</f>
        <v>0.87203022734593505</v>
      </c>
      <c r="M26">
        <f>(MAX(E:E)-E26)/(MAX(E:E)-MIN(E:E))</f>
        <v>0.92076959188355778</v>
      </c>
      <c r="N26">
        <f>(MAX(F:F)-F26)/(MAX(F:F)-MIN(F:F))</f>
        <v>0.90065792551620671</v>
      </c>
      <c r="O26">
        <f>(MAX(G:G)-G26)/(MAX(G:G)-MIN(G:G))</f>
        <v>0.92373282479237884</v>
      </c>
      <c r="P26">
        <f>(MAX(H:H)-H26)/(MAX(H:H)-MIN(H:H))</f>
        <v>0.66083355249831921</v>
      </c>
      <c r="Q26">
        <f>(MAX(I:I)-I26)/(MAX(I:I)-MIN(I:I))</f>
        <v>0.6898769333479251</v>
      </c>
    </row>
    <row r="27" spans="1:17" x14ac:dyDescent="0.6">
      <c r="A27">
        <v>60</v>
      </c>
      <c r="B27" t="s">
        <v>99</v>
      </c>
      <c r="C27" t="s">
        <v>7</v>
      </c>
      <c r="D27">
        <v>7.4350009999999997</v>
      </c>
      <c r="E27">
        <v>0.29480000000000001</v>
      </c>
      <c r="F27">
        <v>5.7304399999999998</v>
      </c>
      <c r="G27">
        <v>0.41740500000000003</v>
      </c>
      <c r="H27">
        <v>4.920471</v>
      </c>
      <c r="I27">
        <v>0.36538900000000002</v>
      </c>
      <c r="J27">
        <f>SUM(L27:Q27)</f>
        <v>4.9458951867460614</v>
      </c>
      <c r="K27">
        <f>0.5*SIN(RADIANS(60))*((L27*M27)+(M27*N27)+(N27*O27)+(O27*P27)+(P27*Q27)+(Q27*L27))</f>
        <v>1.7705207003253891</v>
      </c>
      <c r="L27">
        <f>(MAX(D:D)-D27)/(MAX(D:D)-MIN(D:D))</f>
        <v>0.84783981680988574</v>
      </c>
      <c r="M27">
        <f>(MAX(E:E)-E27)/(MAX(E:E)-MIN(E:E))</f>
        <v>0.90324947113456355</v>
      </c>
      <c r="N27">
        <f>(MAX(F:F)-F27)/(MAX(F:F)-MIN(F:F))</f>
        <v>0.87457736808115016</v>
      </c>
      <c r="O27">
        <f>(MAX(G:G)-G27)/(MAX(G:G)-MIN(G:G))</f>
        <v>0.90254254842395087</v>
      </c>
      <c r="P27">
        <f>(MAX(H:H)-H27)/(MAX(H:H)-MIN(H:H))</f>
        <v>0.72115970065261237</v>
      </c>
      <c r="Q27">
        <f>(MAX(I:I)-I27)/(MAX(I:I)-MIN(I:I))</f>
        <v>0.69652628164389918</v>
      </c>
    </row>
    <row r="28" spans="1:17" x14ac:dyDescent="0.6">
      <c r="A28">
        <v>60</v>
      </c>
      <c r="B28" t="s">
        <v>9</v>
      </c>
      <c r="C28" t="s">
        <v>171</v>
      </c>
      <c r="D28">
        <v>7.5462677969999996</v>
      </c>
      <c r="E28">
        <v>0.30261386400000001</v>
      </c>
      <c r="F28" s="13">
        <v>5.8844521260000002</v>
      </c>
      <c r="G28" s="13">
        <v>0.42830052499999999</v>
      </c>
      <c r="H28">
        <v>4.7680053710000001</v>
      </c>
      <c r="I28" s="13">
        <v>0.34497756899999998</v>
      </c>
      <c r="J28">
        <f>SUM(L28:Q28)</f>
        <v>4.8402668604519006</v>
      </c>
      <c r="K28">
        <f>0.5*SIN(RADIANS(60))*((L28*M28)+(M28*N28)+(N28*O28)+(O28*P28)+(P28*Q28)+(Q28*L28))</f>
        <v>1.6888606381853923</v>
      </c>
      <c r="L28">
        <f>(MAX(D:D)-D28)/(MAX(D:D)-MIN(D:D))</f>
        <v>0.7684160310560213</v>
      </c>
      <c r="M28">
        <f>(MAX(E:E)-E28)/(MAX(E:E)-MIN(E:E))</f>
        <v>0.85793778302357682</v>
      </c>
      <c r="N28">
        <f>(MAX(F:F)-F28)/(MAX(F:F)-MIN(F:F))</f>
        <v>0.77581507049238518</v>
      </c>
      <c r="O28">
        <f>(MAX(G:G)-G28)/(MAX(G:G)-MIN(G:G))</f>
        <v>0.82738763985847708</v>
      </c>
      <c r="P28">
        <f>(MAX(H:H)-H28)/(MAX(H:H)-MIN(H:H))</f>
        <v>0.80089212318753367</v>
      </c>
      <c r="Q28">
        <f>(MAX(I:I)-I28)/(MAX(I:I)-MIN(I:I))</f>
        <v>0.80981821283390598</v>
      </c>
    </row>
    <row r="29" spans="1:17" x14ac:dyDescent="0.6">
      <c r="A29">
        <v>60</v>
      </c>
      <c r="B29" t="s">
        <v>6</v>
      </c>
      <c r="C29" t="s">
        <v>7</v>
      </c>
      <c r="D29">
        <v>7.6476130290000004</v>
      </c>
      <c r="E29">
        <v>0.31321900499999999</v>
      </c>
      <c r="F29" s="13">
        <v>5.8081255829999998</v>
      </c>
      <c r="G29" s="13">
        <v>0.42361236699999999</v>
      </c>
      <c r="H29">
        <v>4.7575073239999996</v>
      </c>
      <c r="I29" s="13">
        <v>0.349641074</v>
      </c>
      <c r="J29">
        <f>SUM(L29:Q29)</f>
        <v>4.7673161133510993</v>
      </c>
      <c r="K29">
        <f>0.5*SIN(RADIANS(60))*((L29*M29)+(M29*N29)+(N29*O29)+(O29*P29)+(P29*Q29)+(Q29*L29))</f>
        <v>1.6417307589778776</v>
      </c>
      <c r="L29">
        <f>(MAX(D:D)-D29)/(MAX(D:D)-MIN(D:D))</f>
        <v>0.69607439625958001</v>
      </c>
      <c r="M29">
        <f>(MAX(E:E)-E29)/(MAX(E:E)-MIN(E:E))</f>
        <v>0.79643980438393869</v>
      </c>
      <c r="N29">
        <f>(MAX(F:F)-F29)/(MAX(F:F)-MIN(F:F))</f>
        <v>0.82476046816638182</v>
      </c>
      <c r="O29">
        <f>(MAX(G:G)-G29)/(MAX(G:G)-MIN(G:G))</f>
        <v>0.85972551121671781</v>
      </c>
      <c r="P29">
        <f>(MAX(H:H)-H29)/(MAX(H:H)-MIN(H:H))</f>
        <v>0.8063821127982117</v>
      </c>
      <c r="Q29">
        <f>(MAX(I:I)-I29)/(MAX(I:I)-MIN(I:I))</f>
        <v>0.78393382052626948</v>
      </c>
    </row>
    <row r="30" spans="1:17" x14ac:dyDescent="0.6">
      <c r="A30">
        <v>60</v>
      </c>
      <c r="B30" t="s">
        <v>9</v>
      </c>
      <c r="C30" t="s">
        <v>7</v>
      </c>
      <c r="D30">
        <v>7.4964709120000004</v>
      </c>
      <c r="E30">
        <v>0.29857578600000001</v>
      </c>
      <c r="F30">
        <v>5.8058312159999996</v>
      </c>
      <c r="G30">
        <v>0.42238218300000002</v>
      </c>
      <c r="H30">
        <v>5.0402832030000004</v>
      </c>
      <c r="I30">
        <v>0.36676610399999998</v>
      </c>
      <c r="J30">
        <f>SUM(L30:Q30)</f>
        <v>4.7271449556958203</v>
      </c>
      <c r="K30">
        <f>0.5*SIN(RADIANS(60))*((L30*M30)+(M30*N30)+(N30*O30)+(O30*P30)+(P30*Q30)+(Q30*L30))</f>
        <v>1.6165699774386701</v>
      </c>
      <c r="L30">
        <f>(MAX(D:D)-D30)/(MAX(D:D)-MIN(D:D))</f>
        <v>0.80396173949813432</v>
      </c>
      <c r="M30">
        <f>(MAX(E:E)-E30)/(MAX(E:E)-MIN(E:E))</f>
        <v>0.8813541274728578</v>
      </c>
      <c r="N30">
        <f>(MAX(F:F)-F30)/(MAX(F:F)-MIN(F:F))</f>
        <v>0.82623176112439123</v>
      </c>
      <c r="O30">
        <f>(MAX(G:G)-G30)/(MAX(G:G)-MIN(G:G))</f>
        <v>0.86821104688743644</v>
      </c>
      <c r="P30">
        <f>(MAX(H:H)-H30)/(MAX(H:H)-MIN(H:H))</f>
        <v>0.65850349900839922</v>
      </c>
      <c r="Q30">
        <f>(MAX(I:I)-I30)/(MAX(I:I)-MIN(I:I))</f>
        <v>0.68888278170460149</v>
      </c>
    </row>
    <row r="31" spans="1:17" x14ac:dyDescent="0.6">
      <c r="A31">
        <v>60</v>
      </c>
      <c r="B31" t="s">
        <v>6</v>
      </c>
      <c r="C31" t="s">
        <v>167</v>
      </c>
      <c r="D31">
        <v>7.7816613529999996</v>
      </c>
      <c r="E31">
        <v>0.32546652799999998</v>
      </c>
      <c r="F31" s="13">
        <v>5.9491840710000004</v>
      </c>
      <c r="G31" s="13">
        <v>0.43443104399999999</v>
      </c>
      <c r="H31">
        <v>4.474609375</v>
      </c>
      <c r="I31">
        <v>0.32742282499999997</v>
      </c>
      <c r="J31">
        <f>SUM(L31:Q31)</f>
        <v>4.7067911342643152</v>
      </c>
      <c r="K31">
        <f>0.5*SIN(RADIANS(60))*((L31*M31)+(M31*N31)+(N31*O31)+(O31*P31)+(P31*Q31)+(Q31*L31))</f>
        <v>1.6040848278539199</v>
      </c>
      <c r="L31">
        <f>(MAX(D:D)-D31)/(MAX(D:D)-MIN(D:D))</f>
        <v>0.60038883998315939</v>
      </c>
      <c r="M31">
        <f>(MAX(E:E)-E31)/(MAX(E:E)-MIN(E:E))</f>
        <v>0.72541784363466855</v>
      </c>
      <c r="N31">
        <f>(MAX(F:F)-F31)/(MAX(F:F)-MIN(F:F))</f>
        <v>0.73430486099375414</v>
      </c>
      <c r="O31">
        <f>(MAX(G:G)-G31)/(MAX(G:G)-MIN(G:G))</f>
        <v>0.78510068306622516</v>
      </c>
      <c r="P31">
        <f>(MAX(H:H)-H31)/(MAX(H:H)-MIN(H:H))</f>
        <v>0.95432456351233674</v>
      </c>
      <c r="Q31">
        <f>(MAX(I:I)-I31)/(MAX(I:I)-MIN(I:I))</f>
        <v>0.90725434307417085</v>
      </c>
    </row>
    <row r="32" spans="1:17" x14ac:dyDescent="0.6">
      <c r="A32">
        <v>60</v>
      </c>
      <c r="B32" t="s">
        <v>99</v>
      </c>
      <c r="C32" t="s">
        <v>184</v>
      </c>
      <c r="D32">
        <v>7.7454439849999996</v>
      </c>
      <c r="E32">
        <v>0.317733767</v>
      </c>
      <c r="F32">
        <v>6.0763272370000001</v>
      </c>
      <c r="G32">
        <v>0.44181479699999998</v>
      </c>
      <c r="H32">
        <v>4.8731079099999999</v>
      </c>
      <c r="I32">
        <v>0.35573152899999999</v>
      </c>
      <c r="J32">
        <f>SUM(L32:Q32)</f>
        <v>4.2795000118721935</v>
      </c>
      <c r="K32">
        <f>0.5*SIN(RADIANS(60))*((L32*M32)+(M32*N32)+(N32*O32)+(O32*P32)+(P32*Q32)+(Q32*L32))</f>
        <v>1.3169475681540381</v>
      </c>
      <c r="L32">
        <f>(MAX(D:D)-D32)/(MAX(D:D)-MIN(D:D))</f>
        <v>0.62624130050290339</v>
      </c>
      <c r="M32">
        <f>(MAX(E:E)-E32)/(MAX(E:E)-MIN(E:E))</f>
        <v>0.77025922488583964</v>
      </c>
      <c r="N32">
        <f>(MAX(F:F)-F32)/(MAX(F:F)-MIN(F:F))</f>
        <v>0.65277263672675268</v>
      </c>
      <c r="O32">
        <f>(MAX(G:G)-G32)/(MAX(G:G)-MIN(G:G))</f>
        <v>0.73416919682898152</v>
      </c>
      <c r="P32">
        <f>(MAX(H:H)-H32)/(MAX(H:H)-MIN(H:H))</f>
        <v>0.74592839067939554</v>
      </c>
      <c r="Q32">
        <f>(MAX(I:I)-I32)/(MAX(I:I)-MIN(I:I))</f>
        <v>0.75012926224832066</v>
      </c>
    </row>
    <row r="33" spans="1:17" x14ac:dyDescent="0.6">
      <c r="A33">
        <v>60</v>
      </c>
      <c r="B33" s="31" t="s">
        <v>9</v>
      </c>
      <c r="C33" s="31" t="s">
        <v>181</v>
      </c>
      <c r="D33" s="31">
        <v>7.9026667240000004</v>
      </c>
      <c r="E33">
        <v>0.33001757199999998</v>
      </c>
      <c r="F33" s="31">
        <v>6.269101923</v>
      </c>
      <c r="G33" s="31">
        <v>0.45541081700000002</v>
      </c>
      <c r="H33" s="31">
        <v>4.9424438479999999</v>
      </c>
      <c r="I33" s="31">
        <v>0.35711145100000002</v>
      </c>
      <c r="J33">
        <f>SUM(L33:Q33)</f>
        <v>3.8347196526088507</v>
      </c>
      <c r="K33">
        <f>0.5*SIN(RADIANS(60))*((L33*M33)+(M33*N33)+(N33*O33)+(O33*P33)+(P33*Q33)+(Q33*L33))</f>
        <v>1.0526862849523</v>
      </c>
      <c r="L33">
        <f>(MAX(D:D)-D33)/(MAX(D:D)-MIN(D:D))</f>
        <v>0.51401352479033546</v>
      </c>
      <c r="M33">
        <f>(MAX(E:E)-E33)/(MAX(E:E)-MIN(E:E))</f>
        <v>0.6990268690403606</v>
      </c>
      <c r="N33">
        <f>(MAX(F:F)-F33)/(MAX(F:F)-MIN(F:F))</f>
        <v>0.52915333868321646</v>
      </c>
      <c r="O33">
        <f>(MAX(G:G)-G33)/(MAX(G:G)-MIN(G:G))</f>
        <v>0.64038687427413821</v>
      </c>
      <c r="P33">
        <f>(MAX(H:H)-H33)/(MAX(H:H)-MIN(H:H))</f>
        <v>0.70966892458378716</v>
      </c>
      <c r="Q33">
        <f>(MAX(I:I)-I33)/(MAX(I:I)-MIN(I:I))</f>
        <v>0.74247012123701284</v>
      </c>
    </row>
    <row r="34" spans="1:17" x14ac:dyDescent="0.6">
      <c r="A34">
        <v>60</v>
      </c>
      <c r="B34" s="31" t="s">
        <v>571</v>
      </c>
      <c r="C34" s="31" t="s">
        <v>171</v>
      </c>
      <c r="D34" s="31">
        <v>8.3733628670000009</v>
      </c>
      <c r="E34">
        <v>0.42406739100000002</v>
      </c>
      <c r="F34" s="31">
        <v>6.8153431649999998</v>
      </c>
      <c r="G34" s="31">
        <v>0.52688132200000004</v>
      </c>
      <c r="H34" s="31">
        <v>5.7342834470000001</v>
      </c>
      <c r="I34" s="31">
        <v>0.44148436299999999</v>
      </c>
      <c r="J34">
        <f>SUM(L34:Q34)</f>
        <v>1.2276742502542843</v>
      </c>
      <c r="K34">
        <f>0.5*SIN(RADIANS(60))*((L34*M34)+(M34*N34)+(N34*O34)+(O34*P34)+(P34*Q34)+(Q34*L34))</f>
        <v>0.11024965707053487</v>
      </c>
      <c r="L34">
        <f>(MAX(D:D)-D34)/(MAX(D:D)-MIN(D:D))</f>
        <v>0.17802407758082828</v>
      </c>
      <c r="M34">
        <f>(MAX(E:E)-E34)/(MAX(E:E)-MIN(E:E))</f>
        <v>0.15364291234201627</v>
      </c>
      <c r="N34">
        <f>(MAX(F:F)-F34)/(MAX(F:F)-MIN(F:F))</f>
        <v>0.17886897147916653</v>
      </c>
      <c r="O34">
        <f>(MAX(G:G)-G34)/(MAX(G:G)-MIN(G:G))</f>
        <v>0.14739922398622157</v>
      </c>
      <c r="P34">
        <f>(MAX(H:H)-H34)/(MAX(H:H)-MIN(H:H))</f>
        <v>0.29557369603000849</v>
      </c>
      <c r="Q34">
        <f>(MAX(I:I)-I34)/(MAX(I:I)-MIN(I:I))</f>
        <v>0.2741653688360432</v>
      </c>
    </row>
    <row r="35" spans="1:17" x14ac:dyDescent="0.6">
      <c r="A35">
        <v>60</v>
      </c>
      <c r="B35" s="31" t="s">
        <v>572</v>
      </c>
      <c r="C35" s="31" t="s">
        <v>167</v>
      </c>
      <c r="D35" s="31">
        <v>8.4891391330000001</v>
      </c>
      <c r="E35">
        <v>0.43847721699999997</v>
      </c>
      <c r="F35" s="31">
        <v>6.907061927</v>
      </c>
      <c r="G35" s="31">
        <v>0.53404495500000004</v>
      </c>
      <c r="H35" s="31">
        <v>5.7722415629999997</v>
      </c>
      <c r="I35" s="31">
        <v>0.449853699</v>
      </c>
      <c r="J35">
        <f>SUM(L35:Q35)</f>
        <v>0.88693800873410344</v>
      </c>
      <c r="K35">
        <f>0.5*SIN(RADIANS(60))*((L35*M35)+(M35*N35)+(N35*O35)+(O35*P35)+(P35*Q35)+(Q35*L35))</f>
        <v>5.9921897771674511E-2</v>
      </c>
      <c r="L35">
        <f>(MAX(D:D)-D35)/(MAX(D:D)-MIN(D:D))</f>
        <v>9.5381370195566001E-2</v>
      </c>
      <c r="M35">
        <f>(MAX(E:E)-E35)/(MAX(E:E)-MIN(E:E))</f>
        <v>7.0082008102374388E-2</v>
      </c>
      <c r="N35">
        <f>(MAX(F:F)-F35)/(MAX(F:F)-MIN(F:F))</f>
        <v>0.12005311131035684</v>
      </c>
      <c r="O35">
        <f>(MAX(G:G)-G35)/(MAX(G:G)-MIN(G:G))</f>
        <v>9.7986076559951396E-2</v>
      </c>
      <c r="P35">
        <f>(MAX(H:H)-H35)/(MAX(H:H)-MIN(H:H))</f>
        <v>0.27572336934725489</v>
      </c>
      <c r="Q35">
        <f>(MAX(I:I)-I35)/(MAX(I:I)-MIN(I:I))</f>
        <v>0.22771207321859996</v>
      </c>
    </row>
    <row r="36" spans="1:17" x14ac:dyDescent="0.6">
      <c r="A36">
        <v>60</v>
      </c>
      <c r="B36" t="s">
        <v>569</v>
      </c>
      <c r="D36">
        <v>8.6211544730000007</v>
      </c>
      <c r="E36">
        <v>0.44398070099999998</v>
      </c>
      <c r="F36" s="13">
        <v>6.9252069399999998</v>
      </c>
      <c r="G36" s="13">
        <v>0.52845462600000004</v>
      </c>
      <c r="H36">
        <v>5.8337707520000004</v>
      </c>
      <c r="I36" s="13">
        <v>0.44207933500000002</v>
      </c>
      <c r="J36">
        <f>SUM(L36:Q36)</f>
        <v>0.79868873345158042</v>
      </c>
      <c r="K36">
        <f>0.5*SIN(RADIANS(60))*((L36*M36)+(M36*N36)+(N36*O36)+(O36*P36)+(P36*Q36)+(Q36*L36))</f>
        <v>5.1320595225322015E-2</v>
      </c>
      <c r="L36">
        <f>(MAX(D:D)-D36)/(MAX(D:D)-MIN(D:D))</f>
        <v>1.1469861467141339E-3</v>
      </c>
      <c r="M36">
        <f>(MAX(E:E)-E36)/(MAX(E:E)-MIN(E:E))</f>
        <v>3.8167944774447828E-2</v>
      </c>
      <c r="N36">
        <f>(MAX(F:F)-F36)/(MAX(F:F)-MIN(F:F))</f>
        <v>0.10841738352579275</v>
      </c>
      <c r="O36">
        <f>(MAX(G:G)-G36)/(MAX(G:G)-MIN(G:G))</f>
        <v>0.13654692285656564</v>
      </c>
      <c r="P36">
        <f>(MAX(H:H)-H36)/(MAX(H:H)-MIN(H:H))</f>
        <v>0.24354646936162541</v>
      </c>
      <c r="Q36">
        <f>(MAX(I:I)-I36)/(MAX(I:I)-MIN(I:I))</f>
        <v>0.27086302678643465</v>
      </c>
    </row>
    <row r="37" spans="1:17" x14ac:dyDescent="0.6">
      <c r="A37">
        <v>60</v>
      </c>
      <c r="B37" s="31" t="s">
        <v>572</v>
      </c>
      <c r="C37" s="31" t="s">
        <v>174</v>
      </c>
      <c r="D37" s="31">
        <v>8.4760792719999998</v>
      </c>
      <c r="E37">
        <v>0.43623954700000001</v>
      </c>
      <c r="F37" s="31">
        <v>6.946278146</v>
      </c>
      <c r="G37" s="31">
        <v>0.53697066400000004</v>
      </c>
      <c r="H37" s="31">
        <v>5.9590922219999998</v>
      </c>
      <c r="I37" s="31">
        <v>0.45954905600000001</v>
      </c>
      <c r="J37">
        <f>SUM(L37:Q37)</f>
        <v>0.71238004628767271</v>
      </c>
      <c r="K37">
        <f>0.5*SIN(RADIANS(60))*((L37*M37)+(M37*N37)+(N37*O37)+(O37*P37)+(P37*Q37)+(Q37*L37))</f>
        <v>3.766201435124894E-2</v>
      </c>
      <c r="L37">
        <f>(MAX(D:D)-D37)/(MAX(D:D)-MIN(D:D))</f>
        <v>0.10470368044450108</v>
      </c>
      <c r="M37">
        <f>(MAX(E:E)-E37)/(MAX(E:E)-MIN(E:E))</f>
        <v>8.3057996056005293E-2</v>
      </c>
      <c r="N37">
        <f>(MAX(F:F)-F37)/(MAX(F:F)-MIN(F:F))</f>
        <v>9.4905196066435257E-2</v>
      </c>
      <c r="O37">
        <f>(MAX(G:G)-G37)/(MAX(G:G)-MIN(G:G))</f>
        <v>7.7805186480383468E-2</v>
      </c>
      <c r="P37">
        <f>(MAX(H:H)-H37)/(MAX(H:H)-MIN(H:H))</f>
        <v>0.17800917768300448</v>
      </c>
      <c r="Q37">
        <f>(MAX(I:I)-I37)/(MAX(I:I)-MIN(I:I))</f>
        <v>0.17389880955734319</v>
      </c>
    </row>
    <row r="38" spans="1:17" x14ac:dyDescent="0.6">
      <c r="A38">
        <v>60</v>
      </c>
      <c r="B38" s="31" t="s">
        <v>572</v>
      </c>
      <c r="C38" s="31" t="s">
        <v>177</v>
      </c>
      <c r="D38" s="31">
        <v>8.4765213129999992</v>
      </c>
      <c r="E38">
        <v>0.43711011399999999</v>
      </c>
      <c r="F38" s="31">
        <v>6.9670593030000001</v>
      </c>
      <c r="G38" s="31">
        <v>0.53858790700000003</v>
      </c>
      <c r="H38" s="31">
        <v>5.9330102790000003</v>
      </c>
      <c r="I38" s="31">
        <v>0.45893439400000002</v>
      </c>
      <c r="J38">
        <f>SUM(L38:Q38)</f>
        <v>0.69958589333717391</v>
      </c>
      <c r="K38">
        <f>0.5*SIN(RADIANS(60))*((L38*M38)+(M38*N38)+(N38*O38)+(O38*P38)+(P38*Q38)+(Q38*L38))</f>
        <v>3.6896260218214225E-2</v>
      </c>
      <c r="L38">
        <f>(MAX(D:D)-D38)/(MAX(D:D)-MIN(D:D))</f>
        <v>0.10438814543652938</v>
      </c>
      <c r="M38">
        <f>(MAX(E:E)-E38)/(MAX(E:E)-MIN(E:E))</f>
        <v>7.8009679322604664E-2</v>
      </c>
      <c r="N38">
        <f>(MAX(F:F)-F38)/(MAX(F:F)-MIN(F:F))</f>
        <v>8.1579006335940618E-2</v>
      </c>
      <c r="O38">
        <f>(MAX(G:G)-G38)/(MAX(G:G)-MIN(G:G))</f>
        <v>6.6649803899631085E-2</v>
      </c>
      <c r="P38">
        <f>(MAX(H:H)-H38)/(MAX(H:H)-MIN(H:H))</f>
        <v>0.19164881904642081</v>
      </c>
      <c r="Q38">
        <f>(MAX(I:I)-I38)/(MAX(I:I)-MIN(I:I))</f>
        <v>0.17731043929604745</v>
      </c>
    </row>
    <row r="39" spans="1:17" x14ac:dyDescent="0.6">
      <c r="A39">
        <v>60</v>
      </c>
      <c r="B39" s="31" t="s">
        <v>571</v>
      </c>
      <c r="C39" s="31" t="s">
        <v>7</v>
      </c>
      <c r="D39" s="31">
        <v>8.5044983110000008</v>
      </c>
      <c r="E39">
        <v>0.43721995200000002</v>
      </c>
      <c r="F39" s="31">
        <v>7.050907177</v>
      </c>
      <c r="G39" s="31">
        <v>0.54488486599999997</v>
      </c>
      <c r="H39" s="31">
        <v>5.8164520260000003</v>
      </c>
      <c r="I39" s="31">
        <v>0.45347783400000002</v>
      </c>
      <c r="J39">
        <f>SUM(L39:Q39)</f>
        <v>0.6730157275727725</v>
      </c>
      <c r="K39">
        <f>0.5*SIN(RADIANS(60))*((L39*M39)+(M39*N39)+(N39*O39)+(O39*P39)+(P39*Q39)+(Q39*L39))</f>
        <v>3.6874321586645165E-2</v>
      </c>
      <c r="L39">
        <f>(MAX(D:D)-D39)/(MAX(D:D)-MIN(D:D))</f>
        <v>8.4417775522956512E-2</v>
      </c>
      <c r="M39">
        <f>(MAX(E:E)-E39)/(MAX(E:E)-MIN(E:E))</f>
        <v>7.7372741541407566E-2</v>
      </c>
      <c r="N39">
        <f>(MAX(F:F)-F39)/(MAX(F:F)-MIN(F:F))</f>
        <v>2.7810456422064114E-2</v>
      </c>
      <c r="O39">
        <f>(MAX(G:G)-G39)/(MAX(G:G)-MIN(G:G))</f>
        <v>2.3214780999354714E-2</v>
      </c>
      <c r="P39">
        <f>(MAX(H:H)-H39)/(MAX(H:H)-MIN(H:H))</f>
        <v>0.25260335640072673</v>
      </c>
      <c r="Q39">
        <f>(MAX(I:I)-I39)/(MAX(I:I)-MIN(I:I))</f>
        <v>0.20759661668626286</v>
      </c>
    </row>
    <row r="40" spans="1:17" x14ac:dyDescent="0.6">
      <c r="A40">
        <v>60</v>
      </c>
      <c r="B40" s="31" t="s">
        <v>571</v>
      </c>
      <c r="C40" s="31" t="s">
        <v>8</v>
      </c>
      <c r="D40" s="31">
        <v>8.4910679990000002</v>
      </c>
      <c r="E40">
        <v>0.43617525400000001</v>
      </c>
      <c r="F40" s="31">
        <v>7.0045661509999997</v>
      </c>
      <c r="G40" s="31">
        <v>0.54139347199999999</v>
      </c>
      <c r="H40" s="31">
        <v>5.8939666749999997</v>
      </c>
      <c r="I40" s="31">
        <v>0.455862508</v>
      </c>
      <c r="J40">
        <f>SUM(L40:Q40)</f>
        <v>0.68868772021703017</v>
      </c>
      <c r="K40">
        <f>0.5*SIN(RADIANS(60))*((L40*M40)+(M40*N40)+(N40*O40)+(O40*P40)+(P40*Q40)+(Q40*L40))</f>
        <v>3.6754903910902643E-2</v>
      </c>
      <c r="L40">
        <f>(MAX(D:D)-D40)/(MAX(D:D)-MIN(D:D))</f>
        <v>9.4004518843118778E-2</v>
      </c>
      <c r="M40">
        <f>(MAX(E:E)-E40)/(MAX(E:E)-MIN(E:E))</f>
        <v>8.343082368184053E-2</v>
      </c>
      <c r="N40">
        <f>(MAX(F:F)-F40)/(MAX(F:F)-MIN(F:F))</f>
        <v>5.7527247685504726E-2</v>
      </c>
      <c r="O40">
        <f>(MAX(G:G)-G40)/(MAX(G:G)-MIN(G:G))</f>
        <v>4.7297640415127983E-2</v>
      </c>
      <c r="P40">
        <f>(MAX(H:H)-H40)/(MAX(H:H)-MIN(H:H))</f>
        <v>0.21206680539411227</v>
      </c>
      <c r="Q40">
        <f>(MAX(I:I)-I40)/(MAX(I:I)-MIN(I:I))</f>
        <v>0.19436068419732591</v>
      </c>
    </row>
    <row r="41" spans="1:17" x14ac:dyDescent="0.6">
      <c r="A41">
        <v>60</v>
      </c>
      <c r="B41" s="31" t="s">
        <v>571</v>
      </c>
      <c r="C41" s="31" t="s">
        <v>184</v>
      </c>
      <c r="D41" s="31">
        <v>8.5278545220000002</v>
      </c>
      <c r="E41">
        <v>0.44053020100000001</v>
      </c>
      <c r="F41" s="31">
        <v>6.991601127</v>
      </c>
      <c r="G41" s="31">
        <v>0.54052593999999998</v>
      </c>
      <c r="H41" s="31">
        <v>5.8873291019999998</v>
      </c>
      <c r="I41" s="31">
        <v>0.45386954899999998</v>
      </c>
      <c r="J41">
        <f>SUM(L41:Q41)</f>
        <v>0.66600608554108687</v>
      </c>
      <c r="K41">
        <f>0.5*SIN(RADIANS(60))*((L41*M41)+(M41*N41)+(N41*O41)+(O41*P41)+(P41*Q41)+(Q41*L41))</f>
        <v>3.5055358589568576E-2</v>
      </c>
      <c r="L41">
        <f>(MAX(D:D)-D41)/(MAX(D:D)-MIN(D:D))</f>
        <v>6.7745787575950109E-2</v>
      </c>
      <c r="M41">
        <f>(MAX(E:E)-E41)/(MAX(E:E)-MIN(E:E))</f>
        <v>5.817699277259037E-2</v>
      </c>
      <c r="N41">
        <f>(MAX(F:F)-F41)/(MAX(F:F)-MIN(F:F))</f>
        <v>6.5841239523611303E-2</v>
      </c>
      <c r="O41">
        <f>(MAX(G:G)-G41)/(MAX(G:G)-MIN(G:G))</f>
        <v>5.3281683234324223E-2</v>
      </c>
      <c r="P41">
        <f>(MAX(H:H)-H41)/(MAX(H:H)-MIN(H:H))</f>
        <v>0.21553794691311243</v>
      </c>
      <c r="Q41">
        <f>(MAX(I:I)-I41)/(MAX(I:I)-MIN(I:I))</f>
        <v>0.20542243552149844</v>
      </c>
    </row>
    <row r="42" spans="1:17" x14ac:dyDescent="0.6">
      <c r="A42">
        <v>60</v>
      </c>
      <c r="B42" s="31" t="s">
        <v>572</v>
      </c>
      <c r="C42" s="31" t="s">
        <v>171</v>
      </c>
      <c r="D42" s="31">
        <v>8.4815684119999997</v>
      </c>
      <c r="E42">
        <v>0.43630181800000001</v>
      </c>
      <c r="F42" s="31">
        <v>6.9511124080000002</v>
      </c>
      <c r="G42" s="31">
        <v>0.53735257199999997</v>
      </c>
      <c r="H42" s="31">
        <v>6.0092837399999999</v>
      </c>
      <c r="I42" s="31">
        <v>0.46238890700000002</v>
      </c>
      <c r="J42">
        <f>SUM(L42:Q42)</f>
        <v>0.66035618889616732</v>
      </c>
      <c r="K42">
        <f>0.5*SIN(RADIANS(60))*((L42*M42)+(M42*N42)+(N42*O42)+(O42*P42)+(P42*Q42)+(Q42*L42))</f>
        <v>3.2117682092403191E-2</v>
      </c>
      <c r="L42">
        <f>(MAX(D:D)-D42)/(MAX(D:D)-MIN(D:D))</f>
        <v>0.10078545604074692</v>
      </c>
      <c r="M42">
        <f>(MAX(E:E)-E42)/(MAX(E:E)-MIN(E:E))</f>
        <v>8.2696893772889107E-2</v>
      </c>
      <c r="N42">
        <f>(MAX(F:F)-F42)/(MAX(F:F)-MIN(F:F))</f>
        <v>9.1805162097252396E-2</v>
      </c>
      <c r="O42">
        <f>(MAX(G:G)-G42)/(MAX(G:G)-MIN(G:G))</f>
        <v>7.5170870022900432E-2</v>
      </c>
      <c r="P42">
        <f>(MAX(H:H)-H42)/(MAX(H:H)-MIN(H:H))</f>
        <v>0.15176135155266324</v>
      </c>
      <c r="Q42">
        <f>(MAX(I:I)-I42)/(MAX(I:I)-MIN(I:I))</f>
        <v>0.15813645540971522</v>
      </c>
    </row>
    <row r="43" spans="1:17" x14ac:dyDescent="0.6">
      <c r="A43">
        <v>60</v>
      </c>
      <c r="B43" s="31" t="s">
        <v>572</v>
      </c>
      <c r="C43" s="31" t="s">
        <v>7</v>
      </c>
      <c r="D43" s="31">
        <v>8.5214545289999997</v>
      </c>
      <c r="E43">
        <v>0.44156213100000002</v>
      </c>
      <c r="F43" s="31">
        <v>6.9810933259999999</v>
      </c>
      <c r="G43" s="31">
        <v>0.53967759000000004</v>
      </c>
      <c r="H43" s="31">
        <v>5.9853119350000004</v>
      </c>
      <c r="I43" s="31">
        <v>0.46360902700000001</v>
      </c>
      <c r="J43">
        <f>SUM(L43:Q43)</f>
        <v>0.57188183101162193</v>
      </c>
      <c r="K43">
        <f>0.5*SIN(RADIANS(60))*((L43*M43)+(M43*N43)+(N43*O43)+(O43*P43)+(P43*Q43)+(Q43*L43))</f>
        <v>2.4848144546694151E-2</v>
      </c>
      <c r="L43">
        <f>(MAX(D:D)-D43)/(MAX(D:D)-MIN(D:D))</f>
        <v>7.2314191507432665E-2</v>
      </c>
      <c r="M43">
        <f>(MAX(E:E)-E43)/(MAX(E:E)-MIN(E:E))</f>
        <v>5.2192950778466703E-2</v>
      </c>
      <c r="N43">
        <f>(MAX(F:F)-F43)/(MAX(F:F)-MIN(F:F))</f>
        <v>7.2579504855819849E-2</v>
      </c>
      <c r="O43">
        <f>(MAX(G:G)-G43)/(MAX(G:G)-MIN(G:G))</f>
        <v>5.9133412883103476E-2</v>
      </c>
      <c r="P43">
        <f>(MAX(H:H)-H43)/(MAX(H:H)-MIN(H:H))</f>
        <v>0.16429748902653743</v>
      </c>
      <c r="Q43">
        <f>(MAX(I:I)-I43)/(MAX(I:I)-MIN(I:I))</f>
        <v>0.15136428196026183</v>
      </c>
    </row>
    <row r="44" spans="1:17" x14ac:dyDescent="0.6">
      <c r="A44">
        <v>60</v>
      </c>
      <c r="B44" s="31" t="s">
        <v>571</v>
      </c>
      <c r="C44" s="31" t="s">
        <v>181</v>
      </c>
      <c r="D44" s="31">
        <v>8.5354316590000003</v>
      </c>
      <c r="E44">
        <v>0.43982762199999997</v>
      </c>
      <c r="F44" s="31">
        <v>7.0328606410000001</v>
      </c>
      <c r="G44" s="31">
        <v>0.54343428000000005</v>
      </c>
      <c r="H44" s="31">
        <v>6.0405578609999999</v>
      </c>
      <c r="I44" s="31">
        <v>0.46286930500000001</v>
      </c>
      <c r="J44">
        <f>SUM(L44:Q44)</f>
        <v>0.48806841337821416</v>
      </c>
      <c r="K44">
        <f>0.5*SIN(RADIANS(60))*((L44*M44)+(M44*N44)+(N44*O44)+(O44*P44)+(P44*Q44)+(Q44*L44))</f>
        <v>1.8568455489163718E-2</v>
      </c>
      <c r="L44">
        <f>(MAX(D:D)-D44)/(MAX(D:D)-MIN(D:D))</f>
        <v>6.2337121900818873E-2</v>
      </c>
      <c r="M44">
        <f>(MAX(E:E)-E44)/(MAX(E:E)-MIN(E:E))</f>
        <v>6.2251166641156624E-2</v>
      </c>
      <c r="N44">
        <f>(MAX(F:F)-F44)/(MAX(F:F)-MIN(F:F))</f>
        <v>3.9383034537623339E-2</v>
      </c>
      <c r="O44">
        <f>(MAX(G:G)-G44)/(MAX(G:G)-MIN(G:G))</f>
        <v>3.3220600654336983E-2</v>
      </c>
      <c r="P44">
        <f>(MAX(H:H)-H44)/(MAX(H:H)-MIN(H:H))</f>
        <v>0.13540644293269974</v>
      </c>
      <c r="Q44">
        <f>(MAX(I:I)-I44)/(MAX(I:I)-MIN(I:I))</f>
        <v>0.15547004671157857</v>
      </c>
    </row>
    <row r="45" spans="1:17" x14ac:dyDescent="0.6">
      <c r="A45">
        <v>60</v>
      </c>
      <c r="B45" s="31" t="s">
        <v>572</v>
      </c>
      <c r="C45" s="31" t="s">
        <v>8</v>
      </c>
      <c r="D45" s="31">
        <v>8.5712513619999999</v>
      </c>
      <c r="E45">
        <v>0.44562223899999998</v>
      </c>
      <c r="F45" s="31">
        <v>7.0642358820000002</v>
      </c>
      <c r="G45" s="31">
        <v>0.54595722099999999</v>
      </c>
      <c r="H45" s="31">
        <v>5.990755568</v>
      </c>
      <c r="I45" s="31">
        <v>0.46308892499999998</v>
      </c>
      <c r="J45">
        <f>SUM(L45:Q45)</f>
        <v>0.41620032803668572</v>
      </c>
      <c r="K45">
        <f>0.5*SIN(RADIANS(60))*((L45*M45)+(M45*N45)+(N45*O45)+(O45*P45)+(P45*Q45)+(Q45*L45))</f>
        <v>1.5172459151733039E-2</v>
      </c>
      <c r="L45">
        <f>(MAX(D:D)-D45)/(MAX(D:D)-MIN(D:D))</f>
        <v>3.6768520183641483E-2</v>
      </c>
      <c r="M45">
        <f>(MAX(E:E)-E45)/(MAX(E:E)-MIN(E:E))</f>
        <v>2.864885692260746E-2</v>
      </c>
      <c r="N45">
        <f>(MAX(F:F)-F45)/(MAX(F:F)-MIN(F:F))</f>
        <v>1.9263249368491775E-2</v>
      </c>
      <c r="O45">
        <f>(MAX(G:G)-G45)/(MAX(G:G)-MIN(G:G))</f>
        <v>1.5817914673525463E-2</v>
      </c>
      <c r="P45">
        <f>(MAX(H:H)-H45)/(MAX(H:H)-MIN(H:H))</f>
        <v>0.16145072251707704</v>
      </c>
      <c r="Q45">
        <f>(MAX(I:I)-I45)/(MAX(I:I)-MIN(I:I))</f>
        <v>0.15425106437134253</v>
      </c>
    </row>
    <row r="46" spans="1:17" x14ac:dyDescent="0.6">
      <c r="A46">
        <v>60</v>
      </c>
      <c r="B46" s="31" t="s">
        <v>572</v>
      </c>
      <c r="C46" t="s">
        <v>184</v>
      </c>
      <c r="D46" s="31">
        <v>8.622761315</v>
      </c>
      <c r="E46">
        <v>0.45056264800000001</v>
      </c>
      <c r="F46" s="31">
        <v>7.0936165219999996</v>
      </c>
      <c r="G46" s="31">
        <v>0.54825041100000005</v>
      </c>
      <c r="H46" s="31">
        <v>5.9562742929999999</v>
      </c>
      <c r="I46" s="31">
        <v>0.46159380900000002</v>
      </c>
      <c r="J46">
        <f>SUM(L46:Q46)</f>
        <v>0.34245493156525525</v>
      </c>
      <c r="K46">
        <f>0.5*SIN(RADIANS(60))*((L46*M46)+(M46*N46)+(N46*O46)+(O46*P46)+(P46*Q46)+(Q46*L46))</f>
        <v>1.2633083891997092E-2</v>
      </c>
      <c r="L46">
        <f>(MAX(D:D)-D46)/(MAX(D:D)-MIN(D:D))</f>
        <v>0</v>
      </c>
      <c r="M46">
        <f>(MAX(E:E)-E46)/(MAX(E:E)-MIN(E:E))</f>
        <v>0</v>
      </c>
      <c r="N46">
        <f>(MAX(F:F)-F46)/(MAX(F:F)-MIN(F:F))</f>
        <v>4.2252827469748517E-4</v>
      </c>
      <c r="O46">
        <f>(MAX(G:G)-G46)/(MAX(G:G)-MIN(G:G))</f>
        <v>0</v>
      </c>
      <c r="P46">
        <f>(MAX(H:H)-H46)/(MAX(H:H)-MIN(H:H))</f>
        <v>0.17948282329857729</v>
      </c>
      <c r="Q46">
        <f>(MAX(I:I)-I46)/(MAX(I:I)-MIN(I:I))</f>
        <v>0.16254957999198047</v>
      </c>
    </row>
    <row r="47" spans="1:17" x14ac:dyDescent="0.6">
      <c r="A47">
        <v>60</v>
      </c>
      <c r="B47" s="31" t="s">
        <v>571</v>
      </c>
      <c r="C47" s="31" t="s">
        <v>174</v>
      </c>
      <c r="D47" s="31">
        <v>8.5367527410000008</v>
      </c>
      <c r="E47">
        <v>0.44259576499999997</v>
      </c>
      <c r="F47" s="31">
        <v>7.0295701920000004</v>
      </c>
      <c r="G47" s="31">
        <v>0.543422721</v>
      </c>
      <c r="H47" s="31">
        <v>6.1252746580000004</v>
      </c>
      <c r="I47" s="31">
        <v>0.47489904100000002</v>
      </c>
      <c r="J47">
        <f>SUM(L47:Q47)</f>
        <v>0.36219006562704481</v>
      </c>
      <c r="K47">
        <f>0.5*SIN(RADIANS(60))*((L47*M47)+(M47*N47)+(N47*O47)+(O47*P47)+(P47*Q47)+(Q47*L47))</f>
        <v>9.8273699064384563E-3</v>
      </c>
      <c r="L47">
        <f>(MAX(D:D)-D47)/(MAX(D:D)-MIN(D:D))</f>
        <v>6.1394115212747097E-2</v>
      </c>
      <c r="M47">
        <f>(MAX(E:E)-E47)/(MAX(E:E)-MIN(E:E))</f>
        <v>4.6199027486621677E-2</v>
      </c>
      <c r="N47">
        <f>(MAX(F:F)-F47)/(MAX(F:F)-MIN(F:F))</f>
        <v>4.1493078154179984E-2</v>
      </c>
      <c r="O47">
        <f>(MAX(G:G)-G47)/(MAX(G:G)-MIN(G:G))</f>
        <v>3.3300332065913027E-2</v>
      </c>
      <c r="P47">
        <f>(MAX(H:H)-H47)/(MAX(H:H)-MIN(H:H))</f>
        <v>9.110350397844412E-2</v>
      </c>
      <c r="Q47">
        <f>(MAX(I:I)-I47)/(MAX(I:I)-MIN(I:I))</f>
        <v>8.8700008729138913E-2</v>
      </c>
    </row>
    <row r="48" spans="1:17" x14ac:dyDescent="0.6">
      <c r="A48">
        <v>60</v>
      </c>
      <c r="B48" s="31" t="s">
        <v>572</v>
      </c>
      <c r="C48" s="31" t="s">
        <v>181</v>
      </c>
      <c r="D48" s="31">
        <v>8.5793349140000004</v>
      </c>
      <c r="E48">
        <v>0.44821035999999997</v>
      </c>
      <c r="F48" s="31">
        <v>7.022806213</v>
      </c>
      <c r="G48" s="31">
        <v>0.54292686599999995</v>
      </c>
      <c r="H48" s="31">
        <v>6.085442756</v>
      </c>
      <c r="I48" s="31">
        <v>0.47104501300000001</v>
      </c>
      <c r="J48">
        <f>SUM(L48:Q48)</f>
        <v>0.34921541140357171</v>
      </c>
      <c r="K48">
        <f>0.5*SIN(RADIANS(60))*((L48*M48)+(M48*N48)+(N48*O48)+(O48*P48)+(P48*Q48)+(Q48*L48))</f>
        <v>9.7760435437704175E-3</v>
      </c>
      <c r="L48">
        <f>(MAX(D:D)-D48)/(MAX(D:D)-MIN(D:D))</f>
        <v>3.0998368444859439E-2</v>
      </c>
      <c r="M48">
        <f>(MAX(E:E)-E48)/(MAX(E:E)-MIN(E:E))</f>
        <v>1.3640644398625095E-2</v>
      </c>
      <c r="N48">
        <f>(MAX(F:F)-F48)/(MAX(F:F)-MIN(F:F))</f>
        <v>4.5830568481936396E-2</v>
      </c>
      <c r="O48">
        <f>(MAX(G:G)-G48)/(MAX(G:G)-MIN(G:G))</f>
        <v>3.6720629590514774E-2</v>
      </c>
      <c r="P48">
        <f>(MAX(H:H)-H48)/(MAX(H:H)-MIN(H:H))</f>
        <v>0.11193373346337025</v>
      </c>
      <c r="Q48">
        <f>(MAX(I:I)-I48)/(MAX(I:I)-MIN(I:I))</f>
        <v>0.11009146702426578</v>
      </c>
    </row>
    <row r="49" spans="1:17" x14ac:dyDescent="0.6">
      <c r="A49">
        <v>60</v>
      </c>
      <c r="B49" s="31" t="s">
        <v>571</v>
      </c>
      <c r="C49" t="s">
        <v>167</v>
      </c>
      <c r="D49" s="31">
        <v>8.5499302739999994</v>
      </c>
      <c r="E49">
        <v>0.441644437</v>
      </c>
      <c r="F49" s="31">
        <v>7.0942754219999999</v>
      </c>
      <c r="G49" s="31">
        <v>0.54811602500000001</v>
      </c>
      <c r="H49" s="31">
        <v>6.2659454349999999</v>
      </c>
      <c r="I49" s="31">
        <v>0.48582402400000002</v>
      </c>
      <c r="J49">
        <f>SUM(L49:Q49)</f>
        <v>0.15023149069324243</v>
      </c>
      <c r="K49">
        <f>0.5*SIN(RADIANS(60))*((L49*M49)+(M49*N49)+(N49*O49)+(O49*P49)+(P49*Q49)+(Q49*L49))</f>
        <v>2.0160626738138865E-3</v>
      </c>
      <c r="L49">
        <f>(MAX(D:D)-D49)/(MAX(D:D)-MIN(D:D))</f>
        <v>5.1987809055157541E-2</v>
      </c>
      <c r="M49">
        <f>(MAX(E:E)-E49)/(MAX(E:E)-MIN(E:E))</f>
        <v>5.1715667861633008E-2</v>
      </c>
      <c r="N49">
        <f>(MAX(F:F)-F49)/(MAX(F:F)-MIN(F:F))</f>
        <v>0</v>
      </c>
      <c r="O49">
        <f>(MAX(G:G)-G49)/(MAX(G:G)-MIN(G:G))</f>
        <v>9.2696474401031013E-4</v>
      </c>
      <c r="P49">
        <f>(MAX(H:H)-H49)/(MAX(H:H)-MIN(H:H))</f>
        <v>1.7539239667570202E-2</v>
      </c>
      <c r="Q49">
        <f>(MAX(I:I)-I49)/(MAX(I:I)-MIN(I:I))</f>
        <v>2.8061809364871348E-2</v>
      </c>
    </row>
    <row r="50" spans="1:17" x14ac:dyDescent="0.6">
      <c r="A50">
        <v>60</v>
      </c>
      <c r="B50" s="31" t="s">
        <v>571</v>
      </c>
      <c r="C50" s="31" t="s">
        <v>177</v>
      </c>
      <c r="D50" s="31">
        <v>8.5811851459999993</v>
      </c>
      <c r="E50">
        <v>0.44500924800000002</v>
      </c>
      <c r="F50" s="31">
        <v>7.0363292480000004</v>
      </c>
      <c r="G50" s="31">
        <v>0.54396308599999998</v>
      </c>
      <c r="H50" s="31">
        <v>6.2994842530000001</v>
      </c>
      <c r="I50" s="31">
        <v>0.49087982699999999</v>
      </c>
      <c r="J50">
        <f>SUM(L50:Q50)</f>
        <v>0.12861292676190253</v>
      </c>
      <c r="K50">
        <f>0.5*SIN(RADIANS(60))*((L50*M50)+(M50*N50)+(N50*O50)+(O50*P50)+(P50*Q50)+(Q50*L50))</f>
        <v>1.4078382655848705E-3</v>
      </c>
      <c r="L50">
        <f>(MAX(D:D)-D50)/(MAX(D:D)-MIN(D:D))</f>
        <v>2.9677647134234698E-2</v>
      </c>
      <c r="M50">
        <f>(MAX(E:E)-E50)/(MAX(E:E)-MIN(E:E))</f>
        <v>3.2203520403676446E-2</v>
      </c>
      <c r="N50">
        <f>(MAX(F:F)-F50)/(MAX(F:F)-MIN(F:F))</f>
        <v>3.7158744764800508E-2</v>
      </c>
      <c r="O50">
        <f>(MAX(G:G)-G50)/(MAX(G:G)-MIN(G:G))</f>
        <v>2.9573014459190871E-2</v>
      </c>
      <c r="P50">
        <f>(MAX(H:H)-H50)/(MAX(H:H)-MIN(H:H))</f>
        <v>0</v>
      </c>
      <c r="Q50">
        <f>(MAX(I:I)-I50)/(MAX(I:I)-MIN(I:I))</f>
        <v>0</v>
      </c>
    </row>
  </sheetData>
  <autoFilter ref="A1:P33" xr:uid="{7428AB68-54D6-4E57-B51C-3C52895577F3}">
    <sortState xmlns:xlrd2="http://schemas.microsoft.com/office/spreadsheetml/2017/richdata2" ref="A2:P50">
      <sortCondition descending="1" ref="K1:K33"/>
    </sortState>
  </autoFilter>
  <phoneticPr fontId="1" type="noConversion"/>
  <conditionalFormatting sqref="K1">
    <cfRule type="top10" dxfId="121" priority="7" percent="1" bottom="1" rank="10"/>
  </conditionalFormatting>
  <conditionalFormatting sqref="K1">
    <cfRule type="top10" dxfId="120" priority="8" percent="1" bottom="1" rank="5"/>
  </conditionalFormatting>
  <conditionalFormatting sqref="D1:D1048576">
    <cfRule type="top10" dxfId="119" priority="6" percent="1" bottom="1" rank="5"/>
  </conditionalFormatting>
  <conditionalFormatting sqref="E1:E1048576">
    <cfRule type="top10" dxfId="118" priority="5" percent="1" bottom="1" rank="5"/>
  </conditionalFormatting>
  <conditionalFormatting sqref="F1:F1048576">
    <cfRule type="top10" dxfId="117" priority="4" percent="1" bottom="1" rank="5"/>
  </conditionalFormatting>
  <conditionalFormatting sqref="G1:G1048576">
    <cfRule type="top10" dxfId="116" priority="3" percent="1" bottom="1" rank="5"/>
  </conditionalFormatting>
  <conditionalFormatting sqref="H1:H1048576">
    <cfRule type="top10" dxfId="115" priority="2" percent="1" bottom="1" rank="5"/>
  </conditionalFormatting>
  <conditionalFormatting sqref="I1:I1048576">
    <cfRule type="top10" dxfId="114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EC81-BB97-4C70-97A8-62843BE4648A}">
  <dimension ref="A1:Q50"/>
  <sheetViews>
    <sheetView workbookViewId="0">
      <selection activeCell="M17" sqref="M17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  <col min="10" max="10" width="6.1875" customWidth="1"/>
  </cols>
  <sheetData>
    <row r="1" spans="1:17" x14ac:dyDescent="0.6">
      <c r="A1" t="s">
        <v>16</v>
      </c>
      <c r="B1" t="s">
        <v>0</v>
      </c>
      <c r="C1" t="s">
        <v>23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90</v>
      </c>
      <c r="B2" t="s">
        <v>92</v>
      </c>
      <c r="C2" t="s">
        <v>7</v>
      </c>
      <c r="D2">
        <v>7.1349489999999998</v>
      </c>
      <c r="E2">
        <v>0.27160000000000001</v>
      </c>
      <c r="F2">
        <v>5.4568960000000004</v>
      </c>
      <c r="G2">
        <v>0.397374</v>
      </c>
      <c r="H2">
        <v>4.4688720000000002</v>
      </c>
      <c r="I2">
        <v>0.32714700000000002</v>
      </c>
      <c r="J2">
        <f>SUM(L2:Q2)</f>
        <v>5.452552463796752</v>
      </c>
      <c r="K2">
        <f>0.5*SIN(RADIANS(60))*((L2*M2)+(M2*N2)+(N2*O2)+(O2*P2)+(P2*Q2)+(Q2*L2))</f>
        <v>2.1372815122451008</v>
      </c>
      <c r="L2">
        <f>(MAX(D:D)-D2)/(MAX(D:D)-MIN(D:D))</f>
        <v>0.75181801048522667</v>
      </c>
      <c r="M2">
        <f>(MAX(E:E)-E2)/(MAX(E:E)-MIN(E:E))</f>
        <v>1</v>
      </c>
      <c r="N2">
        <f>(MAX(F:F)-F2)/(MAX(F:F)-MIN(F:F))</f>
        <v>0.90135949013780448</v>
      </c>
      <c r="O2">
        <f>(MAX(G:G)-G2)/(MAX(G:G)-MIN(G:G))</f>
        <v>1</v>
      </c>
      <c r="P2">
        <f>(MAX(H:H)-H2)/(MAX(H:H)-MIN(H:H))</f>
        <v>0.88370121694107939</v>
      </c>
      <c r="Q2">
        <f>(MAX(I:I)-I2)/(MAX(I:I)-MIN(I:I))</f>
        <v>0.91567374623264219</v>
      </c>
    </row>
    <row r="3" spans="1:17" x14ac:dyDescent="0.6">
      <c r="A3">
        <v>90</v>
      </c>
      <c r="B3" t="s">
        <v>6</v>
      </c>
      <c r="C3" t="s">
        <v>8</v>
      </c>
      <c r="D3">
        <v>7.2547915349999998</v>
      </c>
      <c r="E3">
        <v>0.28035698399999998</v>
      </c>
      <c r="F3">
        <v>5.5410415439999996</v>
      </c>
      <c r="G3">
        <v>0.40317481399999999</v>
      </c>
      <c r="H3">
        <v>4.2892456049999996</v>
      </c>
      <c r="I3">
        <v>0.316562648</v>
      </c>
      <c r="J3">
        <f>SUM(L3:Q3)</f>
        <v>5.4458445672304734</v>
      </c>
      <c r="K3">
        <f>0.5*SIN(RADIANS(60))*((L3*M3)+(M3*N3)+(N3*O3)+(O3*P3)+(P3*Q3)+(Q3*L3))</f>
        <v>2.1311424817458242</v>
      </c>
      <c r="L3">
        <f>(MAX(D:D)-D3)/(MAX(D:D)-MIN(D:D))</f>
        <v>0.69119397304756736</v>
      </c>
      <c r="M3">
        <f>(MAX(E:E)-E3)/(MAX(E:E)-MIN(E:E))</f>
        <v>0.94919974249321581</v>
      </c>
      <c r="N3">
        <f>(MAX(F:F)-F3)/(MAX(F:F)-MIN(F:F))</f>
        <v>0.84970463790520623</v>
      </c>
      <c r="O3">
        <f>(MAX(G:G)-G3)/(MAX(G:G)-MIN(G:G))</f>
        <v>0.95574621378448421</v>
      </c>
      <c r="P3">
        <f>(MAX(H:H)-H3)/(MAX(H:H)-MIN(H:H))</f>
        <v>1</v>
      </c>
      <c r="Q3">
        <f>(MAX(I:I)-I3)/(MAX(I:I)-MIN(I:I))</f>
        <v>1</v>
      </c>
    </row>
    <row r="4" spans="1:17" x14ac:dyDescent="0.6">
      <c r="A4">
        <v>90</v>
      </c>
      <c r="B4" t="s">
        <v>6</v>
      </c>
      <c r="C4" t="s">
        <v>181</v>
      </c>
      <c r="D4">
        <v>7.2533024179999996</v>
      </c>
      <c r="E4">
        <v>0.280864318</v>
      </c>
      <c r="F4">
        <v>5.464723352</v>
      </c>
      <c r="G4">
        <v>0.39796667800000002</v>
      </c>
      <c r="H4">
        <v>4.4476318360000002</v>
      </c>
      <c r="I4">
        <v>0.32151564300000002</v>
      </c>
      <c r="J4">
        <f>SUM(L4:Q4)</f>
        <v>5.3882291752001477</v>
      </c>
      <c r="K4">
        <f>0.5*SIN(RADIANS(60))*((L4*M4)+(M4*N4)+(N4*O4)+(O4*P4)+(P4*Q4)+(Q4*L4))</f>
        <v>2.0852625804358853</v>
      </c>
      <c r="L4">
        <f>(MAX(D:D)-D4)/(MAX(D:D)-MIN(D:D))</f>
        <v>0.69194726389507044</v>
      </c>
      <c r="M4">
        <f>(MAX(E:E)-E4)/(MAX(E:E)-MIN(E:E))</f>
        <v>0.946256640411272</v>
      </c>
      <c r="N4">
        <f>(MAX(F:F)-F4)/(MAX(F:F)-MIN(F:F))</f>
        <v>0.8965544738325737</v>
      </c>
      <c r="O4">
        <f>(MAX(G:G)-G4)/(MAX(G:G)-MIN(G:G))</f>
        <v>0.99547852327162356</v>
      </c>
      <c r="P4">
        <f>(MAX(H:H)-H4)/(MAX(H:H)-MIN(H:H))</f>
        <v>0.89745312252918563</v>
      </c>
      <c r="Q4">
        <f>(MAX(I:I)-I4)/(MAX(I:I)-MIN(I:I))</f>
        <v>0.96053915126042155</v>
      </c>
    </row>
    <row r="5" spans="1:17" x14ac:dyDescent="0.6">
      <c r="A5">
        <v>90</v>
      </c>
      <c r="B5" t="s">
        <v>99</v>
      </c>
      <c r="C5" t="s">
        <v>171</v>
      </c>
      <c r="D5">
        <v>7.2289853859999997</v>
      </c>
      <c r="E5">
        <v>0.27868094199999999</v>
      </c>
      <c r="F5">
        <v>5.5359931839999996</v>
      </c>
      <c r="G5">
        <v>0.40285466599999997</v>
      </c>
      <c r="H5">
        <v>4.408691406</v>
      </c>
      <c r="I5">
        <v>0.31815025299999999</v>
      </c>
      <c r="J5">
        <f>SUM(L5:Q5)</f>
        <v>5.3841797945962648</v>
      </c>
      <c r="K5">
        <f>0.5*SIN(RADIANS(60))*((L5*M5)+(M5*N5)+(N5*O5)+(O5*P5)+(P5*Q5)+(Q5*L5))</f>
        <v>2.0787474898158549</v>
      </c>
      <c r="L5">
        <f>(MAX(D:D)-D5)/(MAX(D:D)-MIN(D:D))</f>
        <v>0.70424837767191728</v>
      </c>
      <c r="M5">
        <f>(MAX(E:E)-E5)/(MAX(E:E)-MIN(E:E))</f>
        <v>0.95892265225212203</v>
      </c>
      <c r="N5">
        <f>(MAX(F:F)-F5)/(MAX(F:F)-MIN(F:F))</f>
        <v>0.85280370028475372</v>
      </c>
      <c r="O5">
        <f>(MAX(G:G)-G5)/(MAX(G:G)-MIN(G:G))</f>
        <v>0.95818858844937183</v>
      </c>
      <c r="P5">
        <f>(MAX(H:H)-H5)/(MAX(H:H)-MIN(H:H))</f>
        <v>0.92266503317734572</v>
      </c>
      <c r="Q5">
        <f>(MAX(I:I)-I5)/(MAX(I:I)-MIN(I:I))</f>
        <v>0.98735144276075426</v>
      </c>
    </row>
    <row r="6" spans="1:17" x14ac:dyDescent="0.6">
      <c r="A6">
        <v>90</v>
      </c>
      <c r="B6" t="s">
        <v>99</v>
      </c>
      <c r="C6" t="s">
        <v>8</v>
      </c>
      <c r="D6">
        <v>7.2208379999999996</v>
      </c>
      <c r="E6">
        <v>0.27789999999999998</v>
      </c>
      <c r="F6">
        <v>5.5475659999999998</v>
      </c>
      <c r="G6">
        <v>0.40374199999999999</v>
      </c>
      <c r="H6">
        <v>4.4656370000000001</v>
      </c>
      <c r="I6">
        <v>0.32366</v>
      </c>
      <c r="J6">
        <f>SUM(L6:Q6)</f>
        <v>5.2981921076949057</v>
      </c>
      <c r="K6">
        <f>0.5*SIN(RADIANS(60))*((L6*M6)+(M6*N6)+(N6*O6)+(O6*P6)+(P6*Q6)+(Q6*L6))</f>
        <v>2.0129347904809554</v>
      </c>
      <c r="L6">
        <f>(MAX(D:D)-D6)/(MAX(D:D)-MIN(D:D))</f>
        <v>0.70836984784845414</v>
      </c>
      <c r="M6">
        <f>(MAX(E:E)-E6)/(MAX(E:E)-MIN(E:E))</f>
        <v>0.96345298537798629</v>
      </c>
      <c r="N6">
        <f>(MAX(F:F)-F6)/(MAX(F:F)-MIN(F:F))</f>
        <v>0.8456994369812203</v>
      </c>
      <c r="O6">
        <f>(MAX(G:G)-G6)/(MAX(G:G)-MIN(G:G))</f>
        <v>0.95141921278282582</v>
      </c>
      <c r="P6">
        <f>(MAX(H:H)-H6)/(MAX(H:H)-MIN(H:H))</f>
        <v>0.8857957118130364</v>
      </c>
      <c r="Q6">
        <f>(MAX(I:I)-I6)/(MAX(I:I)-MIN(I:I))</f>
        <v>0.94345491289138317</v>
      </c>
    </row>
    <row r="7" spans="1:17" x14ac:dyDescent="0.6">
      <c r="A7">
        <v>90</v>
      </c>
      <c r="B7" s="31" t="s">
        <v>571</v>
      </c>
      <c r="C7" s="31" t="s">
        <v>181</v>
      </c>
      <c r="D7" s="31">
        <v>6.7038320489999998</v>
      </c>
      <c r="E7">
        <v>0.27587378099999998</v>
      </c>
      <c r="F7" s="31">
        <v>5.2962110109999996</v>
      </c>
      <c r="G7" s="31">
        <v>0.41302632299999997</v>
      </c>
      <c r="H7" s="31">
        <v>4.6418457030000004</v>
      </c>
      <c r="I7" s="31">
        <v>0.36183411300000001</v>
      </c>
      <c r="J7">
        <f>SUM(L7:Q7)</f>
        <v>5.2367308863846276</v>
      </c>
      <c r="K7">
        <f>0.5*SIN(RADIANS(60))*((L7*M7)+(M7*N7)+(N7*O7)+(O7*P7)+(P7*Q7)+(Q7*L7))</f>
        <v>1.9895473560426231</v>
      </c>
      <c r="L7">
        <f>(MAX(D:D)-D7)/(MAX(D:D)-MIN(D:D))</f>
        <v>0.96990460367547848</v>
      </c>
      <c r="M7">
        <f>(MAX(E:E)-E7)/(MAX(E:E)-MIN(E:E))</f>
        <v>0.97520731163519303</v>
      </c>
      <c r="N7">
        <f>(MAX(F:F)-F7)/(MAX(F:F)-MIN(F:F))</f>
        <v>1</v>
      </c>
      <c r="O7">
        <f>(MAX(G:G)-G7)/(MAX(G:G)-MIN(G:G))</f>
        <v>0.88059011100542073</v>
      </c>
      <c r="P7">
        <f>(MAX(H:H)-H7)/(MAX(H:H)-MIN(H:H))</f>
        <v>0.7717097072295187</v>
      </c>
      <c r="Q7">
        <f>(MAX(I:I)-I7)/(MAX(I:I)-MIN(I:I))</f>
        <v>0.63931915283901652</v>
      </c>
    </row>
    <row r="8" spans="1:17" x14ac:dyDescent="0.6">
      <c r="A8">
        <v>90</v>
      </c>
      <c r="B8" t="s">
        <v>99</v>
      </c>
      <c r="C8" t="s">
        <v>174</v>
      </c>
      <c r="D8">
        <v>7.2594257999999998</v>
      </c>
      <c r="E8">
        <v>0.28020475099999997</v>
      </c>
      <c r="F8">
        <v>5.5426719350000004</v>
      </c>
      <c r="G8">
        <v>0.40314418099999999</v>
      </c>
      <c r="H8">
        <v>4.4960327150000001</v>
      </c>
      <c r="I8">
        <v>0.32887792500000002</v>
      </c>
      <c r="J8">
        <f>SUM(L8:Q8)</f>
        <v>5.2116156294014759</v>
      </c>
      <c r="K8">
        <f>0.5*SIN(RADIANS(60))*((L8*M8)+(M8*N8)+(N8*O8)+(O8*P8)+(P8*Q8)+(Q8*L8))</f>
        <v>1.949654497363728</v>
      </c>
      <c r="L8">
        <f>(MAX(D:D)-D8)/(MAX(D:D)-MIN(D:D))</f>
        <v>0.68884966470282127</v>
      </c>
      <c r="M8">
        <f>(MAX(E:E)-E8)/(MAX(E:E)-MIN(E:E))</f>
        <v>0.95008286339431947</v>
      </c>
      <c r="N8">
        <f>(MAX(F:F)-F8)/(MAX(F:F)-MIN(F:F))</f>
        <v>0.84870378150588932</v>
      </c>
      <c r="O8">
        <f>(MAX(G:G)-G8)/(MAX(G:G)-MIN(G:G))</f>
        <v>0.95597990964736479</v>
      </c>
      <c r="P8">
        <f>(MAX(H:H)-H8)/(MAX(H:H)-MIN(H:H))</f>
        <v>0.86611606136575225</v>
      </c>
      <c r="Q8">
        <f>(MAX(I:I)-I8)/(MAX(I:I)-MIN(I:I))</f>
        <v>0.90188334878532916</v>
      </c>
    </row>
    <row r="9" spans="1:17" x14ac:dyDescent="0.6">
      <c r="A9">
        <v>90</v>
      </c>
      <c r="B9" t="s">
        <v>9</v>
      </c>
      <c r="C9" t="s">
        <v>8</v>
      </c>
      <c r="D9">
        <v>7.33282232</v>
      </c>
      <c r="E9">
        <v>0.286137586</v>
      </c>
      <c r="F9">
        <v>5.6326327389999999</v>
      </c>
      <c r="G9">
        <v>0.40964829400000002</v>
      </c>
      <c r="H9">
        <v>4.3694458010000004</v>
      </c>
      <c r="I9">
        <v>0.31713756399999998</v>
      </c>
      <c r="J9">
        <f>SUM(L9:Q9)</f>
        <v>5.2107207648989586</v>
      </c>
      <c r="K9">
        <f>0.5*SIN(RADIANS(60))*((L9*M9)+(M9*N9)+(N9*O9)+(O9*P9)+(P9*Q9)+(Q9*L9))</f>
        <v>1.9460733776430905</v>
      </c>
      <c r="L9">
        <f>(MAX(D:D)-D9)/(MAX(D:D)-MIN(D:D))</f>
        <v>0.65172099935646555</v>
      </c>
      <c r="M9">
        <f>(MAX(E:E)-E9)/(MAX(E:E)-MIN(E:E))</f>
        <v>0.91566581458558982</v>
      </c>
      <c r="N9">
        <f>(MAX(F:F)-F9)/(MAX(F:F)-MIN(F:F))</f>
        <v>0.79347908609782636</v>
      </c>
      <c r="O9">
        <f>(MAX(G:G)-G9)/(MAX(G:G)-MIN(G:G))</f>
        <v>0.90636073099010062</v>
      </c>
      <c r="P9">
        <f>(MAX(H:H)-H9)/(MAX(H:H)-MIN(H:H))</f>
        <v>0.94807452882474774</v>
      </c>
      <c r="Q9">
        <f>(MAX(I:I)-I9)/(MAX(I:I)-MIN(I:I))</f>
        <v>0.99541960504422822</v>
      </c>
    </row>
    <row r="10" spans="1:17" x14ac:dyDescent="0.6">
      <c r="A10">
        <v>90</v>
      </c>
      <c r="B10" t="s">
        <v>99</v>
      </c>
      <c r="C10" t="s">
        <v>177</v>
      </c>
      <c r="D10" s="13">
        <v>7.2754718360000004</v>
      </c>
      <c r="E10">
        <v>0.28256596299999998</v>
      </c>
      <c r="F10">
        <v>5.5001103650000003</v>
      </c>
      <c r="G10">
        <v>0.40045828500000002</v>
      </c>
      <c r="H10">
        <v>4.5510864260000004</v>
      </c>
      <c r="I10">
        <v>0.33052569700000001</v>
      </c>
      <c r="J10">
        <f>SUM(L10:Q10)</f>
        <v>5.1876464188142553</v>
      </c>
      <c r="K10">
        <f>0.5*SIN(RADIANS(60))*((L10*M10)+(M10*N10)+(N10*O10)+(O10*P10)+(P10*Q10)+(Q10*L10))</f>
        <v>1.9333478293305697</v>
      </c>
      <c r="L10">
        <f>(MAX(D:D)-D10)/(MAX(D:D)-MIN(D:D))</f>
        <v>0.68073255096528174</v>
      </c>
      <c r="M10">
        <f>(MAX(E:E)-E10)/(MAX(E:E)-MIN(E:E))</f>
        <v>0.93638520474516473</v>
      </c>
      <c r="N10">
        <f>(MAX(F:F)-F10)/(MAX(F:F)-MIN(F:F))</f>
        <v>0.87483126853167192</v>
      </c>
      <c r="O10">
        <f>(MAX(G:G)-G10)/(MAX(G:G)-MIN(G:G))</f>
        <v>0.97647032140356105</v>
      </c>
      <c r="P10">
        <f>(MAX(H:H)-H10)/(MAX(H:H)-MIN(H:H))</f>
        <v>0.83047163621221343</v>
      </c>
      <c r="Q10">
        <f>(MAX(I:I)-I10)/(MAX(I:I)-MIN(I:I))</f>
        <v>0.88875543695636261</v>
      </c>
    </row>
    <row r="11" spans="1:17" x14ac:dyDescent="0.6">
      <c r="A11">
        <v>90</v>
      </c>
      <c r="B11" t="s">
        <v>571</v>
      </c>
      <c r="C11" t="s">
        <v>171</v>
      </c>
      <c r="D11">
        <v>6.7657624900000002</v>
      </c>
      <c r="E11">
        <v>0.28182125000000002</v>
      </c>
      <c r="F11" s="13">
        <v>5.3971687089999998</v>
      </c>
      <c r="G11" s="13">
        <v>0.42104186100000002</v>
      </c>
      <c r="H11">
        <v>4.554484049</v>
      </c>
      <c r="I11" s="13">
        <v>0.35217186</v>
      </c>
      <c r="J11">
        <f>SUM(L11:Q11)</f>
        <v>5.1813174369283281</v>
      </c>
      <c r="K11">
        <f>0.5*SIN(RADIANS(60))*((L11*M11)+(M11*N11)+(N11*O11)+(O11*P11)+(P11*Q11)+(Q11*L11))</f>
        <v>1.9391584613293433</v>
      </c>
      <c r="L11">
        <f>(MAX(D:D)-D11)/(MAX(D:D)-MIN(D:D))</f>
        <v>0.93857621619006049</v>
      </c>
      <c r="M11">
        <f>(MAX(E:E)-E11)/(MAX(E:E)-MIN(E:E))</f>
        <v>0.94070536933249849</v>
      </c>
      <c r="N11">
        <f>(MAX(F:F)-F11)/(MAX(F:F)-MIN(F:F))</f>
        <v>0.93802458545002287</v>
      </c>
      <c r="O11">
        <f>(MAX(G:G)-G11)/(MAX(G:G)-MIN(G:G))</f>
        <v>0.81944043355423091</v>
      </c>
      <c r="P11">
        <f>(MAX(H:H)-H11)/(MAX(H:H)-MIN(H:H))</f>
        <v>0.82827185137439507</v>
      </c>
      <c r="Q11">
        <f>(MAX(I:I)-I11)/(MAX(I:I)-MIN(I:I))</f>
        <v>0.71629898102712031</v>
      </c>
    </row>
    <row r="12" spans="1:17" x14ac:dyDescent="0.6">
      <c r="A12">
        <v>90</v>
      </c>
      <c r="B12" t="s">
        <v>6</v>
      </c>
      <c r="C12" t="s">
        <v>177</v>
      </c>
      <c r="D12">
        <v>7.370630877</v>
      </c>
      <c r="E12">
        <v>0.28937258900000001</v>
      </c>
      <c r="F12">
        <v>5.6304655730000004</v>
      </c>
      <c r="G12">
        <v>0.40968825199999997</v>
      </c>
      <c r="H12">
        <v>4.3602294920000002</v>
      </c>
      <c r="I12">
        <v>0.32195833000000001</v>
      </c>
      <c r="J12">
        <f>SUM(L12:Q12)</f>
        <v>5.1414133986044313</v>
      </c>
      <c r="K12">
        <f>0.5*SIN(RADIANS(60))*((L12*M12)+(M12*N12)+(N12*O12)+(O12*P12)+(P12*Q12)+(Q12*L12))</f>
        <v>1.8979922682288091</v>
      </c>
      <c r="L12">
        <f>(MAX(D:D)-D12)/(MAX(D:D)-MIN(D:D))</f>
        <v>0.63259500727834517</v>
      </c>
      <c r="M12">
        <f>(MAX(E:E)-E12)/(MAX(E:E)-MIN(E:E))</f>
        <v>0.896899195229517</v>
      </c>
      <c r="N12">
        <f>(MAX(F:F)-F12)/(MAX(F:F)-MIN(F:F))</f>
        <v>0.7948094552911551</v>
      </c>
      <c r="O12">
        <f>(MAX(G:G)-G12)/(MAX(G:G)-MIN(G:G))</f>
        <v>0.90605589570498413</v>
      </c>
      <c r="P12">
        <f>(MAX(H:H)-H12)/(MAX(H:H)-MIN(H:H))</f>
        <v>0.95404161134062748</v>
      </c>
      <c r="Q12">
        <f>(MAX(I:I)-I12)/(MAX(I:I)-MIN(I:I))</f>
        <v>0.95701223375980271</v>
      </c>
    </row>
    <row r="13" spans="1:17" x14ac:dyDescent="0.6">
      <c r="A13">
        <v>90</v>
      </c>
      <c r="B13" t="s">
        <v>92</v>
      </c>
      <c r="C13" t="s">
        <v>171</v>
      </c>
      <c r="D13">
        <v>7.165108129</v>
      </c>
      <c r="E13">
        <v>0.27321265500000003</v>
      </c>
      <c r="F13">
        <v>5.4852905270000001</v>
      </c>
      <c r="G13">
        <v>0.39905069199999998</v>
      </c>
      <c r="H13">
        <v>4.7300415039999999</v>
      </c>
      <c r="I13">
        <v>0.34808540500000001</v>
      </c>
      <c r="J13">
        <f>SUM(L13:Q13)</f>
        <v>5.0618074323209328</v>
      </c>
      <c r="K13">
        <f>0.5*SIN(RADIANS(60))*((L13*M13)+(M13*N13)+(N13*O13)+(O13*P13)+(P13*Q13)+(Q13*L13))</f>
        <v>1.8490231529757757</v>
      </c>
      <c r="L13">
        <f>(MAX(D:D)-D13)/(MAX(D:D)-MIN(D:D))</f>
        <v>0.73656158950261641</v>
      </c>
      <c r="M13">
        <f>(MAX(E:E)-E13)/(MAX(E:E)-MIN(E:E))</f>
        <v>0.99064480541821198</v>
      </c>
      <c r="N13">
        <f>(MAX(F:F)-F13)/(MAX(F:F)-MIN(F:F))</f>
        <v>0.88392879771279009</v>
      </c>
      <c r="O13">
        <f>(MAX(G:G)-G13)/(MAX(G:G)-MIN(G:G))</f>
        <v>0.98720869703506009</v>
      </c>
      <c r="P13">
        <f>(MAX(H:H)-H13)/(MAX(H:H)-MIN(H:H))</f>
        <v>0.71460749612515051</v>
      </c>
      <c r="Q13">
        <f>(MAX(I:I)-I13)/(MAX(I:I)-MIN(I:I))</f>
        <v>0.74885604652710436</v>
      </c>
    </row>
    <row r="14" spans="1:17" x14ac:dyDescent="0.6">
      <c r="A14">
        <v>90</v>
      </c>
      <c r="B14" t="s">
        <v>92</v>
      </c>
      <c r="C14" t="s">
        <v>167</v>
      </c>
      <c r="D14" s="13">
        <v>7.2921080690000002</v>
      </c>
      <c r="E14">
        <v>0.283581215</v>
      </c>
      <c r="F14">
        <v>5.5503464789999999</v>
      </c>
      <c r="G14">
        <v>0.40400552699999998</v>
      </c>
      <c r="H14">
        <v>4.6378173829999998</v>
      </c>
      <c r="I14">
        <v>0.33613716300000002</v>
      </c>
      <c r="J14">
        <f>SUM(L14:Q14)</f>
        <v>5.0145801949147746</v>
      </c>
      <c r="K14">
        <f>0.5*SIN(RADIANS(60))*((L14*M14)+(M14*N14)+(N14*O14)+(O14*P14)+(P14*Q14)+(Q14*L14))</f>
        <v>1.8049646412796452</v>
      </c>
      <c r="L14">
        <f>(MAX(D:D)-D14)/(MAX(D:D)-MIN(D:D))</f>
        <v>0.67231687774697391</v>
      </c>
      <c r="M14">
        <f>(MAX(E:E)-E14)/(MAX(E:E)-MIN(E:E))</f>
        <v>0.93049561273103309</v>
      </c>
      <c r="N14">
        <f>(MAX(F:F)-F14)/(MAX(F:F)-MIN(F:F))</f>
        <v>0.84399257022329843</v>
      </c>
      <c r="O14">
        <f>(MAX(G:G)-G14)/(MAX(G:G)-MIN(G:G))</f>
        <v>0.94940879363819963</v>
      </c>
      <c r="P14">
        <f>(MAX(H:H)-H14)/(MAX(H:H)-MIN(H:H))</f>
        <v>0.77431783569400181</v>
      </c>
      <c r="Q14">
        <f>(MAX(I:I)-I14)/(MAX(I:I)-MIN(I:I))</f>
        <v>0.84404850488126726</v>
      </c>
    </row>
    <row r="15" spans="1:17" x14ac:dyDescent="0.6">
      <c r="A15">
        <v>90</v>
      </c>
      <c r="B15" t="s">
        <v>6</v>
      </c>
      <c r="C15" t="s">
        <v>174</v>
      </c>
      <c r="D15">
        <v>7.2350759900000003</v>
      </c>
      <c r="E15">
        <v>0.27836454999999999</v>
      </c>
      <c r="F15">
        <v>5.5138156839999999</v>
      </c>
      <c r="G15">
        <v>0.40101829300000003</v>
      </c>
      <c r="H15">
        <v>4.7568969729999999</v>
      </c>
      <c r="I15">
        <v>0.34506292300000002</v>
      </c>
      <c r="J15">
        <f>SUM(L15:Q15)</f>
        <v>4.9706977713434197</v>
      </c>
      <c r="K15">
        <f>0.5*SIN(RADIANS(60))*((L15*M15)+(M15*N15)+(N15*O15)+(O15*P15)+(P15*Q15)+(Q15*L15))</f>
        <v>1.7784266369636381</v>
      </c>
      <c r="L15">
        <f>(MAX(D:D)-D15)/(MAX(D:D)-MIN(D:D))</f>
        <v>0.70116735969350097</v>
      </c>
      <c r="M15">
        <f>(MAX(E:E)-E15)/(MAX(E:E)-MIN(E:E))</f>
        <v>0.96075807813312009</v>
      </c>
      <c r="N15">
        <f>(MAX(F:F)-F15)/(MAX(F:F)-MIN(F:F))</f>
        <v>0.86641791478657504</v>
      </c>
      <c r="O15">
        <f>(MAX(G:G)-G15)/(MAX(G:G)-MIN(G:G))</f>
        <v>0.97219808059201651</v>
      </c>
      <c r="P15">
        <f>(MAX(H:H)-H15)/(MAX(H:H)-MIN(H:H))</f>
        <v>0.69721997151788684</v>
      </c>
      <c r="Q15">
        <f>(MAX(I:I)-I15)/(MAX(I:I)-MIN(I:I))</f>
        <v>0.77293636662032028</v>
      </c>
    </row>
    <row r="16" spans="1:17" x14ac:dyDescent="0.6">
      <c r="A16">
        <v>90</v>
      </c>
      <c r="B16" t="s">
        <v>9</v>
      </c>
      <c r="C16" t="s">
        <v>181</v>
      </c>
      <c r="D16">
        <v>7.3002686810000004</v>
      </c>
      <c r="E16">
        <v>0.28381473899999998</v>
      </c>
      <c r="F16">
        <v>5.6132185430000003</v>
      </c>
      <c r="G16">
        <v>0.40838073400000002</v>
      </c>
      <c r="H16">
        <v>4.5768432619999997</v>
      </c>
      <c r="I16">
        <v>0.33887917499999998</v>
      </c>
      <c r="J16">
        <f>SUM(L16:Q16)</f>
        <v>4.9547555455370667</v>
      </c>
      <c r="K16">
        <f>0.5*SIN(RADIANS(60))*((L16*M16)+(M16*N16)+(N16*O16)+(O16*P16)+(P16*Q16)+(Q16*L16))</f>
        <v>1.7627471868877711</v>
      </c>
      <c r="L16">
        <f>(MAX(D:D)-D16)/(MAX(D:D)-MIN(D:D))</f>
        <v>0.6681887170117039</v>
      </c>
      <c r="M16">
        <f>(MAX(E:E)-E16)/(MAX(E:E)-MIN(E:E))</f>
        <v>0.92914091351792349</v>
      </c>
      <c r="N16">
        <f>(MAX(F:F)-F16)/(MAX(F:F)-MIN(F:F))</f>
        <v>0.8053969771461591</v>
      </c>
      <c r="O16">
        <f>(MAX(G:G)-G16)/(MAX(G:G)-MIN(G:G))</f>
        <v>0.91603080992304675</v>
      </c>
      <c r="P16">
        <f>(MAX(H:H)-H16)/(MAX(H:H)-MIN(H:H))</f>
        <v>0.81379541954456769</v>
      </c>
      <c r="Q16">
        <f>(MAX(I:I)-I16)/(MAX(I:I)-MIN(I:I))</f>
        <v>0.82220270839366583</v>
      </c>
    </row>
    <row r="17" spans="1:17" x14ac:dyDescent="0.6">
      <c r="A17">
        <v>90</v>
      </c>
      <c r="B17" t="s">
        <v>6</v>
      </c>
      <c r="C17" t="s">
        <v>167</v>
      </c>
      <c r="D17" s="13">
        <v>7.3061403399999998</v>
      </c>
      <c r="E17">
        <v>0.28382217500000001</v>
      </c>
      <c r="F17">
        <v>5.5949656870000002</v>
      </c>
      <c r="G17">
        <v>0.40689484100000001</v>
      </c>
      <c r="H17">
        <v>4.6087646480000002</v>
      </c>
      <c r="I17">
        <v>0.34112878400000002</v>
      </c>
      <c r="J17">
        <f>SUM(L17:Q17)</f>
        <v>4.935692606585226</v>
      </c>
      <c r="K17">
        <f>0.5*SIN(RADIANS(60))*((L17*M17)+(M17*N17)+(N17*O17)+(O17*P17)+(P17*Q17)+(Q17*L17))</f>
        <v>1.7504471135066613</v>
      </c>
      <c r="L17">
        <f>(MAX(D:D)-D17)/(MAX(D:D)-MIN(D:D))</f>
        <v>0.66521845545108915</v>
      </c>
      <c r="M17">
        <f>(MAX(E:E)-E17)/(MAX(E:E)-MIN(E:E))</f>
        <v>0.92909777643844249</v>
      </c>
      <c r="N17">
        <f>(MAX(F:F)-F17)/(MAX(F:F)-MIN(F:F))</f>
        <v>0.8166019505135298</v>
      </c>
      <c r="O17">
        <f>(MAX(G:G)-G17)/(MAX(G:G)-MIN(G:G))</f>
        <v>0.92736652783455586</v>
      </c>
      <c r="P17">
        <f>(MAX(H:H)-H17)/(MAX(H:H)-MIN(H:H))</f>
        <v>0.79312797618050024</v>
      </c>
      <c r="Q17">
        <f>(MAX(I:I)-I17)/(MAX(I:I)-MIN(I:I))</f>
        <v>0.80427992016710881</v>
      </c>
    </row>
    <row r="18" spans="1:17" x14ac:dyDescent="0.6">
      <c r="A18">
        <v>90</v>
      </c>
      <c r="B18" s="31" t="s">
        <v>571</v>
      </c>
      <c r="C18" t="s">
        <v>167</v>
      </c>
      <c r="D18" s="31">
        <v>6.6443390039999999</v>
      </c>
      <c r="E18">
        <v>0.27472638700000002</v>
      </c>
      <c r="F18" s="31">
        <v>5.4078646570000002</v>
      </c>
      <c r="G18" s="31">
        <v>0.42159999500000001</v>
      </c>
      <c r="H18" s="31">
        <v>4.8036702470000003</v>
      </c>
      <c r="I18" s="31">
        <v>0.37511363599999997</v>
      </c>
      <c r="J18">
        <f>SUM(L18:Q18)</f>
        <v>4.9289615615022697</v>
      </c>
      <c r="K18">
        <f>0.5*SIN(RADIANS(60))*((L18*M18)+(M18*N18)+(N18*O18)+(O18*P18)+(P18*Q18)+(Q18*L18))</f>
        <v>1.770483749273182</v>
      </c>
      <c r="L18">
        <f>(MAX(D:D)-D18)/(MAX(D:D)-MIN(D:D))</f>
        <v>1</v>
      </c>
      <c r="M18">
        <f>(MAX(E:E)-E18)/(MAX(E:E)-MIN(E:E))</f>
        <v>0.9818634743804644</v>
      </c>
      <c r="N18">
        <f>(MAX(F:F)-F18)/(MAX(F:F)-MIN(F:F))</f>
        <v>0.93145860955678261</v>
      </c>
      <c r="O18">
        <f>(MAX(G:G)-G18)/(MAX(G:G)-MIN(G:G))</f>
        <v>0.81518248928716597</v>
      </c>
      <c r="P18">
        <f>(MAX(H:H)-H18)/(MAX(H:H)-MIN(H:H))</f>
        <v>0.66693670025432061</v>
      </c>
      <c r="Q18">
        <f>(MAX(I:I)-I18)/(MAX(I:I)-MIN(I:I))</f>
        <v>0.53352028802353613</v>
      </c>
    </row>
    <row r="19" spans="1:17" x14ac:dyDescent="0.6">
      <c r="A19">
        <v>90</v>
      </c>
      <c r="B19" t="s">
        <v>92</v>
      </c>
      <c r="C19" t="s">
        <v>174</v>
      </c>
      <c r="D19" s="13">
        <v>7.3084167630000003</v>
      </c>
      <c r="E19">
        <v>0.28416694399999998</v>
      </c>
      <c r="F19">
        <v>5.5689722350000004</v>
      </c>
      <c r="G19">
        <v>0.40508889300000001</v>
      </c>
      <c r="H19">
        <v>4.6488647460000001</v>
      </c>
      <c r="I19">
        <v>0.342944939</v>
      </c>
      <c r="J19">
        <f>SUM(L19:Q19)</f>
        <v>4.9218429509730681</v>
      </c>
      <c r="K19">
        <f>0.5*SIN(RADIANS(60))*((L19*M19)+(M19*N19)+(N19*O19)+(O19*P19)+(P19*Q19)+(Q19*L19))</f>
        <v>1.7422226060164057</v>
      </c>
      <c r="L19">
        <f>(MAX(D:D)-D19)/(MAX(D:D)-MIN(D:D))</f>
        <v>0.66406689475374592</v>
      </c>
      <c r="M19">
        <f>(MAX(E:E)-E19)/(MAX(E:E)-MIN(E:E))</f>
        <v>0.92709773236158277</v>
      </c>
      <c r="N19">
        <f>(MAX(F:F)-F19)/(MAX(F:F)-MIN(F:F))</f>
        <v>0.83255868284002277</v>
      </c>
      <c r="O19">
        <f>(MAX(G:G)-G19)/(MAX(G:G)-MIN(G:G))</f>
        <v>0.941143910923953</v>
      </c>
      <c r="P19">
        <f>(MAX(H:H)-H19)/(MAX(H:H)-MIN(H:H))</f>
        <v>0.76716524059287439</v>
      </c>
      <c r="Q19">
        <f>(MAX(I:I)-I19)/(MAX(I:I)-MIN(I:I))</f>
        <v>0.78981048950089006</v>
      </c>
    </row>
    <row r="20" spans="1:17" x14ac:dyDescent="0.6">
      <c r="A20">
        <v>90</v>
      </c>
      <c r="B20" s="31" t="s">
        <v>572</v>
      </c>
      <c r="C20" s="31" t="s">
        <v>8</v>
      </c>
      <c r="D20" s="31">
        <v>6.8929108369999996</v>
      </c>
      <c r="E20">
        <v>0.29421686699999999</v>
      </c>
      <c r="F20" s="31">
        <v>5.5007778189999996</v>
      </c>
      <c r="G20" s="31">
        <v>0.42911144200000001</v>
      </c>
      <c r="H20" s="31">
        <v>4.5624899130000003</v>
      </c>
      <c r="I20" s="31">
        <v>0.35416063399999997</v>
      </c>
      <c r="J20">
        <f>SUM(L20:Q20)</f>
        <v>4.8988961750357891</v>
      </c>
      <c r="K20">
        <f>0.5*SIN(RADIANS(60))*((L20*M20)+(M20*N20)+(N20*O20)+(O20*P20)+(P20*Q20)+(Q20*L20))</f>
        <v>1.7297406578714962</v>
      </c>
      <c r="L20">
        <f>(MAX(D:D)-D20)/(MAX(D:D)-MIN(D:D))</f>
        <v>0.87425643065928493</v>
      </c>
      <c r="M20">
        <f>(MAX(E:E)-E20)/(MAX(E:E)-MIN(E:E))</f>
        <v>0.86879698905505676</v>
      </c>
      <c r="N20">
        <f>(MAX(F:F)-F20)/(MAX(F:F)-MIN(F:F))</f>
        <v>0.8744215351565805</v>
      </c>
      <c r="O20">
        <f>(MAX(G:G)-G20)/(MAX(G:G)-MIN(G:G))</f>
        <v>0.75787846786755508</v>
      </c>
      <c r="P20">
        <f>(MAX(H:H)-H20)/(MAX(H:H)-MIN(H:H))</f>
        <v>0.82308846927436885</v>
      </c>
      <c r="Q20">
        <f>(MAX(I:I)-I20)/(MAX(I:I)-MIN(I:I))</f>
        <v>0.7004542830229421</v>
      </c>
    </row>
    <row r="21" spans="1:17" x14ac:dyDescent="0.6">
      <c r="A21">
        <v>90</v>
      </c>
      <c r="B21" t="s">
        <v>99</v>
      </c>
      <c r="C21" t="s">
        <v>7</v>
      </c>
      <c r="D21" s="13">
        <v>7.3648809999999996</v>
      </c>
      <c r="E21">
        <v>0.28849999999999998</v>
      </c>
      <c r="F21">
        <v>5.6419259999999998</v>
      </c>
      <c r="G21">
        <v>0.41033900000000001</v>
      </c>
      <c r="H21">
        <v>4.6347659999999999</v>
      </c>
      <c r="I21">
        <v>0.33742</v>
      </c>
      <c r="J21">
        <f>SUM(L21:Q21)</f>
        <v>4.8364519438212223</v>
      </c>
      <c r="K21">
        <f>0.5*SIN(RADIANS(60))*((L21*M21)+(M21*N21)+(N21*O21)+(O21*P21)+(P21*Q21)+(Q21*L21))</f>
        <v>1.6758913634092079</v>
      </c>
      <c r="L21">
        <f>(MAX(D:D)-D21)/(MAX(D:D)-MIN(D:D))</f>
        <v>0.63550366369578459</v>
      </c>
      <c r="M21">
        <f>(MAX(E:E)-E21)/(MAX(E:E)-MIN(E:E))</f>
        <v>0.90196118299808992</v>
      </c>
      <c r="N21">
        <f>(MAX(F:F)-F21)/(MAX(F:F)-MIN(F:F))</f>
        <v>0.7877741847935581</v>
      </c>
      <c r="O21">
        <f>(MAX(G:G)-G21)/(MAX(G:G)-MIN(G:G))</f>
        <v>0.90109140919116448</v>
      </c>
      <c r="P21">
        <f>(MAX(H:H)-H21)/(MAX(H:H)-MIN(H:H))</f>
        <v>0.77629344807294343</v>
      </c>
      <c r="Q21">
        <f>(MAX(I:I)-I21)/(MAX(I:I)-MIN(I:I))</f>
        <v>0.83382805506968172</v>
      </c>
    </row>
    <row r="22" spans="1:17" x14ac:dyDescent="0.6">
      <c r="A22">
        <v>90</v>
      </c>
      <c r="B22" t="s">
        <v>92</v>
      </c>
      <c r="C22" t="s">
        <v>181</v>
      </c>
      <c r="D22">
        <v>7.3029645209999998</v>
      </c>
      <c r="E22">
        <v>0.28436727000000001</v>
      </c>
      <c r="F22">
        <v>5.5629180490000003</v>
      </c>
      <c r="G22">
        <v>0.40486600099999998</v>
      </c>
      <c r="H22">
        <v>4.8130493159999999</v>
      </c>
      <c r="I22">
        <v>0.34186826100000001</v>
      </c>
      <c r="J22">
        <f>SUM(L22:Q22)</f>
        <v>4.8311328291546296</v>
      </c>
      <c r="K22">
        <f>0.5*SIN(RADIANS(60))*((L22*M22)+(M22*N22)+(N22*O22)+(O22*P22)+(P22*Q22)+(Q22*L22))</f>
        <v>1.6728818652037831</v>
      </c>
      <c r="L22">
        <f>(MAX(D:D)-D22)/(MAX(D:D)-MIN(D:D))</f>
        <v>0.66682498830648329</v>
      </c>
      <c r="M22">
        <f>(MAX(E:E)-E22)/(MAX(E:E)-MIN(E:E))</f>
        <v>0.92593561851219064</v>
      </c>
      <c r="N22">
        <f>(MAX(F:F)-F22)/(MAX(F:F)-MIN(F:F))</f>
        <v>0.83627519673193684</v>
      </c>
      <c r="O22">
        <f>(MAX(G:G)-G22)/(MAX(G:G)-MIN(G:G))</f>
        <v>0.94284433002326395</v>
      </c>
      <c r="P22">
        <f>(MAX(H:H)-H22)/(MAX(H:H)-MIN(H:H))</f>
        <v>0.66086423907217873</v>
      </c>
      <c r="Q22">
        <f>(MAX(I:I)-I22)/(MAX(I:I)-MIN(I:I))</f>
        <v>0.79838845650857559</v>
      </c>
    </row>
    <row r="23" spans="1:17" x14ac:dyDescent="0.6">
      <c r="A23">
        <v>90</v>
      </c>
      <c r="B23" s="31" t="s">
        <v>572</v>
      </c>
      <c r="C23" s="31" t="s">
        <v>167</v>
      </c>
      <c r="D23" s="31">
        <v>6.8398844529999998</v>
      </c>
      <c r="E23">
        <v>0.28932572200000001</v>
      </c>
      <c r="F23" s="31">
        <v>5.4799766630000004</v>
      </c>
      <c r="G23" s="31">
        <v>0.42762056700000001</v>
      </c>
      <c r="H23" s="31">
        <v>4.675554934</v>
      </c>
      <c r="I23" s="31">
        <v>0.36497143199999998</v>
      </c>
      <c r="J23">
        <f>SUM(L23:Q23)</f>
        <v>4.8189033359887468</v>
      </c>
      <c r="K23">
        <f>0.5*SIN(RADIANS(60))*((L23*M23)+(M23*N23)+(N23*O23)+(O23*P23)+(P23*Q23)+(Q23*L23))</f>
        <v>1.6791959106057912</v>
      </c>
      <c r="L23">
        <f>(MAX(D:D)-D23)/(MAX(D:D)-MIN(D:D))</f>
        <v>0.901080575265369</v>
      </c>
      <c r="M23">
        <f>(MAX(E:E)-E23)/(MAX(E:E)-MIN(E:E))</f>
        <v>0.8971710760127376</v>
      </c>
      <c r="N23">
        <f>(MAX(F:F)-F23)/(MAX(F:F)-MIN(F:F))</f>
        <v>0.88719084638056156</v>
      </c>
      <c r="O23">
        <f>(MAX(G:G)-G23)/(MAX(G:G)-MIN(G:G))</f>
        <v>0.76925219292132463</v>
      </c>
      <c r="P23">
        <f>(MAX(H:H)-H23)/(MAX(H:H)-MIN(H:H))</f>
        <v>0.74988472686874275</v>
      </c>
      <c r="Q23">
        <f>(MAX(I:I)-I23)/(MAX(I:I)-MIN(I:I))</f>
        <v>0.61432391854001078</v>
      </c>
    </row>
    <row r="24" spans="1:17" x14ac:dyDescent="0.6">
      <c r="A24">
        <v>90</v>
      </c>
      <c r="B24" s="31" t="s">
        <v>571</v>
      </c>
      <c r="C24" s="31" t="s">
        <v>8</v>
      </c>
      <c r="D24" s="31">
        <v>6.7679713440000002</v>
      </c>
      <c r="E24">
        <v>0.28411497299999999</v>
      </c>
      <c r="F24" s="31">
        <v>5.5103630299999997</v>
      </c>
      <c r="G24" s="31">
        <v>0.42983443100000002</v>
      </c>
      <c r="H24" s="31">
        <v>4.7645670569999998</v>
      </c>
      <c r="I24" s="31">
        <v>0.36794501200000002</v>
      </c>
      <c r="J24">
        <f>SUM(L24:Q24)</f>
        <v>4.7686455273920796</v>
      </c>
      <c r="K24">
        <f>0.5*SIN(RADIANS(60))*((L24*M24)+(M24*N24)+(N24*O24)+(O24*P24)+(P24*Q24)+(Q24*L24))</f>
        <v>1.6505246967672211</v>
      </c>
      <c r="L24">
        <f>(MAX(D:D)-D24)/(MAX(D:D)-MIN(D:D))</f>
        <v>0.93745883622483916</v>
      </c>
      <c r="M24">
        <f>(MAX(E:E)-E24)/(MAX(E:E)-MIN(E:E))</f>
        <v>0.92739922202776059</v>
      </c>
      <c r="N24">
        <f>(MAX(F:F)-F24)/(MAX(F:F)-MIN(F:F))</f>
        <v>0.86853741302382337</v>
      </c>
      <c r="O24">
        <f>(MAX(G:G)-G24)/(MAX(G:G)-MIN(G:G))</f>
        <v>0.75236286253317097</v>
      </c>
      <c r="P24">
        <f>(MAX(H:H)-H24)/(MAX(H:H)-MIN(H:H))</f>
        <v>0.69225398956874351</v>
      </c>
      <c r="Q24">
        <f>(MAX(I:I)-I24)/(MAX(I:I)-MIN(I:I))</f>
        <v>0.59063320401374197</v>
      </c>
    </row>
    <row r="25" spans="1:17" x14ac:dyDescent="0.6">
      <c r="A25">
        <v>90</v>
      </c>
      <c r="B25" t="s">
        <v>92</v>
      </c>
      <c r="C25" t="s">
        <v>184</v>
      </c>
      <c r="D25">
        <v>7.4781059670000003</v>
      </c>
      <c r="E25">
        <v>0.29729077799999998</v>
      </c>
      <c r="F25" s="13">
        <v>5.7601468860000002</v>
      </c>
      <c r="G25" s="13">
        <v>0.41881793499999997</v>
      </c>
      <c r="H25">
        <v>4.5025024409999999</v>
      </c>
      <c r="I25" s="13">
        <v>0.32638429499999999</v>
      </c>
      <c r="J25">
        <f>SUM(L25:Q25)</f>
        <v>4.7644774723023557</v>
      </c>
      <c r="K25">
        <f>0.5*SIN(RADIANS(60))*((L25*M25)+(M25*N25)+(N25*O25)+(O25*P25)+(P25*Q25)+(Q25*L25))</f>
        <v>1.622604972942715</v>
      </c>
      <c r="L25">
        <f>(MAX(D:D)-D25)/(MAX(D:D)-MIN(D:D))</f>
        <v>0.5782272164119735</v>
      </c>
      <c r="M25">
        <f>(MAX(E:E)-E25)/(MAX(E:E)-MIN(E:E))</f>
        <v>0.8509648826639824</v>
      </c>
      <c r="N25">
        <f>(MAX(F:F)-F25)/(MAX(F:F)-MIN(F:F))</f>
        <v>0.71520132939509595</v>
      </c>
      <c r="O25">
        <f>(MAX(G:G)-G25)/(MAX(G:G)-MIN(G:G))</f>
        <v>0.83640652585836783</v>
      </c>
      <c r="P25">
        <f>(MAX(H:H)-H25)/(MAX(H:H)-MIN(H:H))</f>
        <v>0.86192724902264084</v>
      </c>
      <c r="Q25">
        <f>(MAX(I:I)-I25)/(MAX(I:I)-MIN(I:I))</f>
        <v>0.9217502689502951</v>
      </c>
    </row>
    <row r="26" spans="1:17" x14ac:dyDescent="0.6">
      <c r="A26">
        <v>90</v>
      </c>
      <c r="B26" t="s">
        <v>99</v>
      </c>
      <c r="C26" t="s">
        <v>167</v>
      </c>
      <c r="D26">
        <v>7.3829863180000004</v>
      </c>
      <c r="E26">
        <v>0.28935656500000001</v>
      </c>
      <c r="F26" s="13">
        <v>5.6978801570000002</v>
      </c>
      <c r="G26" s="13">
        <v>0.41419384300000001</v>
      </c>
      <c r="H26">
        <v>4.5984497070000003</v>
      </c>
      <c r="I26">
        <v>0.34079479200000001</v>
      </c>
      <c r="J26">
        <f>SUM(L26:Q26)</f>
        <v>4.7551927574317716</v>
      </c>
      <c r="K26">
        <f>0.5*SIN(RADIANS(60))*((L26*M26)+(M26*N26)+(N26*O26)+(O26*P26)+(P26*Q26)+(Q26*L26))</f>
        <v>1.6205018347692672</v>
      </c>
      <c r="L26">
        <f>(MAX(D:D)-D26)/(MAX(D:D)-MIN(D:D))</f>
        <v>0.62634483309984657</v>
      </c>
      <c r="M26">
        <f>(MAX(E:E)-E26)/(MAX(E:E)-MIN(E:E))</f>
        <v>0.89699215227115237</v>
      </c>
      <c r="N26">
        <f>(MAX(F:F)-F26)/(MAX(F:F)-MIN(F:F))</f>
        <v>0.75342532240299998</v>
      </c>
      <c r="O26">
        <f>(MAX(G:G)-G26)/(MAX(G:G)-MIN(G:G))</f>
        <v>0.87168322647467367</v>
      </c>
      <c r="P26">
        <f>(MAX(H:H)-H26)/(MAX(H:H)-MIN(H:H))</f>
        <v>0.79980636598854904</v>
      </c>
      <c r="Q26">
        <f>(MAX(I:I)-I26)/(MAX(I:I)-MIN(I:I))</f>
        <v>0.80694085719454967</v>
      </c>
    </row>
    <row r="27" spans="1:17" x14ac:dyDescent="0.6">
      <c r="A27">
        <v>90</v>
      </c>
      <c r="B27" t="s">
        <v>6</v>
      </c>
      <c r="C27" t="s">
        <v>171</v>
      </c>
      <c r="D27">
        <v>7.374923216</v>
      </c>
      <c r="E27">
        <v>0.289606629</v>
      </c>
      <c r="F27">
        <v>5.6479124299999999</v>
      </c>
      <c r="G27">
        <v>0.41086609000000002</v>
      </c>
      <c r="H27">
        <v>4.65625</v>
      </c>
      <c r="I27">
        <v>0.34347582799999998</v>
      </c>
      <c r="J27">
        <f>SUM(L27:Q27)</f>
        <v>4.755099262515107</v>
      </c>
      <c r="K27">
        <f>0.5*SIN(RADIANS(60))*((L27*M27)+(M27*N27)+(N27*O27)+(O27*P27)+(P27*Q27)+(Q27*L27))</f>
        <v>1.6230314961421806</v>
      </c>
      <c r="L27">
        <f>(MAX(D:D)-D27)/(MAX(D:D)-MIN(D:D))</f>
        <v>0.63042366702564501</v>
      </c>
      <c r="M27">
        <f>(MAX(E:E)-E27)/(MAX(E:E)-MIN(E:E))</f>
        <v>0.89554150264187637</v>
      </c>
      <c r="N27">
        <f>(MAX(F:F)-F27)/(MAX(F:F)-MIN(F:F))</f>
        <v>0.78409926462130508</v>
      </c>
      <c r="O27">
        <f>(MAX(G:G)-G27)/(MAX(G:G)-MIN(G:G))</f>
        <v>0.89707029626178314</v>
      </c>
      <c r="P27">
        <f>(MAX(H:H)-H27)/(MAX(H:H)-MIN(H:H))</f>
        <v>0.76238367130969076</v>
      </c>
      <c r="Q27">
        <f>(MAX(I:I)-I27)/(MAX(I:I)-MIN(I:I))</f>
        <v>0.78558086065480692</v>
      </c>
    </row>
    <row r="28" spans="1:17" x14ac:dyDescent="0.6">
      <c r="A28">
        <v>90</v>
      </c>
      <c r="B28" s="31" t="s">
        <v>572</v>
      </c>
      <c r="C28" s="31" t="s">
        <v>7</v>
      </c>
      <c r="D28" s="31">
        <v>6.8952972560000001</v>
      </c>
      <c r="E28">
        <v>0.29414884299999999</v>
      </c>
      <c r="F28" s="31">
        <v>5.4980383789999996</v>
      </c>
      <c r="G28" s="31">
        <v>0.42901898999999999</v>
      </c>
      <c r="H28" s="31">
        <v>4.7074220499999999</v>
      </c>
      <c r="I28" s="31">
        <v>0.36554136799999998</v>
      </c>
      <c r="J28">
        <f>SUM(L28:Q28)</f>
        <v>4.7159634343585406</v>
      </c>
      <c r="K28">
        <f>0.5*SIN(RADIANS(60))*((L28*M28)+(M28*N28)+(N28*O28)+(O28*P28)+(P28*Q28)+(Q28*L28))</f>
        <v>1.6087296427946665</v>
      </c>
      <c r="L28">
        <f>(MAX(D:D)-D28)/(MAX(D:D)-MIN(D:D))</f>
        <v>0.8730492269331791</v>
      </c>
      <c r="M28">
        <f>(MAX(E:E)-E28)/(MAX(E:E)-MIN(E:E))</f>
        <v>0.8691916039951596</v>
      </c>
      <c r="N28">
        <f>(MAX(F:F)-F28)/(MAX(F:F)-MIN(F:F))</f>
        <v>0.87610320909525119</v>
      </c>
      <c r="O28">
        <f>(MAX(G:G)-G28)/(MAX(G:G)-MIN(G:G))</f>
        <v>0.75858377423373025</v>
      </c>
      <c r="P28">
        <f>(MAX(H:H)-H28)/(MAX(H:H)-MIN(H:H))</f>
        <v>0.72925242051756634</v>
      </c>
      <c r="Q28">
        <f>(MAX(I:I)-I28)/(MAX(I:I)-MIN(I:I))</f>
        <v>0.60978319958365401</v>
      </c>
    </row>
    <row r="29" spans="1:17" x14ac:dyDescent="0.6">
      <c r="A29">
        <v>90</v>
      </c>
      <c r="B29" t="s">
        <v>6</v>
      </c>
      <c r="C29" t="s">
        <v>7</v>
      </c>
      <c r="D29">
        <v>7.3646177140000004</v>
      </c>
      <c r="E29">
        <v>0.288588703</v>
      </c>
      <c r="F29">
        <v>5.6495085420000004</v>
      </c>
      <c r="G29">
        <v>0.41088423899999998</v>
      </c>
      <c r="H29">
        <v>4.745117188</v>
      </c>
      <c r="I29">
        <v>0.34456918399999997</v>
      </c>
      <c r="J29">
        <f>SUM(L29:Q29)</f>
        <v>4.6988515390021339</v>
      </c>
      <c r="K29">
        <f>0.5*SIN(RADIANS(60))*((L29*M29)+(M29*N29)+(N29*O29)+(O29*P29)+(P29*Q29)+(Q29*L29))</f>
        <v>1.5826262964181053</v>
      </c>
      <c r="L29">
        <f>(MAX(D:D)-D29)/(MAX(D:D)-MIN(D:D))</f>
        <v>0.63563685063413466</v>
      </c>
      <c r="M29">
        <f>(MAX(E:E)-E29)/(MAX(E:E)-MIN(E:E))</f>
        <v>0.90144660683332534</v>
      </c>
      <c r="N29">
        <f>(MAX(F:F)-F29)/(MAX(F:F)-MIN(F:F))</f>
        <v>0.78311945124572457</v>
      </c>
      <c r="O29">
        <f>(MAX(G:G)-G29)/(MAX(G:G)-MIN(G:G))</f>
        <v>0.89693183949243593</v>
      </c>
      <c r="P29">
        <f>(MAX(H:H)-H29)/(MAX(H:H)-MIN(H:H))</f>
        <v>0.70484677191209233</v>
      </c>
      <c r="Q29">
        <f>(MAX(I:I)-I29)/(MAX(I:I)-MIN(I:I))</f>
        <v>0.77687001888442153</v>
      </c>
    </row>
    <row r="30" spans="1:17" x14ac:dyDescent="0.6">
      <c r="A30">
        <v>90</v>
      </c>
      <c r="B30" s="31" t="s">
        <v>572</v>
      </c>
      <c r="C30" t="s">
        <v>174</v>
      </c>
      <c r="D30" s="31">
        <v>6.8768060269999998</v>
      </c>
      <c r="E30">
        <v>0.29199233600000002</v>
      </c>
      <c r="F30" s="31">
        <v>5.4803388420000001</v>
      </c>
      <c r="G30" s="31">
        <v>0.42755962400000003</v>
      </c>
      <c r="H30" s="31">
        <v>4.7489087970000003</v>
      </c>
      <c r="I30" s="31">
        <v>0.37088243799999998</v>
      </c>
      <c r="J30">
        <f>SUM(L30:Q30)</f>
        <v>4.6904130884314847</v>
      </c>
      <c r="K30">
        <f>0.5*SIN(RADIANS(60))*((L30*M30)+(M30*N30)+(N30*O30)+(O30*P30)+(P30*Q30)+(Q30*L30))</f>
        <v>1.5945087950064376</v>
      </c>
      <c r="L30">
        <f>(MAX(D:D)-D30)/(MAX(D:D)-MIN(D:D))</f>
        <v>0.88240327605408886</v>
      </c>
      <c r="M30">
        <f>(MAX(E:E)-E30)/(MAX(E:E)-MIN(E:E))</f>
        <v>0.88170174571920312</v>
      </c>
      <c r="N30">
        <f>(MAX(F:F)-F30)/(MAX(F:F)-MIN(F:F))</f>
        <v>0.88696851371934859</v>
      </c>
      <c r="O30">
        <f>(MAX(G:G)-G30)/(MAX(G:G)-MIN(G:G))</f>
        <v>0.76971712051481955</v>
      </c>
      <c r="P30">
        <f>(MAX(H:H)-H30)/(MAX(H:H)-MIN(H:H))</f>
        <v>0.70239190155445197</v>
      </c>
      <c r="Q30">
        <f>(MAX(I:I)-I30)/(MAX(I:I)-MIN(I:I))</f>
        <v>0.56723053086957298</v>
      </c>
    </row>
    <row r="31" spans="1:17" x14ac:dyDescent="0.6">
      <c r="A31">
        <v>90</v>
      </c>
      <c r="B31" s="31" t="s">
        <v>572</v>
      </c>
      <c r="C31" s="31" t="s">
        <v>177</v>
      </c>
      <c r="D31" s="31">
        <v>6.9219417979999998</v>
      </c>
      <c r="E31">
        <v>0.295253665</v>
      </c>
      <c r="F31" s="31">
        <v>5.5286370070000004</v>
      </c>
      <c r="G31" s="31">
        <v>0.43111237600000002</v>
      </c>
      <c r="H31" s="31">
        <v>4.6853598209999996</v>
      </c>
      <c r="I31" s="31">
        <v>0.36443366199999999</v>
      </c>
      <c r="J31">
        <f>SUM(L31:Q31)</f>
        <v>4.6844310865613004</v>
      </c>
      <c r="K31">
        <f>0.5*SIN(RADIANS(60))*((L31*M31)+(M31*N31)+(N31*O31)+(O31*P31)+(P31*Q31)+(Q31*L31))</f>
        <v>1.585612677846397</v>
      </c>
      <c r="L31">
        <f>(MAX(D:D)-D31)/(MAX(D:D)-MIN(D:D))</f>
        <v>0.85957070937914648</v>
      </c>
      <c r="M31">
        <f>(MAX(E:E)-E31)/(MAX(E:E)-MIN(E:E))</f>
        <v>0.86278240625091784</v>
      </c>
      <c r="N31">
        <f>(MAX(F:F)-F31)/(MAX(F:F)-MIN(F:F))</f>
        <v>0.85731947400096864</v>
      </c>
      <c r="O31">
        <f>(MAX(G:G)-G31)/(MAX(G:G)-MIN(G:G))</f>
        <v>0.74261355755197567</v>
      </c>
      <c r="P31">
        <f>(MAX(H:H)-H31)/(MAX(H:H)-MIN(H:H))</f>
        <v>0.74353657059621847</v>
      </c>
      <c r="Q31">
        <f>(MAX(I:I)-I31)/(MAX(I:I)-MIN(I:I))</f>
        <v>0.61860836878207293</v>
      </c>
    </row>
    <row r="32" spans="1:17" x14ac:dyDescent="0.6">
      <c r="A32">
        <v>90</v>
      </c>
      <c r="B32" s="31" t="s">
        <v>571</v>
      </c>
      <c r="C32" s="31" t="s">
        <v>177</v>
      </c>
      <c r="D32" s="31">
        <v>6.8788207400000001</v>
      </c>
      <c r="E32">
        <v>0.29519173900000001</v>
      </c>
      <c r="F32" s="31">
        <v>5.5390920929999998</v>
      </c>
      <c r="G32" s="31">
        <v>0.43219390000000002</v>
      </c>
      <c r="H32" s="31">
        <v>4.6995849610000002</v>
      </c>
      <c r="I32" s="31">
        <v>0.36687409500000001</v>
      </c>
      <c r="J32">
        <f>SUM(L32:Q32)</f>
        <v>4.6632816378908366</v>
      </c>
      <c r="K32">
        <f>0.5*SIN(RADIANS(60))*((L32*M32)+(M32*N32)+(N32*O32)+(O32*P32)+(P32*Q32)+(Q32*L32))</f>
        <v>1.5707179403224114</v>
      </c>
      <c r="L32">
        <f>(MAX(D:D)-D32)/(MAX(D:D)-MIN(D:D))</f>
        <v>0.88138410505325715</v>
      </c>
      <c r="M32">
        <f>(MAX(E:E)-E32)/(MAX(E:E)-MIN(E:E))</f>
        <v>0.86314164600131194</v>
      </c>
      <c r="N32">
        <f>(MAX(F:F)-F32)/(MAX(F:F)-MIN(F:F))</f>
        <v>0.8509013572863261</v>
      </c>
      <c r="O32">
        <f>(MAX(G:G)-G32)/(MAX(G:G)-MIN(G:G))</f>
        <v>0.73436272725764973</v>
      </c>
      <c r="P32">
        <f>(MAX(H:H)-H32)/(MAX(H:H)-MIN(H:H))</f>
        <v>0.73432652955050892</v>
      </c>
      <c r="Q32">
        <f>(MAX(I:I)-I32)/(MAX(I:I)-MIN(I:I))</f>
        <v>0.59916527274178288</v>
      </c>
    </row>
    <row r="33" spans="1:17" x14ac:dyDescent="0.6">
      <c r="A33">
        <v>90</v>
      </c>
      <c r="B33" t="s">
        <v>99</v>
      </c>
      <c r="C33" t="s">
        <v>184</v>
      </c>
      <c r="D33" s="13">
        <v>7.4856228089999997</v>
      </c>
      <c r="E33">
        <v>0.29739613100000001</v>
      </c>
      <c r="F33" s="13">
        <v>5.7703765450000004</v>
      </c>
      <c r="G33" s="13">
        <v>0.41945157399999999</v>
      </c>
      <c r="H33">
        <v>4.584960938</v>
      </c>
      <c r="I33" s="13">
        <v>0.33184570600000002</v>
      </c>
      <c r="J33">
        <f>SUM(L33:Q33)</f>
        <v>4.6520510727946522</v>
      </c>
      <c r="K33">
        <f>0.5*SIN(RADIANS(60))*((L33*M33)+(M33*N33)+(N33*O33)+(O33*P33)+(P33*Q33)+(Q33*L33))</f>
        <v>1.5448812621624866</v>
      </c>
      <c r="L33">
        <f>(MAX(D:D)-D33)/(MAX(D:D)-MIN(D:D))</f>
        <v>0.57442471581549559</v>
      </c>
      <c r="M33">
        <f>(MAX(E:E)-E33)/(MAX(E:E)-MIN(E:E))</f>
        <v>0.8503537179605738</v>
      </c>
      <c r="N33">
        <f>(MAX(F:F)-F33)/(MAX(F:F)-MIN(F:F))</f>
        <v>0.70892159669724952</v>
      </c>
      <c r="O33">
        <f>(MAX(G:G)-G33)/(MAX(G:G)-MIN(G:G))</f>
        <v>0.83157256206573205</v>
      </c>
      <c r="P33">
        <f>(MAX(H:H)-H33)/(MAX(H:H)-MIN(H:H))</f>
        <v>0.80853964496830544</v>
      </c>
      <c r="Q33">
        <f>(MAX(I:I)-I33)/(MAX(I:I)-MIN(I:I))</f>
        <v>0.87823883528729518</v>
      </c>
    </row>
    <row r="34" spans="1:17" x14ac:dyDescent="0.6">
      <c r="A34">
        <v>90</v>
      </c>
      <c r="B34" t="s">
        <v>6</v>
      </c>
      <c r="C34" t="s">
        <v>184</v>
      </c>
      <c r="D34">
        <v>7.5520015169999999</v>
      </c>
      <c r="E34">
        <v>0.30249248899999998</v>
      </c>
      <c r="F34">
        <v>5.7659092730000001</v>
      </c>
      <c r="G34">
        <v>0.41896272099999998</v>
      </c>
      <c r="H34">
        <v>4.5360717770000001</v>
      </c>
      <c r="I34">
        <v>0.33432555000000003</v>
      </c>
      <c r="J34">
        <f>SUM(L34:Q34)</f>
        <v>4.6072757820302321</v>
      </c>
      <c r="K34">
        <f>0.5*SIN(RADIANS(60))*((L34*M34)+(M34*N34)+(N34*O34)+(O34*P34)+(P34*Q34)+(Q34*L34))</f>
        <v>1.5198366731430797</v>
      </c>
      <c r="L34">
        <f>(MAX(D:D)-D34)/(MAX(D:D)-MIN(D:D))</f>
        <v>0.54084610969826463</v>
      </c>
      <c r="M34">
        <f>(MAX(E:E)-E34)/(MAX(E:E)-MIN(E:E))</f>
        <v>0.82078916711215855</v>
      </c>
      <c r="N34">
        <f>(MAX(F:F)-F34)/(MAX(F:F)-MIN(F:F))</f>
        <v>0.71166394363653407</v>
      </c>
      <c r="O34">
        <f>(MAX(G:G)-G34)/(MAX(G:G)-MIN(G:G))</f>
        <v>0.83530196903392895</v>
      </c>
      <c r="P34">
        <f>(MAX(H:H)-H34)/(MAX(H:H)-MIN(H:H))</f>
        <v>0.84019284342542311</v>
      </c>
      <c r="Q34">
        <f>(MAX(I:I)-I34)/(MAX(I:I)-MIN(I:I))</f>
        <v>0.85848174912392305</v>
      </c>
    </row>
    <row r="35" spans="1:17" x14ac:dyDescent="0.6">
      <c r="A35">
        <v>90</v>
      </c>
      <c r="B35" s="31" t="s">
        <v>572</v>
      </c>
      <c r="C35" s="31" t="s">
        <v>184</v>
      </c>
      <c r="D35" s="31">
        <v>6.9196035849999999</v>
      </c>
      <c r="E35">
        <v>0.297287093</v>
      </c>
      <c r="F35" s="31">
        <v>5.4852146399999997</v>
      </c>
      <c r="G35" s="31">
        <v>0.428226777</v>
      </c>
      <c r="H35" s="31">
        <v>4.7751151690000002</v>
      </c>
      <c r="I35" s="31">
        <v>0.37323129500000002</v>
      </c>
      <c r="J35">
        <f>SUM(L35:Q35)</f>
        <v>4.5942843127408244</v>
      </c>
      <c r="K35">
        <f>0.5*SIN(RADIANS(60))*((L35*M35)+(M35*N35)+(N35*O35)+(O35*P35)+(P35*Q35)+(Q35*L35))</f>
        <v>1.529769686301957</v>
      </c>
      <c r="L35">
        <f>(MAX(D:D)-D35)/(MAX(D:D)-MIN(D:D))</f>
        <v>0.86075352741991318</v>
      </c>
      <c r="M35">
        <f>(MAX(E:E)-E35)/(MAX(E:E)-MIN(E:E))</f>
        <v>0.85098625976697939</v>
      </c>
      <c r="N35">
        <f>(MAX(F:F)-F35)/(MAX(F:F)-MIN(F:F))</f>
        <v>0.88397538285069577</v>
      </c>
      <c r="O35">
        <f>(MAX(G:G)-G35)/(MAX(G:G)-MIN(G:G))</f>
        <v>0.76462748202011188</v>
      </c>
      <c r="P35">
        <f>(MAX(H:H)-H35)/(MAX(H:H)-MIN(H:H))</f>
        <v>0.6854246336204195</v>
      </c>
      <c r="Q35">
        <f>(MAX(I:I)-I35)/(MAX(I:I)-MIN(I:I))</f>
        <v>0.54851702706270433</v>
      </c>
    </row>
    <row r="36" spans="1:17" x14ac:dyDescent="0.6">
      <c r="A36">
        <v>90</v>
      </c>
      <c r="B36" t="s">
        <v>92</v>
      </c>
      <c r="C36" t="s">
        <v>177</v>
      </c>
      <c r="D36">
        <v>7.567043913</v>
      </c>
      <c r="E36">
        <v>0.303448412</v>
      </c>
      <c r="F36" s="13">
        <v>5.8278214960000003</v>
      </c>
      <c r="G36" s="13">
        <v>0.42337012699999998</v>
      </c>
      <c r="H36">
        <v>4.5177001949999998</v>
      </c>
      <c r="I36" s="13">
        <v>0.33029998199999999</v>
      </c>
      <c r="J36">
        <f>SUM(L36:Q36)</f>
        <v>4.5664575809656895</v>
      </c>
      <c r="K36">
        <f>0.5*SIN(RADIANS(60))*((L36*M36)+(M36*N36)+(N36*O36)+(O36*P36)+(P36*Q36)+(Q36*L36))</f>
        <v>1.489899454887355</v>
      </c>
      <c r="L36">
        <f>(MAX(D:D)-D36)/(MAX(D:D)-MIN(D:D))</f>
        <v>0.53323670141717217</v>
      </c>
      <c r="M36">
        <f>(MAX(E:E)-E36)/(MAX(E:E)-MIN(E:E))</f>
        <v>0.81524374935683785</v>
      </c>
      <c r="N36">
        <f>(MAX(F:F)-F36)/(MAX(F:F)-MIN(F:F))</f>
        <v>0.67365757302638374</v>
      </c>
      <c r="O36">
        <f>(MAX(G:G)-G36)/(MAX(G:G)-MIN(G:G))</f>
        <v>0.80167834261029569</v>
      </c>
      <c r="P36">
        <f>(MAX(H:H)-H36)/(MAX(H:H)-MIN(H:H))</f>
        <v>0.85208749080988577</v>
      </c>
      <c r="Q36">
        <f>(MAX(I:I)-I36)/(MAX(I:I)-MIN(I:I))</f>
        <v>0.89055372374511454</v>
      </c>
    </row>
    <row r="37" spans="1:17" x14ac:dyDescent="0.6">
      <c r="A37">
        <v>90</v>
      </c>
      <c r="B37" t="s">
        <v>9</v>
      </c>
      <c r="C37" t="s">
        <v>184</v>
      </c>
      <c r="D37" s="13">
        <v>7.3784115960000003</v>
      </c>
      <c r="E37">
        <v>0.29007639699999999</v>
      </c>
      <c r="F37" s="13">
        <v>5.6676100639999998</v>
      </c>
      <c r="G37" s="13">
        <v>0.41246891800000002</v>
      </c>
      <c r="H37">
        <v>4.8538208010000004</v>
      </c>
      <c r="I37" s="13">
        <v>0.348343703</v>
      </c>
      <c r="J37">
        <f>SUM(L37:Q37)</f>
        <v>4.5595902017719183</v>
      </c>
      <c r="K37">
        <f>0.5*SIN(RADIANS(60))*((L37*M37)+(M37*N37)+(N37*O37)+(O37*P37)+(P37*Q37)+(Q37*L37))</f>
        <v>1.4888475005289841</v>
      </c>
      <c r="L37">
        <f>(MAX(D:D)-D37)/(MAX(D:D)-MIN(D:D))</f>
        <v>0.62865902077782654</v>
      </c>
      <c r="M37">
        <f>(MAX(E:E)-E37)/(MAX(E:E)-MIN(E:E))</f>
        <v>0.89281632518712184</v>
      </c>
      <c r="N37">
        <f>(MAX(F:F)-F37)/(MAX(F:F)-MIN(F:F))</f>
        <v>0.77200737804913189</v>
      </c>
      <c r="O37">
        <f>(MAX(G:G)-G37)/(MAX(G:G)-MIN(G:G))</f>
        <v>0.88484249380987845</v>
      </c>
      <c r="P37">
        <f>(MAX(H:H)-H37)/(MAX(H:H)-MIN(H:H))</f>
        <v>0.63446681519132275</v>
      </c>
      <c r="Q37">
        <f>(MAX(I:I)-I37)/(MAX(I:I)-MIN(I:I))</f>
        <v>0.74679816875663718</v>
      </c>
    </row>
    <row r="38" spans="1:17" x14ac:dyDescent="0.6">
      <c r="A38">
        <v>90</v>
      </c>
      <c r="B38" s="31" t="s">
        <v>572</v>
      </c>
      <c r="C38" s="31" t="s">
        <v>181</v>
      </c>
      <c r="D38" s="31">
        <v>6.814497233</v>
      </c>
      <c r="E38">
        <v>0.28713995799999997</v>
      </c>
      <c r="F38" s="31">
        <v>5.4348673810000001</v>
      </c>
      <c r="G38" s="31">
        <v>0.424195288</v>
      </c>
      <c r="H38" s="31">
        <v>4.9723695340000003</v>
      </c>
      <c r="I38" s="31">
        <v>0.38639977199999997</v>
      </c>
      <c r="J38">
        <f>SUM(L38:Q38)</f>
        <v>4.5353551147482962</v>
      </c>
      <c r="K38">
        <f>0.5*SIN(RADIANS(60))*((L38*M38)+(M38*N38)+(N38*O38)+(O38*P38)+(P38*Q38)+(Q38*L38))</f>
        <v>1.5103654193107969</v>
      </c>
      <c r="L38">
        <f>(MAX(D:D)-D38)/(MAX(D:D)-MIN(D:D))</f>
        <v>0.91392305874352708</v>
      </c>
      <c r="M38">
        <f>(MAX(E:E)-E38)/(MAX(E:E)-MIN(E:E))</f>
        <v>0.90985094091246344</v>
      </c>
      <c r="N38">
        <f>(MAX(F:F)-F38)/(MAX(F:F)-MIN(F:F))</f>
        <v>0.91488231030441047</v>
      </c>
      <c r="O38">
        <f>(MAX(G:G)-G38)/(MAX(G:G)-MIN(G:G))</f>
        <v>0.79538327807497655</v>
      </c>
      <c r="P38">
        <f>(MAX(H:H)-H38)/(MAX(H:H)-MIN(H:H))</f>
        <v>0.55771265341528276</v>
      </c>
      <c r="Q38">
        <f>(MAX(I:I)-I38)/(MAX(I:I)-MIN(I:I))</f>
        <v>0.44360287329763598</v>
      </c>
    </row>
    <row r="39" spans="1:17" x14ac:dyDescent="0.6">
      <c r="A39">
        <v>90</v>
      </c>
      <c r="B39" t="s">
        <v>9</v>
      </c>
      <c r="C39" t="s">
        <v>167</v>
      </c>
      <c r="D39">
        <v>7.6604377880000003</v>
      </c>
      <c r="E39">
        <v>0.31437827899999998</v>
      </c>
      <c r="F39">
        <v>5.7231328259999996</v>
      </c>
      <c r="G39">
        <v>0.417059393</v>
      </c>
      <c r="H39">
        <v>4.6436157229999999</v>
      </c>
      <c r="I39">
        <v>0.33006569200000002</v>
      </c>
      <c r="J39">
        <f>SUM(L39:Q39)</f>
        <v>4.4885600740607856</v>
      </c>
      <c r="K39">
        <f>0.5*SIN(RADIANS(60))*((L39*M39)+(M39*N39)+(N39*O39)+(O39*P39)+(P39*Q39)+(Q39*L39))</f>
        <v>1.4391213367455671</v>
      </c>
      <c r="L39">
        <f>(MAX(D:D)-D39)/(MAX(D:D)-MIN(D:D))</f>
        <v>0.48599209185973846</v>
      </c>
      <c r="M39">
        <f>(MAX(E:E)-E39)/(MAX(E:E)-MIN(E:E))</f>
        <v>0.75183835109244634</v>
      </c>
      <c r="N39">
        <f>(MAX(F:F)-F39)/(MAX(F:F)-MIN(F:F))</f>
        <v>0.73792333829705969</v>
      </c>
      <c r="O39">
        <f>(MAX(G:G)-G39)/(MAX(G:G)-MIN(G:G))</f>
        <v>0.84982225367156861</v>
      </c>
      <c r="P39">
        <f>(MAX(H:H)-H39)/(MAX(H:H)-MIN(H:H))</f>
        <v>0.77056371099667176</v>
      </c>
      <c r="Q39">
        <f>(MAX(I:I)-I39)/(MAX(I:I)-MIN(I:I))</f>
        <v>0.89242032814330086</v>
      </c>
    </row>
    <row r="40" spans="1:17" x14ac:dyDescent="0.6">
      <c r="A40">
        <v>90</v>
      </c>
      <c r="B40" s="31" t="s">
        <v>571</v>
      </c>
      <c r="C40" s="31" t="s">
        <v>7</v>
      </c>
      <c r="D40" s="31">
        <v>6.876465133</v>
      </c>
      <c r="E40">
        <v>0.29271211899999999</v>
      </c>
      <c r="F40" s="31">
        <v>5.4881536310000003</v>
      </c>
      <c r="G40" s="31">
        <v>0.42857970099999998</v>
      </c>
      <c r="H40" s="31">
        <v>4.9305419920000002</v>
      </c>
      <c r="I40" s="31">
        <v>0.38606707000000001</v>
      </c>
      <c r="J40">
        <f>SUM(L40:Q40)</f>
        <v>4.4352555495756665</v>
      </c>
      <c r="K40">
        <f>0.5*SIN(RADIANS(60))*((L40*M40)+(M40*N40)+(N40*O40)+(O40*P40)+(P40*Q40)+(Q40*L40))</f>
        <v>1.4381055940087994</v>
      </c>
      <c r="L40">
        <f>(MAX(D:D)-D40)/(MAX(D:D)-MIN(D:D))</f>
        <v>0.88257572209437218</v>
      </c>
      <c r="M40">
        <f>(MAX(E:E)-E40)/(MAX(E:E)-MIN(E:E))</f>
        <v>0.87752620288973071</v>
      </c>
      <c r="N40">
        <f>(MAX(F:F)-F40)/(MAX(F:F)-MIN(F:F))</f>
        <v>0.88217120952669936</v>
      </c>
      <c r="O40">
        <f>(MAX(G:G)-G40)/(MAX(G:G)-MIN(G:G))</f>
        <v>0.76193506277579137</v>
      </c>
      <c r="P40">
        <f>(MAX(H:H)-H40)/(MAX(H:H)-MIN(H:H))</f>
        <v>0.58479381948191722</v>
      </c>
      <c r="Q40">
        <f>(MAX(I:I)-I40)/(MAX(I:I)-MIN(I:I))</f>
        <v>0.44625353280715574</v>
      </c>
    </row>
    <row r="41" spans="1:17" x14ac:dyDescent="0.6">
      <c r="A41">
        <v>90</v>
      </c>
      <c r="B41" t="s">
        <v>99</v>
      </c>
      <c r="C41" t="s">
        <v>181</v>
      </c>
      <c r="D41">
        <v>7.6098460560000003</v>
      </c>
      <c r="E41">
        <v>0.30686392699999998</v>
      </c>
      <c r="F41" s="13">
        <v>5.8823024799999999</v>
      </c>
      <c r="G41" s="13">
        <v>0.427302609</v>
      </c>
      <c r="H41">
        <v>4.6994628909999996</v>
      </c>
      <c r="I41" s="13">
        <v>0.33613069499999998</v>
      </c>
      <c r="J41">
        <f>SUM(L41:Q41)</f>
        <v>4.2974111073723984</v>
      </c>
      <c r="K41">
        <f>0.5*SIN(RADIANS(60))*((L41*M41)+(M41*N41)+(N41*O41)+(O41*P41)+(P41*Q41)+(Q41*L41))</f>
        <v>1.3114558328519841</v>
      </c>
      <c r="L41">
        <f>(MAX(D:D)-D41)/(MAX(D:D)-MIN(D:D))</f>
        <v>0.51158463339604709</v>
      </c>
      <c r="M41">
        <f>(MAX(E:E)-E41)/(MAX(E:E)-MIN(E:E))</f>
        <v>0.79542995941291605</v>
      </c>
      <c r="N41">
        <f>(MAX(F:F)-F41)/(MAX(F:F)-MIN(F:F))</f>
        <v>0.64021305482341684</v>
      </c>
      <c r="O41">
        <f>(MAX(G:G)-G41)/(MAX(G:G)-MIN(G:G))</f>
        <v>0.77167786031171393</v>
      </c>
      <c r="P41">
        <f>(MAX(H:H)-H41)/(MAX(H:H)-MIN(H:H))</f>
        <v>0.73440556355020636</v>
      </c>
      <c r="Q41">
        <f>(MAX(I:I)-I41)/(MAX(I:I)-MIN(I:I))</f>
        <v>0.84410003587809823</v>
      </c>
    </row>
    <row r="42" spans="1:17" x14ac:dyDescent="0.6">
      <c r="A42">
        <v>90</v>
      </c>
      <c r="B42" t="s">
        <v>9</v>
      </c>
      <c r="C42" t="s">
        <v>7</v>
      </c>
      <c r="D42">
        <v>7.6237277749999999</v>
      </c>
      <c r="E42">
        <v>0.30664734100000002</v>
      </c>
      <c r="F42" s="13">
        <v>5.9513658500000002</v>
      </c>
      <c r="G42" s="13">
        <v>0.43191930499999998</v>
      </c>
      <c r="H42">
        <v>4.6381225590000001</v>
      </c>
      <c r="I42" s="13">
        <v>0.33464390100000002</v>
      </c>
      <c r="J42">
        <f>SUM(L42:Q42)</f>
        <v>4.2655888006653413</v>
      </c>
      <c r="K42">
        <f>0.5*SIN(RADIANS(60))*((L42*M42)+(M42*N42)+(N42*O42)+(O42*P42)+(P42*Q42)+(Q42*L42))</f>
        <v>1.2917229766857257</v>
      </c>
      <c r="L42">
        <f>(MAX(D:D)-D42)/(MAX(D:D)-MIN(D:D))</f>
        <v>0.50456236995381409</v>
      </c>
      <c r="M42">
        <f>(MAX(E:E)-E42)/(MAX(E:E)-MIN(E:E))</f>
        <v>0.79668639936671326</v>
      </c>
      <c r="N42">
        <f>(MAX(F:F)-F42)/(MAX(F:F)-MIN(F:F))</f>
        <v>0.59781677330391869</v>
      </c>
      <c r="O42">
        <f>(MAX(G:G)-G42)/(MAX(G:G)-MIN(G:G))</f>
        <v>0.73645758298407915</v>
      </c>
      <c r="P42">
        <f>(MAX(H:H)-H42)/(MAX(H:H)-MIN(H:H))</f>
        <v>0.77412025004731089</v>
      </c>
      <c r="Q42">
        <f>(MAX(I:I)-I42)/(MAX(I:I)-MIN(I:I))</f>
        <v>0.85594542500950477</v>
      </c>
    </row>
    <row r="43" spans="1:17" x14ac:dyDescent="0.6">
      <c r="A43">
        <v>90</v>
      </c>
      <c r="B43" s="31" t="s">
        <v>571</v>
      </c>
      <c r="C43" s="31" t="s">
        <v>184</v>
      </c>
      <c r="D43" s="31">
        <v>6.9008881999999998</v>
      </c>
      <c r="E43">
        <v>0.295532134</v>
      </c>
      <c r="F43" s="31">
        <v>5.5647675489999999</v>
      </c>
      <c r="G43" s="31">
        <v>0.43420373899999998</v>
      </c>
      <c r="H43" s="31">
        <v>4.99037679</v>
      </c>
      <c r="I43" s="31">
        <v>0.39044506000000001</v>
      </c>
      <c r="J43">
        <f>SUM(L43:Q43)</f>
        <v>4.2429853377742859</v>
      </c>
      <c r="K43">
        <f>0.5*SIN(RADIANS(60))*((L43*M43)+(M43*N43)+(N43*O43)+(O43*P43)+(P43*Q43)+(Q43*L43))</f>
        <v>1.3182371608088337</v>
      </c>
      <c r="L43">
        <f>(MAX(D:D)-D43)/(MAX(D:D)-MIN(D:D))</f>
        <v>0.8702209690165067</v>
      </c>
      <c r="M43">
        <f>(MAX(E:E)-E43)/(MAX(E:E)-MIN(E:E))</f>
        <v>0.8611669759946039</v>
      </c>
      <c r="N43">
        <f>(MAX(F:F)-F43)/(MAX(F:F)-MIN(F:F))</f>
        <v>0.83513983477855558</v>
      </c>
      <c r="O43">
        <f>(MAX(G:G)-G43)/(MAX(G:G)-MIN(G:G))</f>
        <v>0.71902988165466986</v>
      </c>
      <c r="P43">
        <f>(MAX(H:H)-H43)/(MAX(H:H)-MIN(H:H))</f>
        <v>0.54605388823753476</v>
      </c>
      <c r="Q43">
        <f>(MAX(I:I)-I43)/(MAX(I:I)-MIN(I:I))</f>
        <v>0.41137378809241515</v>
      </c>
    </row>
    <row r="44" spans="1:17" x14ac:dyDescent="0.6">
      <c r="A44">
        <v>90</v>
      </c>
      <c r="B44" t="s">
        <v>92</v>
      </c>
      <c r="C44" t="s">
        <v>8</v>
      </c>
      <c r="D44">
        <v>7.8758290000000004</v>
      </c>
      <c r="E44">
        <v>0.33429999999999999</v>
      </c>
      <c r="F44">
        <v>5.987158</v>
      </c>
      <c r="G44">
        <v>0.43723400000000001</v>
      </c>
      <c r="H44">
        <v>4.4137570000000004</v>
      </c>
      <c r="I44">
        <v>0.31723600000000002</v>
      </c>
      <c r="J44">
        <f>SUM(L44:Q44)</f>
        <v>4.1990814887864429</v>
      </c>
      <c r="K44">
        <f>0.5*SIN(RADIANS(60))*((L44*M44)+(M44*N44)+(N44*O44)+(O44*P44)+(P44*Q44)+(Q44*L44))</f>
        <v>1.2714556710511229</v>
      </c>
      <c r="L44">
        <f>(MAX(D:D)-D44)/(MAX(D:D)-MIN(D:D))</f>
        <v>0.37703340786635658</v>
      </c>
      <c r="M44">
        <f>(MAX(E:E)-E44)/(MAX(E:E)-MIN(E:E))</f>
        <v>0.63627018780948108</v>
      </c>
      <c r="N44">
        <f>(MAX(F:F)-F44)/(MAX(F:F)-MIN(F:F))</f>
        <v>0.57584486449628181</v>
      </c>
      <c r="O44">
        <f>(MAX(G:G)-G44)/(MAX(G:G)-MIN(G:G))</f>
        <v>0.6959123463447604</v>
      </c>
      <c r="P44">
        <f>(MAX(H:H)-H44)/(MAX(H:H)-MIN(H:H))</f>
        <v>0.91938532354630498</v>
      </c>
      <c r="Q44">
        <f>(MAX(I:I)-I44)/(MAX(I:I)-MIN(I:I))</f>
        <v>0.9946353587232587</v>
      </c>
    </row>
    <row r="45" spans="1:17" x14ac:dyDescent="0.6">
      <c r="A45">
        <v>90</v>
      </c>
      <c r="B45" s="31" t="s">
        <v>572</v>
      </c>
      <c r="C45" s="31" t="s">
        <v>171</v>
      </c>
      <c r="D45" s="31">
        <v>6.8675895029999996</v>
      </c>
      <c r="E45">
        <v>0.29206414200000003</v>
      </c>
      <c r="F45" s="31">
        <v>5.4476116479999996</v>
      </c>
      <c r="G45" s="31">
        <v>0.42535359499999997</v>
      </c>
      <c r="H45" s="31">
        <v>5.1657845819999997</v>
      </c>
      <c r="I45" s="31">
        <v>0.40474965099999999</v>
      </c>
      <c r="J45">
        <f>SUM(L45:Q45)</f>
        <v>4.1918509453847133</v>
      </c>
      <c r="K45">
        <f>0.5*SIN(RADIANS(60))*((L45*M45)+(M45*N45)+(N45*O45)+(O45*P45)+(P45*Q45)+(Q45*L45))</f>
        <v>1.3108142389134501</v>
      </c>
      <c r="L45">
        <f>(MAX(D:D)-D45)/(MAX(D:D)-MIN(D:D))</f>
        <v>0.88706558477462039</v>
      </c>
      <c r="M45">
        <f>(MAX(E:E)-E45)/(MAX(E:E)-MIN(E:E))</f>
        <v>0.88128519096810021</v>
      </c>
      <c r="N45">
        <f>(MAX(F:F)-F45)/(MAX(F:F)-MIN(F:F))</f>
        <v>0.90705892242901975</v>
      </c>
      <c r="O45">
        <f>(MAX(G:G)-G45)/(MAX(G:G)-MIN(G:G))</f>
        <v>0.78654667853051019</v>
      </c>
      <c r="P45">
        <f>(MAX(H:H)-H45)/(MAX(H:H)-MIN(H:H))</f>
        <v>0.43248643202570036</v>
      </c>
      <c r="Q45">
        <f>(MAX(I:I)-I45)/(MAX(I:I)-MIN(I:I))</f>
        <v>0.29740813665676202</v>
      </c>
    </row>
    <row r="46" spans="1:17" x14ac:dyDescent="0.6">
      <c r="A46">
        <v>90</v>
      </c>
      <c r="B46" t="s">
        <v>9</v>
      </c>
      <c r="C46" t="s">
        <v>177</v>
      </c>
      <c r="D46">
        <v>7.7585138059999998</v>
      </c>
      <c r="E46">
        <v>0.32037516700000002</v>
      </c>
      <c r="F46" s="13">
        <v>6.0094596129999998</v>
      </c>
      <c r="G46" s="13">
        <v>0.43744283499999997</v>
      </c>
      <c r="H46">
        <v>4.6333618159999999</v>
      </c>
      <c r="I46">
        <v>0.32960342399999998</v>
      </c>
      <c r="J46">
        <f>SUM(L46:Q46)</f>
        <v>4.0832081377224592</v>
      </c>
      <c r="K46">
        <f>0.5*SIN(RADIANS(60))*((L46*M46)+(M46*N46)+(N46*O46)+(O46*P46)+(P46*Q46)+(Q46*L46))</f>
        <v>1.1836115270893417</v>
      </c>
      <c r="L46">
        <f>(MAX(D:D)-D46)/(MAX(D:D)-MIN(D:D))</f>
        <v>0.43637895419564854</v>
      </c>
      <c r="M46">
        <f>(MAX(E:E)-E46)/(MAX(E:E)-MIN(E:E))</f>
        <v>0.71704972356505259</v>
      </c>
      <c r="N46">
        <f>(MAX(F:F)-F46)/(MAX(F:F)-MIN(F:F))</f>
        <v>0.56215446011713144</v>
      </c>
      <c r="O46">
        <f>(MAX(G:G)-G46)/(MAX(G:G)-MIN(G:G))</f>
        <v>0.69431916658683057</v>
      </c>
      <c r="P46">
        <f>(MAX(H:H)-H46)/(MAX(H:H)-MIN(H:H))</f>
        <v>0.77720258445232027</v>
      </c>
      <c r="Q46">
        <f>(MAX(I:I)-I46)/(MAX(I:I)-MIN(I:I))</f>
        <v>0.89610324880547576</v>
      </c>
    </row>
    <row r="47" spans="1:17" x14ac:dyDescent="0.6">
      <c r="A47">
        <v>90</v>
      </c>
      <c r="B47" s="31" t="s">
        <v>571</v>
      </c>
      <c r="C47" s="31" t="s">
        <v>174</v>
      </c>
      <c r="D47" s="31">
        <v>6.9563367449999998</v>
      </c>
      <c r="E47">
        <v>0.29945231</v>
      </c>
      <c r="F47" s="31">
        <v>5.5801243639999996</v>
      </c>
      <c r="G47" s="31">
        <v>0.43547230799999997</v>
      </c>
      <c r="H47" s="31">
        <v>5.1270548500000004</v>
      </c>
      <c r="I47" s="31">
        <v>0.39842523699999999</v>
      </c>
      <c r="J47">
        <f>SUM(L47:Q47)</f>
        <v>4.0210190050799781</v>
      </c>
      <c r="K47">
        <f>0.5*SIN(RADIANS(60))*((L47*M47)+(M47*N47)+(N47*O47)+(O47*P47)+(P47*Q47)+(Q47*L47))</f>
        <v>1.1954317477797072</v>
      </c>
      <c r="L47">
        <f>(MAX(D:D)-D47)/(MAX(D:D)-MIN(D:D))</f>
        <v>0.84217154008925865</v>
      </c>
      <c r="M47">
        <f>(MAX(E:E)-E47)/(MAX(E:E)-MIN(E:E))</f>
        <v>0.83842559034494246</v>
      </c>
      <c r="N47">
        <f>(MAX(F:F)-F47)/(MAX(F:F)-MIN(F:F))</f>
        <v>0.82571266880065974</v>
      </c>
      <c r="O47">
        <f>(MAX(G:G)-G47)/(MAX(G:G)-MIN(G:G))</f>
        <v>0.70935210516922642</v>
      </c>
      <c r="P47">
        <f>(MAX(H:H)-H47)/(MAX(H:H)-MIN(H:H))</f>
        <v>0.45756192663660117</v>
      </c>
      <c r="Q47">
        <f>(MAX(I:I)-I47)/(MAX(I:I)-MIN(I:I))</f>
        <v>0.3477951740392895</v>
      </c>
    </row>
    <row r="48" spans="1:17" x14ac:dyDescent="0.6">
      <c r="A48">
        <v>90</v>
      </c>
      <c r="B48" t="s">
        <v>9</v>
      </c>
      <c r="C48" t="s">
        <v>171</v>
      </c>
      <c r="D48">
        <v>7.6994646800000002</v>
      </c>
      <c r="E48">
        <v>0.31297444299999999</v>
      </c>
      <c r="F48">
        <v>6.0165756430000004</v>
      </c>
      <c r="G48">
        <v>0.43660273199999999</v>
      </c>
      <c r="H48">
        <v>4.694824219</v>
      </c>
      <c r="I48">
        <v>0.34256580199999997</v>
      </c>
      <c r="J48">
        <f>SUM(L48:Q48)</f>
        <v>4.0149862426187886</v>
      </c>
      <c r="K48">
        <f>0.5*SIN(RADIANS(60))*((L48*M48)+(M48*N48)+(N48*O48)+(O48*P48)+(P48*Q48)+(Q48*L48))</f>
        <v>1.1432083934237216</v>
      </c>
      <c r="L48">
        <f>(MAX(D:D)-D48)/(MAX(D:D)-MIN(D:D))</f>
        <v>0.46624978782984228</v>
      </c>
      <c r="M48">
        <f>(MAX(E:E)-E48)/(MAX(E:E)-MIN(E:E))</f>
        <v>0.75998216296846366</v>
      </c>
      <c r="N48">
        <f>(MAX(F:F)-F48)/(MAX(F:F)-MIN(F:F))</f>
        <v>0.55778610665883332</v>
      </c>
      <c r="O48">
        <f>(MAX(G:G)-G48)/(MAX(G:G)-MIN(G:G))</f>
        <v>0.70072822203336149</v>
      </c>
      <c r="P48">
        <f>(MAX(H:H)-H48)/(MAX(H:H)-MIN(H:H))</f>
        <v>0.73740886330807009</v>
      </c>
      <c r="Q48">
        <f>(MAX(I:I)-I48)/(MAX(I:I)-MIN(I:I))</f>
        <v>0.79283109982021782</v>
      </c>
    </row>
    <row r="49" spans="1:17" x14ac:dyDescent="0.6">
      <c r="A49">
        <v>90</v>
      </c>
      <c r="B49" s="31" t="s">
        <v>9</v>
      </c>
      <c r="C49" s="31" t="s">
        <v>174</v>
      </c>
      <c r="D49" s="31">
        <v>7.698632269</v>
      </c>
      <c r="E49">
        <v>0.31373632299999998</v>
      </c>
      <c r="F49" s="31">
        <v>5.9821116830000003</v>
      </c>
      <c r="G49" s="31">
        <v>0.43451663099999999</v>
      </c>
      <c r="H49" s="31">
        <v>4.9730224610000002</v>
      </c>
      <c r="I49" s="31">
        <v>0.35725420099999999</v>
      </c>
      <c r="J49">
        <f>SUM(L49:Q49)</f>
        <v>3.7509163612152037</v>
      </c>
      <c r="K49">
        <f>0.5*SIN(RADIANS(60))*((L49*M49)+(M49*N49)+(N49*O49)+(O49*P49)+(P49*Q49)+(Q49*L49))</f>
        <v>0.99432697095632472</v>
      </c>
      <c r="L49">
        <f>(MAX(D:D)-D49)/(MAX(D:D)-MIN(D:D))</f>
        <v>0.46667087468041274</v>
      </c>
      <c r="M49">
        <f>(MAX(E:E)-E49)/(MAX(E:E)-MIN(E:E))</f>
        <v>0.75556241066684149</v>
      </c>
      <c r="N49">
        <f>(MAX(F:F)-F49)/(MAX(F:F)-MIN(F:F))</f>
        <v>0.57894267272904854</v>
      </c>
      <c r="O49">
        <f>(MAX(G:G)-G49)/(MAX(G:G)-MIN(G:G))</f>
        <v>0.71664286223350826</v>
      </c>
      <c r="P49">
        <f>(MAX(H:H)-H49)/(MAX(H:H)-MIN(H:H))</f>
        <v>0.55728991701551089</v>
      </c>
      <c r="Q49">
        <f>(MAX(I:I)-I49)/(MAX(I:I)-MIN(I:I))</f>
        <v>0.6758076238898818</v>
      </c>
    </row>
    <row r="50" spans="1:17" x14ac:dyDescent="0.6">
      <c r="A50">
        <v>90</v>
      </c>
      <c r="B50" s="31" t="s">
        <v>569</v>
      </c>
      <c r="C50" s="31"/>
      <c r="D50" s="31">
        <v>8.6211544730000007</v>
      </c>
      <c r="E50">
        <v>0.44398070099999998</v>
      </c>
      <c r="F50" s="31">
        <v>6.9252069399999998</v>
      </c>
      <c r="G50" s="31">
        <v>0.52845462600000004</v>
      </c>
      <c r="H50" s="31">
        <v>5.8337707520000004</v>
      </c>
      <c r="I50" s="31">
        <v>0.44207933500000002</v>
      </c>
      <c r="J50">
        <f>SUM(L50:Q50)</f>
        <v>0</v>
      </c>
      <c r="K50">
        <f>0.5*SIN(RADIANS(60))*((L50*M50)+(M50*N50)+(N50*O50)+(O50*P50)+(P50*Q50)+(Q50*L50))</f>
        <v>0</v>
      </c>
      <c r="L50">
        <f>(MAX(D:D)-D50)/(MAX(D:D)-MIN(D:D))</f>
        <v>0</v>
      </c>
      <c r="M50">
        <f>(MAX(E:E)-E50)/(MAX(E:E)-MIN(E:E))</f>
        <v>0</v>
      </c>
      <c r="N50">
        <f>(MAX(F:F)-F50)/(MAX(F:F)-MIN(F:F))</f>
        <v>0</v>
      </c>
      <c r="O50">
        <f>(MAX(G:G)-G50)/(MAX(G:G)-MIN(G:G))</f>
        <v>0</v>
      </c>
      <c r="P50">
        <f>(MAX(H:H)-H50)/(MAX(H:H)-MIN(H:H))</f>
        <v>0</v>
      </c>
      <c r="Q50">
        <f>(MAX(I:I)-I50)/(MAX(I:I)-MIN(I:I))</f>
        <v>0</v>
      </c>
    </row>
  </sheetData>
  <autoFilter ref="A1:P33" xr:uid="{7428AB68-54D6-4E57-B51C-3C52895577F3}">
    <sortState xmlns:xlrd2="http://schemas.microsoft.com/office/spreadsheetml/2017/richdata2" ref="A2:P50">
      <sortCondition descending="1" ref="J1:J33"/>
    </sortState>
  </autoFilter>
  <phoneticPr fontId="1" type="noConversion"/>
  <conditionalFormatting sqref="K1">
    <cfRule type="top10" dxfId="113" priority="7" percent="1" bottom="1" rank="10"/>
  </conditionalFormatting>
  <conditionalFormatting sqref="K1">
    <cfRule type="top10" dxfId="112" priority="8" percent="1" bottom="1" rank="5"/>
  </conditionalFormatting>
  <conditionalFormatting sqref="D1:D1048576">
    <cfRule type="top10" dxfId="111" priority="6" percent="1" bottom="1" rank="5"/>
  </conditionalFormatting>
  <conditionalFormatting sqref="E1:E1048576">
    <cfRule type="top10" dxfId="110" priority="5" percent="1" bottom="1" rank="5"/>
  </conditionalFormatting>
  <conditionalFormatting sqref="F1:F1048576">
    <cfRule type="top10" dxfId="109" priority="4" percent="1" bottom="1" rank="5"/>
  </conditionalFormatting>
  <conditionalFormatting sqref="G1:G1048576">
    <cfRule type="top10" dxfId="108" priority="3" percent="1" bottom="1" rank="5"/>
  </conditionalFormatting>
  <conditionalFormatting sqref="H1:H1048576">
    <cfRule type="top10" dxfId="107" priority="2" percent="1" bottom="1" rank="5"/>
  </conditionalFormatting>
  <conditionalFormatting sqref="I1:I1048576">
    <cfRule type="top10" dxfId="106" priority="1" percent="1" bottom="1" rank="5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A224-0241-42CC-90E8-D5F46600DC6C}">
  <dimension ref="A1:Q295"/>
  <sheetViews>
    <sheetView tabSelected="1" workbookViewId="0">
      <selection activeCell="O9" sqref="O9"/>
    </sheetView>
  </sheetViews>
  <sheetFormatPr defaultRowHeight="16.899999999999999" x14ac:dyDescent="0.6"/>
  <cols>
    <col min="1" max="1" width="8.9375" bestFit="1" customWidth="1"/>
    <col min="2" max="2" width="10.5625" bestFit="1" customWidth="1"/>
    <col min="3" max="3" width="40.1875" bestFit="1" customWidth="1"/>
    <col min="4" max="9" width="6.1875" bestFit="1" customWidth="1"/>
  </cols>
  <sheetData>
    <row r="1" spans="1:17" x14ac:dyDescent="0.6">
      <c r="A1" t="s">
        <v>16</v>
      </c>
      <c r="B1" t="s">
        <v>0</v>
      </c>
      <c r="C1" t="s">
        <v>531</v>
      </c>
      <c r="D1" t="s">
        <v>1</v>
      </c>
      <c r="E1" t="s">
        <v>15</v>
      </c>
      <c r="F1" t="s">
        <v>2</v>
      </c>
      <c r="G1" t="s">
        <v>3</v>
      </c>
      <c r="H1" t="s">
        <v>4</v>
      </c>
      <c r="I1" t="s">
        <v>5</v>
      </c>
      <c r="J1" t="s">
        <v>532</v>
      </c>
      <c r="K1" t="s">
        <v>528</v>
      </c>
    </row>
    <row r="2" spans="1:17" x14ac:dyDescent="0.6">
      <c r="A2">
        <v>20</v>
      </c>
      <c r="B2" t="s">
        <v>99</v>
      </c>
      <c r="C2" t="s">
        <v>177</v>
      </c>
      <c r="D2">
        <v>6.8747985260000002</v>
      </c>
      <c r="E2">
        <v>0.25359787700000003</v>
      </c>
      <c r="F2">
        <v>5.3039641199999998</v>
      </c>
      <c r="G2">
        <v>0.38824872500000002</v>
      </c>
      <c r="H2">
        <v>4.4156494139999998</v>
      </c>
      <c r="I2">
        <v>0.32047466499999999</v>
      </c>
      <c r="J2">
        <f>SUM(L2:Q2)</f>
        <v>5.6636185749681136</v>
      </c>
      <c r="K2">
        <f>0.5*SIN(RADIANS(60))*((L2*M2)+(M2*N2)+(N2*O2)+(O2*P2)+(P2*Q2)+(Q2*L2))</f>
        <v>2.3177495557594585</v>
      </c>
      <c r="L2">
        <f>(MAX(D:D)-D2)/(MAX(D:D)-MIN(D:D))</f>
        <v>0.91760681604337113</v>
      </c>
      <c r="M2">
        <f>(MAX(E:E)-E2)/(MAX(E:E)-MIN(E:E))</f>
        <v>1</v>
      </c>
      <c r="N2">
        <f>(MAX(F:F)-F2)/(MAX(F:F)-MIN(F:F))</f>
        <v>0.99672278175243956</v>
      </c>
      <c r="O2">
        <f>(MAX(G:G)-G2)/(MAX(G:G)-MIN(G:G))</f>
        <v>1</v>
      </c>
      <c r="P2">
        <f>(MAX(H:H)-H2)/(MAX(H:H)-MIN(H:H))</f>
        <v>0.86722592497337736</v>
      </c>
      <c r="Q2">
        <f>(MAX(I:I)-I2)/(MAX(I:I)-MIN(I:I))</f>
        <v>0.88206305219892567</v>
      </c>
    </row>
    <row r="3" spans="1:17" x14ac:dyDescent="0.6">
      <c r="A3">
        <v>20</v>
      </c>
      <c r="B3" t="s">
        <v>6</v>
      </c>
      <c r="C3" t="s">
        <v>167</v>
      </c>
      <c r="D3">
        <v>6.9094331880000004</v>
      </c>
      <c r="E3">
        <v>0.25553018900000002</v>
      </c>
      <c r="F3">
        <v>5.3485276959999997</v>
      </c>
      <c r="G3">
        <v>0.39119348599999998</v>
      </c>
      <c r="H3">
        <v>4.4732055659999999</v>
      </c>
      <c r="I3">
        <v>0.33340449799999999</v>
      </c>
      <c r="J3">
        <f>SUM(L3:Q3)</f>
        <v>5.5287376591780788</v>
      </c>
      <c r="K3">
        <f>0.5*SIN(RADIANS(60))*((L3*M3)+(M3*N3)+(N3*O3)+(O3*P3)+(P3*Q3)+(Q3*L3))</f>
        <v>2.2106489678832366</v>
      </c>
      <c r="L3">
        <f>(MAX(D:D)-D3)/(MAX(D:D)-MIN(D:D))</f>
        <v>0.9052243375383533</v>
      </c>
      <c r="M3">
        <f>(MAX(E:E)-E3)/(MAX(E:E)-MIN(E:E))</f>
        <v>0.99295050697809017</v>
      </c>
      <c r="N3">
        <f>(MAX(F:F)-F3)/(MAX(F:F)-MIN(F:F))</f>
        <v>0.97788587846064545</v>
      </c>
      <c r="O3">
        <f>(MAX(G:G)-G3)/(MAX(G:G)-MIN(G:G))</f>
        <v>0.98495356474612383</v>
      </c>
      <c r="P3">
        <f>(MAX(H:H)-H3)/(MAX(H:H)-MIN(H:H))</f>
        <v>0.84555274652777257</v>
      </c>
      <c r="Q3">
        <f>(MAX(I:I)-I3)/(MAX(I:I)-MIN(I:I))</f>
        <v>0.82217062492709347</v>
      </c>
    </row>
    <row r="4" spans="1:17" x14ac:dyDescent="0.6">
      <c r="A4">
        <v>20</v>
      </c>
      <c r="B4" t="s">
        <v>6</v>
      </c>
      <c r="C4" t="s">
        <v>7</v>
      </c>
      <c r="D4">
        <v>6.9281274880000003</v>
      </c>
      <c r="E4">
        <v>0.25781232100000001</v>
      </c>
      <c r="F4">
        <v>5.3343183730000003</v>
      </c>
      <c r="G4">
        <v>0.39058098600000002</v>
      </c>
      <c r="H4">
        <v>4.3838500979999999</v>
      </c>
      <c r="I4">
        <v>0.31687311299999998</v>
      </c>
      <c r="J4">
        <f>SUM(L4:Q4)</f>
        <v>5.6330869209636898</v>
      </c>
      <c r="K4">
        <f>0.5*SIN(RADIANS(60))*((L4*M4)+(M4*N4)+(N4*O4)+(O4*P4)+(P4*Q4)+(Q4*L4))</f>
        <v>2.2915541467738807</v>
      </c>
      <c r="L4">
        <f>(MAX(D:D)-D4)/(MAX(D:D)-MIN(D:D))</f>
        <v>0.89854080853736717</v>
      </c>
      <c r="M4">
        <f>(MAX(E:E)-E4)/(MAX(E:E)-MIN(E:E))</f>
        <v>0.98462479476956632</v>
      </c>
      <c r="N4">
        <f>(MAX(F:F)-F4)/(MAX(F:F)-MIN(F:F))</f>
        <v>0.98389212093976908</v>
      </c>
      <c r="O4">
        <f>(MAX(G:G)-G4)/(MAX(G:G)-MIN(G:G))</f>
        <v>0.98808317071176877</v>
      </c>
      <c r="P4">
        <f>(MAX(H:H)-H4)/(MAX(H:H)-MIN(H:H))</f>
        <v>0.87920018360894714</v>
      </c>
      <c r="Q4">
        <f>(MAX(I:I)-I4)/(MAX(I:I)-MIN(I:I))</f>
        <v>0.89874584239627175</v>
      </c>
    </row>
    <row r="5" spans="1:17" x14ac:dyDescent="0.6">
      <c r="A5">
        <v>20</v>
      </c>
      <c r="B5" t="s">
        <v>92</v>
      </c>
      <c r="C5" t="s">
        <v>174</v>
      </c>
      <c r="D5">
        <v>6.9285879279999998</v>
      </c>
      <c r="E5">
        <v>0.25792474900000001</v>
      </c>
      <c r="F5">
        <v>5.3191567879999999</v>
      </c>
      <c r="G5">
        <v>0.38953560999999998</v>
      </c>
      <c r="H5">
        <v>4.2520141599999999</v>
      </c>
      <c r="I5">
        <v>0.30999250699999997</v>
      </c>
      <c r="J5">
        <f>SUM(L5:Q5)</f>
        <v>5.7257778113484292</v>
      </c>
      <c r="K5">
        <f>0.5*SIN(RADIANS(60))*((L5*M5)+(M5*N5)+(N5*O5)+(O5*P5)+(P5*Q5)+(Q5*L5))</f>
        <v>2.366774872102674</v>
      </c>
      <c r="L5">
        <f>(MAX(D:D)-D5)/(MAX(D:D)-MIN(D:D))</f>
        <v>0.89837619343580088</v>
      </c>
      <c r="M5">
        <f>(MAX(E:E)-E5)/(MAX(E:E)-MIN(E:E))</f>
        <v>0.98421463305579171</v>
      </c>
      <c r="N5">
        <f>(MAX(F:F)-F5)/(MAX(F:F)-MIN(F:F))</f>
        <v>0.99030088199600308</v>
      </c>
      <c r="O5">
        <f>(MAX(G:G)-G5)/(MAX(G:G)-MIN(G:G))</f>
        <v>0.99342458290106261</v>
      </c>
      <c r="P5">
        <f>(MAX(H:H)-H5)/(MAX(H:H)-MIN(H:H))</f>
        <v>0.92884394384187019</v>
      </c>
      <c r="Q5">
        <f>(MAX(I:I)-I5)/(MAX(I:I)-MIN(I:I))</f>
        <v>0.93061757611790086</v>
      </c>
    </row>
    <row r="6" spans="1:17" x14ac:dyDescent="0.6">
      <c r="A6">
        <v>30</v>
      </c>
      <c r="B6" t="s">
        <v>6</v>
      </c>
      <c r="C6" t="s">
        <v>184</v>
      </c>
      <c r="D6">
        <v>6.9449210900000002</v>
      </c>
      <c r="E6">
        <v>0.258124095</v>
      </c>
      <c r="F6">
        <v>5.3968339939999996</v>
      </c>
      <c r="G6">
        <v>0.39450969600000002</v>
      </c>
      <c r="H6">
        <v>4.5006103519999998</v>
      </c>
      <c r="I6">
        <v>0.329599423</v>
      </c>
      <c r="J6">
        <f>SUM(L6:Q6)</f>
        <v>5.4765297476157482</v>
      </c>
      <c r="K6">
        <f>0.5*SIN(RADIANS(60))*((L6*M6)+(M6*N6)+(N6*O6)+(O6*P6)+(P6*Q6)+(Q6*L6))</f>
        <v>2.1675664498318836</v>
      </c>
      <c r="L6">
        <f>(MAX(D:D)-D6)/(MAX(D:D)-MIN(D:D))</f>
        <v>0.89253681127627593</v>
      </c>
      <c r="M6">
        <f>(MAX(E:E)-E6)/(MAX(E:E)-MIN(E:E))</f>
        <v>0.98348737563776312</v>
      </c>
      <c r="N6">
        <f>(MAX(F:F)-F6)/(MAX(F:F)-MIN(F:F))</f>
        <v>0.95746693668158822</v>
      </c>
      <c r="O6">
        <f>(MAX(G:G)-G6)/(MAX(G:G)-MIN(G:G))</f>
        <v>0.968009188257418</v>
      </c>
      <c r="P6">
        <f>(MAX(H:H)-H6)/(MAX(H:H)-MIN(H:H))</f>
        <v>0.83523327942299452</v>
      </c>
      <c r="Q6">
        <f>(MAX(I:I)-I6)/(MAX(I:I)-MIN(I:I))</f>
        <v>0.8397961563397085</v>
      </c>
    </row>
    <row r="7" spans="1:17" x14ac:dyDescent="0.6">
      <c r="A7">
        <v>20</v>
      </c>
      <c r="B7" t="s">
        <v>6</v>
      </c>
      <c r="C7" t="s">
        <v>171</v>
      </c>
      <c r="D7">
        <v>6.9405278480000003</v>
      </c>
      <c r="E7">
        <v>0.25834558299999999</v>
      </c>
      <c r="F7">
        <v>5.3529685689999997</v>
      </c>
      <c r="G7">
        <v>0.39181845900000001</v>
      </c>
      <c r="H7">
        <v>4.5950927730000002</v>
      </c>
      <c r="I7">
        <v>0.336996778</v>
      </c>
      <c r="J7">
        <f>SUM(L7:Q7)</f>
        <v>5.4397418051800477</v>
      </c>
      <c r="K7">
        <f>0.5*SIN(RADIANS(60))*((L7*M7)+(M7*N7)+(N7*O7)+(O7*P7)+(P7*Q7)+(Q7*L7))</f>
        <v>2.1414118555665849</v>
      </c>
      <c r="L7">
        <f>(MAX(D:D)-D7)/(MAX(D:D)-MIN(D:D))</f>
        <v>0.89410746972913857</v>
      </c>
      <c r="M7">
        <f>(MAX(E:E)-E7)/(MAX(E:E)-MIN(E:E))</f>
        <v>0.982679339404258</v>
      </c>
      <c r="N7">
        <f>(MAX(F:F)-F7)/(MAX(F:F)-MIN(F:F))</f>
        <v>0.97600873343009087</v>
      </c>
      <c r="O7">
        <f>(MAX(G:G)-G7)/(MAX(G:G)-MIN(G:G))</f>
        <v>0.98176022722911604</v>
      </c>
      <c r="P7">
        <f>(MAX(H:H)-H7)/(MAX(H:H)-MIN(H:H))</f>
        <v>0.79965525172048657</v>
      </c>
      <c r="Q7">
        <f>(MAX(I:I)-I7)/(MAX(I:I)-MIN(I:I))</f>
        <v>0.80553078366695829</v>
      </c>
    </row>
    <row r="8" spans="1:17" x14ac:dyDescent="0.6">
      <c r="A8">
        <v>20</v>
      </c>
      <c r="B8" t="s">
        <v>6</v>
      </c>
      <c r="C8" t="s">
        <v>181</v>
      </c>
      <c r="D8">
        <v>6.9435927069999996</v>
      </c>
      <c r="E8">
        <v>0.25917542999999998</v>
      </c>
      <c r="F8">
        <v>5.3097110320000001</v>
      </c>
      <c r="G8">
        <v>0.388974237</v>
      </c>
      <c r="H8">
        <v>4.2913208010000004</v>
      </c>
      <c r="I8">
        <v>0.31725101500000003</v>
      </c>
      <c r="J8">
        <f>SUM(L8:Q8)</f>
        <v>5.674288245091101</v>
      </c>
      <c r="K8">
        <f>0.5*SIN(RADIANS(60))*((L8*M8)+(M8*N8)+(N8*O8)+(O8*P8)+(P8*Q8)+(Q8*L8))</f>
        <v>2.3257474656350938</v>
      </c>
      <c r="L8">
        <f>(MAX(D:D)-D8)/(MAX(D:D)-MIN(D:D))</f>
        <v>0.89301173070652584</v>
      </c>
      <c r="M8">
        <f>(MAX(E:E)-E8)/(MAX(E:E)-MIN(E:E))</f>
        <v>0.97965187767149808</v>
      </c>
      <c r="N8">
        <f>(MAX(F:F)-F8)/(MAX(F:F)-MIN(F:F))</f>
        <v>0.99429357756176928</v>
      </c>
      <c r="O8">
        <f>(MAX(G:G)-G8)/(MAX(G:G)-MIN(G:G))</f>
        <v>0.99629295235371895</v>
      </c>
      <c r="P8">
        <f>(MAX(H:H)-H8)/(MAX(H:H)-MIN(H:H))</f>
        <v>0.91404274857623935</v>
      </c>
      <c r="Q8">
        <f>(MAX(I:I)-I8)/(MAX(I:I)-MIN(I:I))</f>
        <v>0.8969953582213499</v>
      </c>
    </row>
    <row r="9" spans="1:17" x14ac:dyDescent="0.6">
      <c r="A9">
        <v>20</v>
      </c>
      <c r="B9" t="s">
        <v>92</v>
      </c>
      <c r="C9" t="s">
        <v>181</v>
      </c>
      <c r="D9">
        <v>6.9520980259999998</v>
      </c>
      <c r="E9">
        <v>0.2596234</v>
      </c>
      <c r="F9">
        <v>5.3379471389999997</v>
      </c>
      <c r="G9">
        <v>0.39084732300000002</v>
      </c>
      <c r="H9">
        <v>4.4260253909999996</v>
      </c>
      <c r="I9">
        <v>0.32643863699999998</v>
      </c>
      <c r="J9">
        <f>SUM(L9:Q9)</f>
        <v>5.5548251243722913</v>
      </c>
      <c r="K9">
        <f>0.5*SIN(RADIANS(60))*((L9*M9)+(M9*N9)+(N9*O9)+(O9*P9)+(P9*Q9)+(Q9*L9))</f>
        <v>2.2301962572494971</v>
      </c>
      <c r="L9">
        <f>(MAX(D:D)-D9)/(MAX(D:D)-MIN(D:D))</f>
        <v>0.88997093505228153</v>
      </c>
      <c r="M9">
        <f>(MAX(E:E)-E9)/(MAX(E:E)-MIN(E:E))</f>
        <v>0.97801758600999356</v>
      </c>
      <c r="N9">
        <f>(MAX(F:F)-F9)/(MAX(F:F)-MIN(F:F))</f>
        <v>0.98235825134612298</v>
      </c>
      <c r="O9">
        <f>(MAX(G:G)-G9)/(MAX(G:G)-MIN(G:G))</f>
        <v>0.98672230562756957</v>
      </c>
      <c r="P9">
        <f>(MAX(H:H)-H9)/(MAX(H:H)-MIN(H:H))</f>
        <v>0.86331877702734217</v>
      </c>
      <c r="Q9">
        <f>(MAX(I:I)-I9)/(MAX(I:I)-MIN(I:I))</f>
        <v>0.8544372693089809</v>
      </c>
    </row>
    <row r="10" spans="1:17" x14ac:dyDescent="0.6">
      <c r="A10">
        <v>20</v>
      </c>
      <c r="B10" t="s">
        <v>6</v>
      </c>
      <c r="C10" t="s">
        <v>184</v>
      </c>
      <c r="D10">
        <v>6.9648967060000002</v>
      </c>
      <c r="E10">
        <v>0.259937154</v>
      </c>
      <c r="F10">
        <v>5.3860321039999999</v>
      </c>
      <c r="G10">
        <v>0.39412579399999997</v>
      </c>
      <c r="H10">
        <v>4.6018066409999996</v>
      </c>
      <c r="I10">
        <v>0.34029934099999998</v>
      </c>
      <c r="J10">
        <f>SUM(L10:Q10)</f>
        <v>5.3816317995879919</v>
      </c>
      <c r="K10">
        <f>0.5*SIN(RADIANS(60))*((L10*M10)+(M10*N10)+(N10*O10)+(O10*P10)+(P10*Q10)+(Q10*L10))</f>
        <v>2.096050268894516</v>
      </c>
      <c r="L10">
        <f>(MAX(D:D)-D10)/(MAX(D:D)-MIN(D:D))</f>
        <v>0.88539519009503009</v>
      </c>
      <c r="M10">
        <f>(MAX(E:E)-E10)/(MAX(E:E)-MIN(E:E))</f>
        <v>0.97687294340900765</v>
      </c>
      <c r="N10">
        <f>(MAX(F:F)-F10)/(MAX(F:F)-MIN(F:F))</f>
        <v>0.96203286642875652</v>
      </c>
      <c r="O10">
        <f>(MAX(G:G)-G10)/(MAX(G:G)-MIN(G:G))</f>
        <v>0.9699707588523947</v>
      </c>
      <c r="P10">
        <f>(MAX(H:H)-H10)/(MAX(H:H)-MIN(H:H))</f>
        <v>0.79712709696781614</v>
      </c>
      <c r="Q10">
        <f>(MAX(I:I)-I10)/(MAX(I:I)-MIN(I:I))</f>
        <v>0.79023294383498655</v>
      </c>
    </row>
    <row r="11" spans="1:17" x14ac:dyDescent="0.6">
      <c r="A11">
        <v>30</v>
      </c>
      <c r="B11" t="s">
        <v>6</v>
      </c>
      <c r="C11" t="s">
        <v>177</v>
      </c>
      <c r="D11">
        <v>6.9798013120000002</v>
      </c>
      <c r="E11">
        <v>0.26082164299999999</v>
      </c>
      <c r="F11">
        <v>5.414489154</v>
      </c>
      <c r="G11">
        <v>0.39583638799999998</v>
      </c>
      <c r="H11">
        <v>4.7343139650000001</v>
      </c>
      <c r="I11">
        <v>0.34857923200000002</v>
      </c>
      <c r="J11">
        <f>SUM(L11:Q11)</f>
        <v>5.2640572874304095</v>
      </c>
      <c r="K11">
        <f>0.5*SIN(RADIANS(60))*((L11*M11)+(M11*N11)+(N11*O11)+(O11*P11)+(P11*Q11)+(Q11*L11))</f>
        <v>2.0077959729245589</v>
      </c>
      <c r="L11">
        <f>(MAX(D:D)-D11)/(MAX(D:D)-MIN(D:D))</f>
        <v>0.88006654091055825</v>
      </c>
      <c r="M11">
        <f>(MAX(E:E)-E11)/(MAX(E:E)-MIN(E:E))</f>
        <v>0.97364613581610548</v>
      </c>
      <c r="N11">
        <f>(MAX(F:F)-F11)/(MAX(F:F)-MIN(F:F))</f>
        <v>0.95000414820336643</v>
      </c>
      <c r="O11">
        <f>(MAX(G:G)-G11)/(MAX(G:G)-MIN(G:G))</f>
        <v>0.96123037487329777</v>
      </c>
      <c r="P11">
        <f>(MAX(H:H)-H11)/(MAX(H:H)-MIN(H:H))</f>
        <v>0.74723052156087155</v>
      </c>
      <c r="Q11">
        <f>(MAX(I:I)-I11)/(MAX(I:I)-MIN(I:I))</f>
        <v>0.75187956606620954</v>
      </c>
    </row>
    <row r="12" spans="1:17" x14ac:dyDescent="0.6">
      <c r="A12">
        <v>20</v>
      </c>
      <c r="B12" t="s">
        <v>99</v>
      </c>
      <c r="C12" t="s">
        <v>171</v>
      </c>
      <c r="D12">
        <v>6.9660552659999997</v>
      </c>
      <c r="E12">
        <v>0.26092077600000002</v>
      </c>
      <c r="F12">
        <v>5.3270828809999999</v>
      </c>
      <c r="G12">
        <v>0.39003821700000002</v>
      </c>
      <c r="H12">
        <v>4.4567871090000004</v>
      </c>
      <c r="I12">
        <v>0.33384280199999999</v>
      </c>
      <c r="J12">
        <f>SUM(L12:Q12)</f>
        <v>5.5079480734401596</v>
      </c>
      <c r="K12">
        <f>0.5*SIN(RADIANS(60))*((L12*M12)+(M12*N12)+(N12*O12)+(O12*P12)+(P12*Q12)+(Q12*L12))</f>
        <v>2.1945718835186079</v>
      </c>
      <c r="L12">
        <f>(MAX(D:D)-D12)/(MAX(D:D)-MIN(D:D))</f>
        <v>0.88498098526471403</v>
      </c>
      <c r="M12">
        <f>(MAX(E:E)-E12)/(MAX(E:E)-MIN(E:E))</f>
        <v>0.9732844771441409</v>
      </c>
      <c r="N12">
        <f>(MAX(F:F)-F12)/(MAX(F:F)-MIN(F:F))</f>
        <v>0.98695054387855119</v>
      </c>
      <c r="O12">
        <f>(MAX(G:G)-G12)/(MAX(G:G)-MIN(G:G))</f>
        <v>0.99085648189604192</v>
      </c>
      <c r="P12">
        <f>(MAX(H:H)-H12)/(MAX(H:H)-MIN(H:H))</f>
        <v>0.85173523329934264</v>
      </c>
      <c r="Q12">
        <f>(MAX(I:I)-I12)/(MAX(I:I)-MIN(I:I))</f>
        <v>0.8201403519573689</v>
      </c>
    </row>
    <row r="13" spans="1:17" x14ac:dyDescent="0.6">
      <c r="A13">
        <v>20</v>
      </c>
      <c r="B13" t="s">
        <v>6</v>
      </c>
      <c r="C13" t="s">
        <v>174</v>
      </c>
      <c r="D13">
        <v>6.9747408760000003</v>
      </c>
      <c r="E13">
        <v>0.26134295499999999</v>
      </c>
      <c r="F13">
        <v>5.376243874</v>
      </c>
      <c r="G13">
        <v>0.39363596299999998</v>
      </c>
      <c r="H13">
        <v>4.4378051760000004</v>
      </c>
      <c r="I13">
        <v>0.32400996700000001</v>
      </c>
      <c r="J13">
        <f>SUM(L13:Q13)</f>
        <v>5.5168340686806614</v>
      </c>
      <c r="K13">
        <f>0.5*SIN(RADIANS(60))*((L13*M13)+(M13*N13)+(N13*O13)+(O13*P13)+(P13*Q13)+(Q13*L13))</f>
        <v>2.1986639074663898</v>
      </c>
      <c r="L13">
        <f>(MAX(D:D)-D13)/(MAX(D:D)-MIN(D:D))</f>
        <v>0.88187573252316931</v>
      </c>
      <c r="M13">
        <f>(MAX(E:E)-E13)/(MAX(E:E)-MIN(E:E))</f>
        <v>0.97174427664106655</v>
      </c>
      <c r="N13">
        <f>(MAX(F:F)-F13)/(MAX(F:F)-MIN(F:F))</f>
        <v>0.9661703248299367</v>
      </c>
      <c r="O13">
        <f>(MAX(G:G)-G13)/(MAX(G:G)-MIN(G:G))</f>
        <v>0.97247358010914231</v>
      </c>
      <c r="P13">
        <f>(MAX(H:H)-H13)/(MAX(H:H)-MIN(H:H))</f>
        <v>0.85888301519330101</v>
      </c>
      <c r="Q13">
        <f>(MAX(I:I)-I13)/(MAX(I:I)-MIN(I:I))</f>
        <v>0.86568713938404518</v>
      </c>
    </row>
    <row r="14" spans="1:17" x14ac:dyDescent="0.6">
      <c r="A14">
        <v>20</v>
      </c>
      <c r="B14" t="s">
        <v>92</v>
      </c>
      <c r="C14" t="s">
        <v>8</v>
      </c>
      <c r="D14">
        <v>6.9888719999999998</v>
      </c>
      <c r="E14">
        <v>0.26179999999999998</v>
      </c>
      <c r="F14">
        <v>5.4186059999999996</v>
      </c>
      <c r="G14">
        <v>0.39645900000000001</v>
      </c>
      <c r="H14">
        <v>4.3173830000000004</v>
      </c>
      <c r="I14">
        <v>0.32121499999999997</v>
      </c>
      <c r="J14">
        <f>SUM(L14:Q14)</f>
        <v>5.5360761433494812</v>
      </c>
      <c r="K14">
        <f>0.5*SIN(RADIANS(60))*((L14*M14)+(M14*N14)+(N14*O14)+(O14*P14)+(P14*Q14)+(Q14*L14))</f>
        <v>2.2127586098695811</v>
      </c>
      <c r="L14">
        <f>(MAX(D:D)-D14)/(MAX(D:D)-MIN(D:D))</f>
        <v>0.87682361625936012</v>
      </c>
      <c r="M14">
        <f>(MAX(E:E)-E14)/(MAX(E:E)-MIN(E:E))</f>
        <v>0.97007687741247473</v>
      </c>
      <c r="N14">
        <f>(MAX(F:F)-F14)/(MAX(F:F)-MIN(F:F))</f>
        <v>0.94826396851111727</v>
      </c>
      <c r="O14">
        <f>(MAX(G:G)-G14)/(MAX(G:G)-MIN(G:G))</f>
        <v>0.9580491010292449</v>
      </c>
      <c r="P14">
        <f>(MAX(H:H)-H14)/(MAX(H:H)-MIN(H:H))</f>
        <v>0.90422884215643806</v>
      </c>
      <c r="Q14">
        <f>(MAX(I:I)-I14)/(MAX(I:I)-MIN(I:I))</f>
        <v>0.87863373798084632</v>
      </c>
    </row>
    <row r="15" spans="1:17" x14ac:dyDescent="0.6">
      <c r="A15">
        <v>20</v>
      </c>
      <c r="B15" t="s">
        <v>92</v>
      </c>
      <c r="C15" t="s">
        <v>7</v>
      </c>
      <c r="D15" s="13">
        <v>6.9952860000000001</v>
      </c>
      <c r="E15">
        <v>0.26190000000000002</v>
      </c>
      <c r="F15" s="13">
        <v>5.434768</v>
      </c>
      <c r="G15" s="13">
        <v>0.39750799999999997</v>
      </c>
      <c r="H15">
        <v>4.5741579999999997</v>
      </c>
      <c r="I15" s="13">
        <v>0.33750200000000002</v>
      </c>
      <c r="J15">
        <f>SUM(L15:Q15)</f>
        <v>5.3490929933170914</v>
      </c>
      <c r="K15">
        <f>0.5*SIN(RADIANS(60))*((L15*M15)+(M15*N15)+(N15*O15)+(O15*P15)+(P15*Q15)+(Q15*L15))</f>
        <v>2.0690249064896893</v>
      </c>
      <c r="L15">
        <f>(MAX(D:D)-D15)/(MAX(D:D)-MIN(D:D))</f>
        <v>0.87453050258233944</v>
      </c>
      <c r="M15">
        <f>(MAX(E:E)-E15)/(MAX(E:E)-MIN(E:E))</f>
        <v>0.96971205573658015</v>
      </c>
      <c r="N15">
        <f>(MAX(F:F)-F15)/(MAX(F:F)-MIN(F:F))</f>
        <v>0.94143233473464505</v>
      </c>
      <c r="O15">
        <f>(MAX(G:G)-G15)/(MAX(G:G)-MIN(G:G))</f>
        <v>0.9526891717917565</v>
      </c>
      <c r="P15">
        <f>(MAX(H:H)-H15)/(MAX(H:H)-MIN(H:H))</f>
        <v>0.80753838940744038</v>
      </c>
      <c r="Q15">
        <f>(MAX(I:I)-I15)/(MAX(I:I)-MIN(I:I))</f>
        <v>0.80319053906433036</v>
      </c>
    </row>
    <row r="16" spans="1:17" x14ac:dyDescent="0.6">
      <c r="A16">
        <v>20</v>
      </c>
      <c r="B16" t="s">
        <v>9</v>
      </c>
      <c r="C16" t="s">
        <v>8</v>
      </c>
      <c r="D16">
        <v>6.9988769279999996</v>
      </c>
      <c r="E16">
        <v>0.26266763500000001</v>
      </c>
      <c r="F16">
        <v>5.3779223409999997</v>
      </c>
      <c r="G16">
        <v>0.39357667400000002</v>
      </c>
      <c r="H16">
        <v>4.820800781</v>
      </c>
      <c r="I16">
        <v>0.35856878599999997</v>
      </c>
      <c r="J16">
        <f>SUM(L16:Q16)</f>
        <v>5.1986657386234683</v>
      </c>
      <c r="K16">
        <f>0.5*SIN(RADIANS(60))*((L16*M16)+(M16*N16)+(N16*O16)+(O16*P16)+(P16*Q16)+(Q16*L16))</f>
        <v>1.9627136477326546</v>
      </c>
      <c r="L16">
        <f>(MAX(D:D)-D16)/(MAX(D:D)-MIN(D:D))</f>
        <v>0.87324668497866076</v>
      </c>
      <c r="M16">
        <f>(MAX(E:E)-E16)/(MAX(E:E)-MIN(E:E))</f>
        <v>0.96691155686482766</v>
      </c>
      <c r="N16">
        <f>(MAX(F:F)-F16)/(MAX(F:F)-MIN(F:F))</f>
        <v>0.9654608413594572</v>
      </c>
      <c r="O16">
        <f>(MAX(G:G)-G16)/(MAX(G:G)-MIN(G:G))</f>
        <v>0.9727765208570559</v>
      </c>
      <c r="P16">
        <f>(MAX(H:H)-H16)/(MAX(H:H)-MIN(H:H))</f>
        <v>0.71466329579567134</v>
      </c>
      <c r="Q16">
        <f>(MAX(I:I)-I16)/(MAX(I:I)-MIN(I:I))</f>
        <v>0.70560683876779529</v>
      </c>
    </row>
    <row r="17" spans="1:17" x14ac:dyDescent="0.6">
      <c r="A17">
        <v>30</v>
      </c>
      <c r="B17" t="s">
        <v>92</v>
      </c>
      <c r="C17" t="s">
        <v>181</v>
      </c>
      <c r="D17">
        <v>7.0190722210000001</v>
      </c>
      <c r="E17">
        <v>0.263302492</v>
      </c>
      <c r="F17">
        <v>5.4377097709999997</v>
      </c>
      <c r="G17">
        <v>0.39732566499999999</v>
      </c>
      <c r="H17">
        <v>4.5749511719999996</v>
      </c>
      <c r="I17">
        <v>0.33985430300000002</v>
      </c>
      <c r="J17">
        <f>SUM(L17:Q17)</f>
        <v>5.3239657903837703</v>
      </c>
      <c r="K17">
        <f>0.5*SIN(RADIANS(60))*((L17*M17)+(M17*N17)+(N17*O17)+(O17*P17)+(P17*Q17)+(Q17*L17))</f>
        <v>2.0500427434959216</v>
      </c>
      <c r="L17">
        <f>(MAX(D:D)-D17)/(MAX(D:D)-MIN(D:D))</f>
        <v>0.86602652554776927</v>
      </c>
      <c r="M17">
        <f>(MAX(E:E)-E17)/(MAX(E:E)-MIN(E:E))</f>
        <v>0.96459546091789439</v>
      </c>
      <c r="N17">
        <f>(MAX(F:F)-F17)/(MAX(F:F)-MIN(F:F))</f>
        <v>0.94018885607320191</v>
      </c>
      <c r="O17">
        <f>(MAX(G:G)-G17)/(MAX(G:G)-MIN(G:G))</f>
        <v>0.95362082355297417</v>
      </c>
      <c r="P17">
        <f>(MAX(H:H)-H17)/(MAX(H:H)-MIN(H:H))</f>
        <v>0.80723971484882751</v>
      </c>
      <c r="Q17">
        <f>(MAX(I:I)-I17)/(MAX(I:I)-MIN(I:I))</f>
        <v>0.79229440944310381</v>
      </c>
    </row>
    <row r="18" spans="1:17" x14ac:dyDescent="0.6">
      <c r="A18">
        <v>20</v>
      </c>
      <c r="B18" t="s">
        <v>9</v>
      </c>
      <c r="C18" t="s">
        <v>171</v>
      </c>
      <c r="D18">
        <v>7.0147425109999997</v>
      </c>
      <c r="E18">
        <v>0.264225973</v>
      </c>
      <c r="F18" s="13">
        <v>5.3937383580000002</v>
      </c>
      <c r="G18" s="13">
        <v>0.39491844599999998</v>
      </c>
      <c r="H18">
        <v>4.6662597659999996</v>
      </c>
      <c r="I18" s="13">
        <v>0.34529065799999997</v>
      </c>
      <c r="J18">
        <f>SUM(L18:Q18)</f>
        <v>5.2934664028218519</v>
      </c>
      <c r="K18">
        <f>0.5*SIN(RADIANS(60))*((L18*M18)+(M18*N18)+(N18*O18)+(O18*P18)+(P18*Q18)+(Q18*L18))</f>
        <v>2.0293359642633564</v>
      </c>
      <c r="L18">
        <f>(MAX(D:D)-D18)/(MAX(D:D)-MIN(D:D))</f>
        <v>0.86757447023416367</v>
      </c>
      <c r="M18">
        <f>(MAX(E:E)-E18)/(MAX(E:E)-MIN(E:E))</f>
        <v>0.96122640205712739</v>
      </c>
      <c r="N18">
        <f>(MAX(F:F)-F18)/(MAX(F:F)-MIN(F:F))</f>
        <v>0.95877545366322769</v>
      </c>
      <c r="O18">
        <f>(MAX(G:G)-G18)/(MAX(G:G)-MIN(G:G))</f>
        <v>0.96592065529667126</v>
      </c>
      <c r="P18">
        <f>(MAX(H:H)-H18)/(MAX(H:H)-MIN(H:H))</f>
        <v>0.77285681427932329</v>
      </c>
      <c r="Q18">
        <f>(MAX(I:I)-I18)/(MAX(I:I)-MIN(I:I))</f>
        <v>0.76711260729133912</v>
      </c>
    </row>
    <row r="19" spans="1:17" x14ac:dyDescent="0.6">
      <c r="A19">
        <v>30</v>
      </c>
      <c r="B19" t="s">
        <v>99</v>
      </c>
      <c r="C19" t="s">
        <v>177</v>
      </c>
      <c r="D19">
        <v>7.0389696099999997</v>
      </c>
      <c r="E19">
        <v>0.26562296600000002</v>
      </c>
      <c r="F19">
        <v>5.4290623340000002</v>
      </c>
      <c r="G19">
        <v>0.396953626</v>
      </c>
      <c r="H19">
        <v>4.595703125</v>
      </c>
      <c r="I19">
        <v>0.331826766</v>
      </c>
      <c r="J19">
        <f>SUM(L19:Q19)</f>
        <v>5.343312899104494</v>
      </c>
      <c r="K19">
        <f>0.5*SIN(RADIANS(60))*((L19*M19)+(M19*N19)+(N19*O19)+(O19*P19)+(P19*Q19)+(Q19*L19))</f>
        <v>2.0632874834599728</v>
      </c>
      <c r="L19">
        <f>(MAX(D:D)-D19)/(MAX(D:D)-MIN(D:D))</f>
        <v>0.85891287184448006</v>
      </c>
      <c r="M19">
        <f>(MAX(E:E)-E19)/(MAX(E:E)-MIN(E:E))</f>
        <v>0.95612986878239892</v>
      </c>
      <c r="N19">
        <f>(MAX(F:F)-F19)/(MAX(F:F)-MIN(F:F))</f>
        <v>0.94384410435244404</v>
      </c>
      <c r="O19">
        <f>(MAX(G:G)-G19)/(MAX(G:G)-MIN(G:G))</f>
        <v>0.95552177942865191</v>
      </c>
      <c r="P19">
        <f>(MAX(H:H)-H19)/(MAX(H:H)-MIN(H:H))</f>
        <v>0.79942541933331401</v>
      </c>
      <c r="Q19">
        <f>(MAX(I:I)-I19)/(MAX(I:I)-MIN(I:I))</f>
        <v>0.8294788553632052</v>
      </c>
    </row>
    <row r="20" spans="1:17" x14ac:dyDescent="0.6">
      <c r="A20">
        <v>20</v>
      </c>
      <c r="B20" t="s">
        <v>92</v>
      </c>
      <c r="C20" t="s">
        <v>177</v>
      </c>
      <c r="D20">
        <v>7.0545336860000001</v>
      </c>
      <c r="E20">
        <v>0.26628473800000002</v>
      </c>
      <c r="F20">
        <v>5.4904400860000004</v>
      </c>
      <c r="G20">
        <v>0.40153060899999998</v>
      </c>
      <c r="H20">
        <v>4.588867188</v>
      </c>
      <c r="I20">
        <v>0.33780606800000001</v>
      </c>
      <c r="J20">
        <f>SUM(L20:Q20)</f>
        <v>5.2608809352246295</v>
      </c>
      <c r="K20">
        <f>0.5*SIN(RADIANS(60))*((L20*M20)+(M20*N20)+(N20*O20)+(O20*P20)+(P20*Q20)+(Q20*L20))</f>
        <v>2.0003777931077962</v>
      </c>
      <c r="L20">
        <f>(MAX(D:D)-D20)/(MAX(D:D)-MIN(D:D))</f>
        <v>0.85334845096113299</v>
      </c>
      <c r="M20">
        <f>(MAX(E:E)-E20)/(MAX(E:E)-MIN(E:E))</f>
        <v>0.95371558108139864</v>
      </c>
      <c r="N20">
        <f>(MAX(F:F)-F20)/(MAX(F:F)-MIN(F:F))</f>
        <v>0.91789989424929297</v>
      </c>
      <c r="O20">
        <f>(MAX(G:G)-G20)/(MAX(G:G)-MIN(G:G))</f>
        <v>0.93213540669158002</v>
      </c>
      <c r="P20">
        <f>(MAX(H:H)-H20)/(MAX(H:H)-MIN(H:H))</f>
        <v>0.8019995400362393</v>
      </c>
      <c r="Q20">
        <f>(MAX(I:I)-I20)/(MAX(I:I)-MIN(I:I))</f>
        <v>0.80178206220498571</v>
      </c>
    </row>
    <row r="21" spans="1:17" x14ac:dyDescent="0.6">
      <c r="A21">
        <v>10</v>
      </c>
      <c r="B21" t="s">
        <v>99</v>
      </c>
      <c r="C21" t="s">
        <v>177</v>
      </c>
      <c r="D21">
        <v>7.0347555570000004</v>
      </c>
      <c r="E21">
        <v>0.26633654899999998</v>
      </c>
      <c r="F21">
        <v>5.4116259549999999</v>
      </c>
      <c r="G21">
        <v>0.39669362699999999</v>
      </c>
      <c r="H21">
        <v>4.5540771480000002</v>
      </c>
      <c r="I21">
        <v>0.34145180400000003</v>
      </c>
      <c r="J21">
        <f>SUM(L21:Q21)</f>
        <v>5.3220052891896286</v>
      </c>
      <c r="K21">
        <f>0.5*SIN(RADIANS(60))*((L21*M21)+(M21*N21)+(N21*O21)+(O21*P21)+(P21*Q21)+(Q21*L21))</f>
        <v>2.0492956540158449</v>
      </c>
      <c r="L21">
        <f>(MAX(D:D)-D21)/(MAX(D:D)-MIN(D:D))</f>
        <v>0.86041946719371409</v>
      </c>
      <c r="M21">
        <f>(MAX(E:E)-E21)/(MAX(E:E)-MIN(E:E))</f>
        <v>0.95352656332290109</v>
      </c>
      <c r="N21">
        <f>(MAX(F:F)-F21)/(MAX(F:F)-MIN(F:F))</f>
        <v>0.95121441469248669</v>
      </c>
      <c r="O21">
        <f>(MAX(G:G)-G21)/(MAX(G:G)-MIN(G:G))</f>
        <v>0.95685026011675289</v>
      </c>
      <c r="P21">
        <f>(MAX(H:H)-H21)/(MAX(H:H)-MIN(H:H))</f>
        <v>0.81509997706770931</v>
      </c>
      <c r="Q21">
        <f>(MAX(I:I)-I21)/(MAX(I:I)-MIN(I:I))</f>
        <v>0.78489460679606426</v>
      </c>
    </row>
    <row r="22" spans="1:17" x14ac:dyDescent="0.6">
      <c r="A22">
        <v>30</v>
      </c>
      <c r="B22" t="s">
        <v>99</v>
      </c>
      <c r="C22" t="s">
        <v>167</v>
      </c>
      <c r="D22">
        <v>7.0456242040000001</v>
      </c>
      <c r="E22">
        <v>0.26660521500000001</v>
      </c>
      <c r="F22">
        <v>5.3802638380000003</v>
      </c>
      <c r="G22">
        <v>0.393671353</v>
      </c>
      <c r="H22">
        <v>4.0630493159999999</v>
      </c>
      <c r="I22">
        <v>0.29501393300000001</v>
      </c>
      <c r="J22">
        <f>SUM(L22:Q22)</f>
        <v>5.7458440029064706</v>
      </c>
      <c r="K22">
        <f>0.5*SIN(RADIANS(60))*((L22*M22)+(M22*N22)+(N22*O22)+(O22*P22)+(P22*Q22)+(Q22*L22))</f>
        <v>2.3820749163088744</v>
      </c>
      <c r="L22">
        <f>(MAX(D:D)-D22)/(MAX(D:D)-MIN(D:D))</f>
        <v>0.85653374173590191</v>
      </c>
      <c r="M22">
        <f>(MAX(E:E)-E22)/(MAX(E:E)-MIN(E:E))</f>
        <v>0.95254641151914232</v>
      </c>
      <c r="N22">
        <f>(MAX(F:F)-F22)/(MAX(F:F)-MIN(F:F))</f>
        <v>0.96447109689758903</v>
      </c>
      <c r="O22">
        <f>(MAX(G:G)-G22)/(MAX(G:G)-MIN(G:G))</f>
        <v>0.97229275275383742</v>
      </c>
      <c r="P22">
        <f>(MAX(H:H)-H22)/(MAX(H:H)-MIN(H:H))</f>
        <v>1</v>
      </c>
      <c r="Q22">
        <f>(MAX(I:I)-I22)/(MAX(I:I)-MIN(I:I))</f>
        <v>1</v>
      </c>
    </row>
    <row r="23" spans="1:17" x14ac:dyDescent="0.6">
      <c r="A23">
        <v>20</v>
      </c>
      <c r="B23" t="s">
        <v>99</v>
      </c>
      <c r="C23" t="s">
        <v>184</v>
      </c>
      <c r="D23">
        <v>7.0615957710000004</v>
      </c>
      <c r="E23">
        <v>0.26684443400000002</v>
      </c>
      <c r="F23">
        <v>5.4926418730000002</v>
      </c>
      <c r="G23">
        <v>0.40174695500000002</v>
      </c>
      <c r="H23">
        <v>4.5133666989999996</v>
      </c>
      <c r="I23">
        <v>0.33576207000000002</v>
      </c>
      <c r="J23">
        <f>SUM(L23:Q23)</f>
        <v>5.2921763780886701</v>
      </c>
      <c r="K23">
        <f>0.5*SIN(RADIANS(60))*((L23*M23)+(M23*N23)+(N23*O23)+(O23*P23)+(P23*Q23)+(Q23*L23))</f>
        <v>2.0235375332572465</v>
      </c>
      <c r="L23">
        <f>(MAX(D:D)-D23)/(MAX(D:D)-MIN(D:D))</f>
        <v>0.85082363591564147</v>
      </c>
      <c r="M23">
        <f>(MAX(E:E)-E23)/(MAX(E:E)-MIN(E:E))</f>
        <v>0.95167368875428426</v>
      </c>
      <c r="N23">
        <f>(MAX(F:F)-F23)/(MAX(F:F)-MIN(F:F))</f>
        <v>0.91696920482732824</v>
      </c>
      <c r="O23">
        <f>(MAX(G:G)-G23)/(MAX(G:G)-MIN(G:G))</f>
        <v>0.9310299736593457</v>
      </c>
      <c r="P23">
        <f>(MAX(H:H)-H23)/(MAX(H:H)-MIN(H:H))</f>
        <v>0.830429786221346</v>
      </c>
      <c r="Q23">
        <f>(MAX(I:I)-I23)/(MAX(I:I)-MIN(I:I))</f>
        <v>0.81125008871072402</v>
      </c>
    </row>
    <row r="24" spans="1:17" x14ac:dyDescent="0.6">
      <c r="A24">
        <v>10</v>
      </c>
      <c r="B24" t="s">
        <v>92</v>
      </c>
      <c r="C24" t="s">
        <v>171</v>
      </c>
      <c r="D24">
        <v>7.0525043959999998</v>
      </c>
      <c r="E24">
        <v>0.26778474400000002</v>
      </c>
      <c r="F24">
        <v>5.3917527999999999</v>
      </c>
      <c r="G24">
        <v>0.395145476</v>
      </c>
      <c r="H24">
        <v>4.6395263670000002</v>
      </c>
      <c r="I24">
        <v>0.33735504100000002</v>
      </c>
      <c r="J24">
        <f>SUM(L24:Q24)</f>
        <v>5.3134873013233364</v>
      </c>
      <c r="K24">
        <f>0.5*SIN(RADIANS(60))*((L24*M24)+(M24*N24)+(N24*O24)+(O24*P24)+(P24*Q24)+(Q24*L24))</f>
        <v>2.0424713342432823</v>
      </c>
      <c r="L24">
        <f>(MAX(D:D)-D24)/(MAX(D:D)-MIN(D:D))</f>
        <v>0.85407395651985474</v>
      </c>
      <c r="M24">
        <f>(MAX(E:E)-E24)/(MAX(E:E)-MIN(E:E))</f>
        <v>0.94824323405368105</v>
      </c>
      <c r="N24">
        <f>(MAX(F:F)-F24)/(MAX(F:F)-MIN(F:F))</f>
        <v>0.95961474367052546</v>
      </c>
      <c r="O24">
        <f>(MAX(G:G)-G24)/(MAX(G:G)-MIN(G:G))</f>
        <v>0.96476063171727455</v>
      </c>
      <c r="P24">
        <f>(MAX(H:H)-H24)/(MAX(H:H)-MIN(H:H))</f>
        <v>0.78292346583352268</v>
      </c>
      <c r="Q24">
        <f>(MAX(I:I)-I24)/(MAX(I:I)-MIN(I:I))</f>
        <v>0.80387126952847798</v>
      </c>
    </row>
    <row r="25" spans="1:17" x14ac:dyDescent="0.6">
      <c r="A25">
        <v>10</v>
      </c>
      <c r="B25" t="s">
        <v>6</v>
      </c>
      <c r="C25" t="s">
        <v>167</v>
      </c>
      <c r="D25">
        <v>7.0570886359999996</v>
      </c>
      <c r="E25">
        <v>0.26787085999999999</v>
      </c>
      <c r="F25">
        <v>5.4104095729999999</v>
      </c>
      <c r="G25">
        <v>0.39643145400000002</v>
      </c>
      <c r="H25">
        <v>4.6129760739999996</v>
      </c>
      <c r="I25">
        <v>0.33730529599999998</v>
      </c>
      <c r="J25">
        <f>SUM(L25:Q25)</f>
        <v>5.3073053637683714</v>
      </c>
      <c r="K25">
        <f>0.5*SIN(RADIANS(60))*((L25*M25)+(M25*N25)+(N25*O25)+(O25*P25)+(P25*Q25)+(Q25*L25))</f>
        <v>2.0373067789450041</v>
      </c>
      <c r="L25">
        <f>(MAX(D:D)-D25)/(MAX(D:D)-MIN(D:D))</f>
        <v>0.85243501304577551</v>
      </c>
      <c r="M25">
        <f>(MAX(E:E)-E25)/(MAX(E:E)-MIN(E:E))</f>
        <v>0.94792906421926793</v>
      </c>
      <c r="N25">
        <f>(MAX(F:F)-F25)/(MAX(F:F)-MIN(F:F))</f>
        <v>0.95172857608069927</v>
      </c>
      <c r="O25">
        <f>(MAX(G:G)-G25)/(MAX(G:G)-MIN(G:G))</f>
        <v>0.95818984898994641</v>
      </c>
      <c r="P25">
        <f>(MAX(H:H)-H25)/(MAX(H:H)-MIN(H:H))</f>
        <v>0.79292116752094788</v>
      </c>
      <c r="Q25">
        <f>(MAX(I:I)-I25)/(MAX(I:I)-MIN(I:I))</f>
        <v>0.80410169391173492</v>
      </c>
    </row>
    <row r="26" spans="1:17" x14ac:dyDescent="0.6">
      <c r="A26">
        <v>20</v>
      </c>
      <c r="B26" t="s">
        <v>92</v>
      </c>
      <c r="C26" t="s">
        <v>184</v>
      </c>
      <c r="D26">
        <v>7.074308018</v>
      </c>
      <c r="E26">
        <v>0.26794008699999999</v>
      </c>
      <c r="F26">
        <v>5.4778284140000002</v>
      </c>
      <c r="G26">
        <v>0.40065980600000001</v>
      </c>
      <c r="H26">
        <v>4.5148925780000004</v>
      </c>
      <c r="I26">
        <v>0.33447051700000002</v>
      </c>
      <c r="J26">
        <f>SUM(L26:Q26)</f>
        <v>5.3008588545902589</v>
      </c>
      <c r="K26">
        <f>0.5*SIN(RADIANS(60))*((L26*M26)+(M26*N26)+(N26*O26)+(O26*P26)+(P26*Q26)+(Q26*L26))</f>
        <v>2.030235468333319</v>
      </c>
      <c r="L26">
        <f>(MAX(D:D)-D26)/(MAX(D:D)-MIN(D:D))</f>
        <v>0.84627879222038693</v>
      </c>
      <c r="M26">
        <f>(MAX(E:E)-E26)/(MAX(E:E)-MIN(E:E))</f>
        <v>0.94767650911769641</v>
      </c>
      <c r="N26">
        <f>(MAX(F:F)-F26)/(MAX(F:F)-MIN(F:F))</f>
        <v>0.92323081396300344</v>
      </c>
      <c r="O26">
        <f>(MAX(G:G)-G26)/(MAX(G:G)-MIN(G:G))</f>
        <v>0.93658482753027661</v>
      </c>
      <c r="P26">
        <f>(MAX(H:H)-H26)/(MAX(H:H)-MIN(H:H))</f>
        <v>0.82985520562997117</v>
      </c>
      <c r="Q26">
        <f>(MAX(I:I)-I26)/(MAX(I:I)-MIN(I:I))</f>
        <v>0.81723270612892396</v>
      </c>
    </row>
    <row r="27" spans="1:17" x14ac:dyDescent="0.6">
      <c r="A27">
        <v>10</v>
      </c>
      <c r="B27" t="s">
        <v>92</v>
      </c>
      <c r="C27" t="s">
        <v>167</v>
      </c>
      <c r="D27">
        <v>7.0659314550000003</v>
      </c>
      <c r="E27">
        <v>0.26829408500000002</v>
      </c>
      <c r="F27">
        <v>5.430980581</v>
      </c>
      <c r="G27">
        <v>0.39783717499999999</v>
      </c>
      <c r="H27">
        <v>4.646484375</v>
      </c>
      <c r="I27">
        <v>0.34405323500000001</v>
      </c>
      <c r="J27">
        <f>SUM(L27:Q27)</f>
        <v>5.2428469687010351</v>
      </c>
      <c r="K27">
        <f>0.5*SIN(RADIANS(60))*((L27*M27)+(M27*N27)+(N27*O27)+(O27*P27)+(P27*Q27)+(Q27*L27))</f>
        <v>1.9894887848055529</v>
      </c>
      <c r="L27">
        <f>(MAX(D:D)-D27)/(MAX(D:D)-MIN(D:D))</f>
        <v>0.84927355542302552</v>
      </c>
      <c r="M27">
        <f>(MAX(E:E)-E27)/(MAX(E:E)-MIN(E:E))</f>
        <v>0.94638504768146348</v>
      </c>
      <c r="N27">
        <f>(MAX(F:F)-F27)/(MAX(F:F)-MIN(F:F))</f>
        <v>0.94303326652316444</v>
      </c>
      <c r="O27">
        <f>(MAX(G:G)-G27)/(MAX(G:G)-MIN(G:G))</f>
        <v>0.95100723212850535</v>
      </c>
      <c r="P27">
        <f>(MAX(H:H)-H27)/(MAX(H:H)-MIN(H:H))</f>
        <v>0.78030337842722874</v>
      </c>
      <c r="Q27">
        <f>(MAX(I:I)-I27)/(MAX(I:I)-MIN(I:I))</f>
        <v>0.77284448851764653</v>
      </c>
    </row>
    <row r="28" spans="1:17" x14ac:dyDescent="0.6">
      <c r="A28">
        <v>30</v>
      </c>
      <c r="B28" t="s">
        <v>99</v>
      </c>
      <c r="C28" t="s">
        <v>184</v>
      </c>
      <c r="D28">
        <v>7.0746923749999997</v>
      </c>
      <c r="E28">
        <v>0.268379164</v>
      </c>
      <c r="F28">
        <v>5.4036343770000004</v>
      </c>
      <c r="G28">
        <v>0.39516464000000001</v>
      </c>
      <c r="H28">
        <v>4.4638061520000001</v>
      </c>
      <c r="I28">
        <v>0.32595539800000001</v>
      </c>
      <c r="J28">
        <f>SUM(L28:Q28)</f>
        <v>5.4172390333014402</v>
      </c>
      <c r="K28">
        <f>0.5*SIN(RADIANS(60))*((L28*M28)+(M28*N28)+(N28*O28)+(O28*P28)+(P28*Q28)+(Q28*L28))</f>
        <v>2.1199614524441679</v>
      </c>
      <c r="L28">
        <f>(MAX(D:D)-D28)/(MAX(D:D)-MIN(D:D))</f>
        <v>0.84614137808044965</v>
      </c>
      <c r="M28">
        <f>(MAX(E:E)-E28)/(MAX(E:E)-MIN(E:E))</f>
        <v>0.94607466104782922</v>
      </c>
      <c r="N28">
        <f>(MAX(F:F)-F28)/(MAX(F:F)-MIN(F:F))</f>
        <v>0.95459243314268516</v>
      </c>
      <c r="O28">
        <f>(MAX(G:G)-G28)/(MAX(G:G)-MIN(G:G))</f>
        <v>0.96466271209486532</v>
      </c>
      <c r="P28">
        <f>(MAX(H:H)-H28)/(MAX(H:H)-MIN(H:H))</f>
        <v>0.84909216272964294</v>
      </c>
      <c r="Q28">
        <f>(MAX(I:I)-I28)/(MAX(I:I)-MIN(I:I))</f>
        <v>0.85667568620596724</v>
      </c>
    </row>
    <row r="29" spans="1:17" x14ac:dyDescent="0.6">
      <c r="A29">
        <v>20</v>
      </c>
      <c r="B29" t="s">
        <v>99</v>
      </c>
      <c r="C29" t="s">
        <v>7</v>
      </c>
      <c r="D29">
        <v>7.0688050000000002</v>
      </c>
      <c r="E29">
        <v>0.26840000000000003</v>
      </c>
      <c r="F29">
        <v>5.4607749999999999</v>
      </c>
      <c r="G29">
        <v>0.39980300000000002</v>
      </c>
      <c r="H29">
        <v>4.8067019999999996</v>
      </c>
      <c r="I29">
        <v>0.34881099999999998</v>
      </c>
      <c r="J29">
        <f>SUM(L29:Q29)</f>
        <v>5.1364251200112205</v>
      </c>
      <c r="K29">
        <f>0.5*SIN(RADIANS(60))*((L29*M29)+(M29*N29)+(N29*O29)+(O29*P29)+(P29*Q29)+(Q29*L29))</f>
        <v>1.9109013496901042</v>
      </c>
      <c r="L29">
        <f>(MAX(D:D)-D29)/(MAX(D:D)-MIN(D:D))</f>
        <v>0.84824621439698344</v>
      </c>
      <c r="M29">
        <f>(MAX(E:E)-E29)/(MAX(E:E)-MIN(E:E))</f>
        <v>0.94599864680343981</v>
      </c>
      <c r="N29">
        <f>(MAX(F:F)-F29)/(MAX(F:F)-MIN(F:F))</f>
        <v>0.93043924603122297</v>
      </c>
      <c r="O29">
        <f>(MAX(G:G)-G29)/(MAX(G:G)-MIN(G:G))</f>
        <v>0.94096272984701224</v>
      </c>
      <c r="P29">
        <f>(MAX(H:H)-H29)/(MAX(H:H)-MIN(H:H))</f>
        <v>0.71997229206905866</v>
      </c>
      <c r="Q29">
        <f>(MAX(I:I)-I29)/(MAX(I:I)-MIN(I:I))</f>
        <v>0.75080599086350308</v>
      </c>
    </row>
    <row r="30" spans="1:17" x14ac:dyDescent="0.6">
      <c r="A30">
        <v>30</v>
      </c>
      <c r="B30" t="s">
        <v>6</v>
      </c>
      <c r="C30" t="s">
        <v>7</v>
      </c>
      <c r="D30">
        <v>7.0741044869999996</v>
      </c>
      <c r="E30">
        <v>0.26864105500000002</v>
      </c>
      <c r="F30">
        <v>5.3911749090000001</v>
      </c>
      <c r="G30">
        <v>0.394375849</v>
      </c>
      <c r="H30">
        <v>4.4763793950000004</v>
      </c>
      <c r="I30">
        <v>0.31870420100000002</v>
      </c>
      <c r="J30">
        <f>SUM(L30:Q30)</f>
        <v>5.4546445455644639</v>
      </c>
      <c r="K30">
        <f>0.5*SIN(RADIANS(60))*((L30*M30)+(M30*N30)+(N30*O30)+(O30*P30)+(P30*Q30)+(Q30*L30))</f>
        <v>2.1477404480201772</v>
      </c>
      <c r="L30">
        <f>(MAX(D:D)-D30)/(MAX(D:D)-MIN(D:D))</f>
        <v>0.84635155800145934</v>
      </c>
      <c r="M30">
        <f>(MAX(E:E)-E30)/(MAX(E:E)-MIN(E:E))</f>
        <v>0.94511922591261244</v>
      </c>
      <c r="N30">
        <f>(MAX(F:F)-F30)/(MAX(F:F)-MIN(F:F))</f>
        <v>0.95985901663641571</v>
      </c>
      <c r="O30">
        <f>(MAX(G:G)-G30)/(MAX(G:G)-MIN(G:G))</f>
        <v>0.96869308763649353</v>
      </c>
      <c r="P30">
        <f>(MAX(H:H)-H30)/(MAX(H:H)-MIN(H:H))</f>
        <v>0.84435761864165459</v>
      </c>
      <c r="Q30">
        <f>(MAX(I:I)-I30)/(MAX(I:I)-MIN(I:I))</f>
        <v>0.89026403873582793</v>
      </c>
    </row>
    <row r="31" spans="1:17" x14ac:dyDescent="0.6">
      <c r="A31">
        <v>30</v>
      </c>
      <c r="B31" t="s">
        <v>9</v>
      </c>
      <c r="C31" t="s">
        <v>177</v>
      </c>
      <c r="D31">
        <v>7.0785406479999997</v>
      </c>
      <c r="E31">
        <v>0.26886777299999998</v>
      </c>
      <c r="F31">
        <v>5.3913911990000001</v>
      </c>
      <c r="G31">
        <v>0.394443504</v>
      </c>
      <c r="H31">
        <v>4.5274047849999999</v>
      </c>
      <c r="I31">
        <v>0.32923683599999998</v>
      </c>
      <c r="J31">
        <f>SUM(L31:Q31)</f>
        <v>5.3837920013347933</v>
      </c>
      <c r="K31">
        <f>0.5*SIN(RADIANS(60))*((L31*M31)+(M31*N31)+(N31*O31)+(O31*P31)+(P31*Q31)+(Q31*L31))</f>
        <v>2.0947459620511184</v>
      </c>
      <c r="L31">
        <f>(MAX(D:D)-D31)/(MAX(D:D)-MIN(D:D))</f>
        <v>0.84476555527888919</v>
      </c>
      <c r="M31">
        <f>(MAX(E:E)-E31)/(MAX(E:E)-MIN(E:E))</f>
        <v>0.94429210950545817</v>
      </c>
      <c r="N31">
        <f>(MAX(F:F)-F31)/(MAX(F:F)-MIN(F:F))</f>
        <v>0.95976759143721313</v>
      </c>
      <c r="O31">
        <f>(MAX(G:G)-G31)/(MAX(G:G)-MIN(G:G))</f>
        <v>0.96834740030325972</v>
      </c>
      <c r="P31">
        <f>(MAX(H:H)-H31)/(MAX(H:H)-MIN(H:H))</f>
        <v>0.82514364508194615</v>
      </c>
      <c r="Q31">
        <f>(MAX(I:I)-I31)/(MAX(I:I)-MIN(I:I))</f>
        <v>0.84147569972802705</v>
      </c>
    </row>
    <row r="32" spans="1:17" x14ac:dyDescent="0.6">
      <c r="A32">
        <v>30</v>
      </c>
      <c r="B32" t="s">
        <v>6</v>
      </c>
      <c r="C32" t="s">
        <v>167</v>
      </c>
      <c r="D32">
        <v>7.0867419250000001</v>
      </c>
      <c r="E32">
        <v>0.26887227600000002</v>
      </c>
      <c r="F32">
        <v>5.4375284439999998</v>
      </c>
      <c r="G32">
        <v>0.39761129499999998</v>
      </c>
      <c r="H32">
        <v>4.6083374020000001</v>
      </c>
      <c r="I32">
        <v>0.33992134899999998</v>
      </c>
      <c r="J32">
        <f>SUM(L32:Q32)</f>
        <v>5.2651877609547562</v>
      </c>
      <c r="K32">
        <f>0.5*SIN(RADIANS(60))*((L32*M32)+(M32*N32)+(N32*O32)+(O32*P32)+(P32*Q32)+(Q32*L32))</f>
        <v>2.0052003816397499</v>
      </c>
      <c r="L32">
        <f>(MAX(D:D)-D32)/(MAX(D:D)-MIN(D:D))</f>
        <v>0.84183345979124724</v>
      </c>
      <c r="M32">
        <f>(MAX(E:E)-E32)/(MAX(E:E)-MIN(E:E))</f>
        <v>0.94427568158539243</v>
      </c>
      <c r="N32">
        <f>(MAX(F:F)-F32)/(MAX(F:F)-MIN(F:F))</f>
        <v>0.94026550250667462</v>
      </c>
      <c r="O32">
        <f>(MAX(G:G)-G32)/(MAX(G:G)-MIN(G:G))</f>
        <v>0.95216137971302772</v>
      </c>
      <c r="P32">
        <f>(MAX(H:H)-H32)/(MAX(H:H)-MIN(H:H))</f>
        <v>0.79466789245847713</v>
      </c>
      <c r="Q32">
        <f>(MAX(I:I)-I32)/(MAX(I:I)-MIN(I:I))</f>
        <v>0.79198384489993723</v>
      </c>
    </row>
    <row r="33" spans="1:17" x14ac:dyDescent="0.6">
      <c r="A33">
        <v>30</v>
      </c>
      <c r="B33" t="s">
        <v>92</v>
      </c>
      <c r="C33" t="s">
        <v>7</v>
      </c>
      <c r="D33">
        <v>7.102481</v>
      </c>
      <c r="E33">
        <v>0.26960000000000001</v>
      </c>
      <c r="F33">
        <v>5.5047560000000004</v>
      </c>
      <c r="G33">
        <v>0.402221</v>
      </c>
      <c r="H33">
        <v>4.533569</v>
      </c>
      <c r="I33">
        <v>0.33159</v>
      </c>
      <c r="J33">
        <f>SUM(L33:Q33)</f>
        <v>5.2716817163989944</v>
      </c>
      <c r="K33">
        <f>0.5*SIN(RADIANS(60))*((L33*M33)+(M33*N33)+(N33*O33)+(O33*P33)+(P33*Q33)+(Q33*L33))</f>
        <v>2.0069199166656442</v>
      </c>
      <c r="L33">
        <f>(MAX(D:D)-D33)/(MAX(D:D)-MIN(D:D))</f>
        <v>0.83620647380026636</v>
      </c>
      <c r="M33">
        <f>(MAX(E:E)-E33)/(MAX(E:E)-MIN(E:E))</f>
        <v>0.94162078669270621</v>
      </c>
      <c r="N33">
        <f>(MAX(F:F)-F33)/(MAX(F:F)-MIN(F:F))</f>
        <v>0.91184859604217328</v>
      </c>
      <c r="O33">
        <f>(MAX(G:G)-G33)/(MAX(G:G)-MIN(G:G))</f>
        <v>0.92860781192875919</v>
      </c>
      <c r="P33">
        <f>(MAX(H:H)-H33)/(MAX(H:H)-MIN(H:H))</f>
        <v>0.82282246607623233</v>
      </c>
      <c r="Q33">
        <f>(MAX(I:I)-I33)/(MAX(I:I)-MIN(I:I))</f>
        <v>0.83057558185885627</v>
      </c>
    </row>
    <row r="34" spans="1:17" x14ac:dyDescent="0.6">
      <c r="A34">
        <v>10</v>
      </c>
      <c r="B34" t="s">
        <v>92</v>
      </c>
      <c r="C34" t="s">
        <v>8</v>
      </c>
      <c r="D34">
        <v>7.0868869999999999</v>
      </c>
      <c r="E34">
        <v>0.2702</v>
      </c>
      <c r="F34">
        <v>5.4353389999999999</v>
      </c>
      <c r="G34">
        <v>0.398316</v>
      </c>
      <c r="H34">
        <v>4.7739260000000003</v>
      </c>
      <c r="I34">
        <v>0.35355300000000001</v>
      </c>
      <c r="J34">
        <f>SUM(L34:Q34)</f>
        <v>5.1321199173896277</v>
      </c>
      <c r="K34">
        <f>0.5*SIN(RADIANS(60))*((L34*M34)+(M34*N34)+(N34*O34)+(O34*P34)+(P34*Q34)+(Q34*L34))</f>
        <v>1.9094419904506779</v>
      </c>
      <c r="L34">
        <f>(MAX(D:D)-D34)/(MAX(D:D)-MIN(D:D))</f>
        <v>0.84178159302063715</v>
      </c>
      <c r="M34">
        <f>(MAX(E:E)-E34)/(MAX(E:E)-MIN(E:E))</f>
        <v>0.93943185663733952</v>
      </c>
      <c r="N34">
        <f>(MAX(F:F)-F34)/(MAX(F:F)-MIN(F:F))</f>
        <v>0.94119097457585499</v>
      </c>
      <c r="O34">
        <f>(MAX(G:G)-G34)/(MAX(G:G)-MIN(G:G))</f>
        <v>0.94856064669748474</v>
      </c>
      <c r="P34">
        <f>(MAX(H:H)-H34)/(MAX(H:H)-MIN(H:H))</f>
        <v>0.73231432801220375</v>
      </c>
      <c r="Q34">
        <f>(MAX(I:I)-I34)/(MAX(I:I)-MIN(I:I))</f>
        <v>0.72884051844610753</v>
      </c>
    </row>
    <row r="35" spans="1:17" x14ac:dyDescent="0.6">
      <c r="A35">
        <v>20</v>
      </c>
      <c r="B35" t="s">
        <v>9</v>
      </c>
      <c r="C35" t="s">
        <v>184</v>
      </c>
      <c r="D35">
        <v>7.0997707380000001</v>
      </c>
      <c r="E35">
        <v>0.27024348300000001</v>
      </c>
      <c r="F35">
        <v>5.4280830670000002</v>
      </c>
      <c r="G35">
        <v>0.39721298300000002</v>
      </c>
      <c r="H35">
        <v>4.3164672849999999</v>
      </c>
      <c r="I35">
        <v>0.31541016500000002</v>
      </c>
      <c r="J35">
        <f>SUM(L35:Q35)</f>
        <v>5.484999318270904</v>
      </c>
      <c r="K35">
        <f>0.5*SIN(RADIANS(60))*((L35*M35)+(M35*N35)+(N35*O35)+(O35*P35)+(P35*Q35)+(Q35*L35))</f>
        <v>2.1713830843664113</v>
      </c>
      <c r="L35">
        <f>(MAX(D:D)-D35)/(MAX(D:D)-MIN(D:D))</f>
        <v>0.83717543838718689</v>
      </c>
      <c r="M35">
        <f>(MAX(E:E)-E35)/(MAX(E:E)-MIN(E:E))</f>
        <v>0.93927322122801027</v>
      </c>
      <c r="N35">
        <f>(MAX(F:F)-F35)/(MAX(F:F)-MIN(F:F))</f>
        <v>0.9442580378701636</v>
      </c>
      <c r="O35">
        <f>(MAX(G:G)-G35)/(MAX(G:G)-MIN(G:G))</f>
        <v>0.95419657907855904</v>
      </c>
      <c r="P35">
        <f>(MAX(H:H)-H35)/(MAX(H:H)-MIN(H:H))</f>
        <v>0.90457366115337734</v>
      </c>
      <c r="Q35">
        <f>(MAX(I:I)-I35)/(MAX(I:I)-MIN(I:I))</f>
        <v>0.90552238055360679</v>
      </c>
    </row>
    <row r="36" spans="1:17" x14ac:dyDescent="0.6">
      <c r="A36">
        <v>20</v>
      </c>
      <c r="B36" t="s">
        <v>92</v>
      </c>
      <c r="C36" t="s">
        <v>171</v>
      </c>
      <c r="D36">
        <v>7.1110226440000002</v>
      </c>
      <c r="E36">
        <v>0.27045961099999999</v>
      </c>
      <c r="F36">
        <v>5.5107970059999998</v>
      </c>
      <c r="G36">
        <v>0.40300740699999998</v>
      </c>
      <c r="H36">
        <v>4.5602416989999996</v>
      </c>
      <c r="I36">
        <v>0.33683021499999999</v>
      </c>
      <c r="J36">
        <f>SUM(L36:Q36)</f>
        <v>5.2246031210533159</v>
      </c>
      <c r="K36">
        <f>0.5*SIN(RADIANS(60))*((L36*M36)+(M36*N36)+(N36*O36)+(O36*P36)+(P36*Q36)+(Q36*L36))</f>
        <v>1.9721955090640715</v>
      </c>
      <c r="L36">
        <f>(MAX(D:D)-D36)/(MAX(D:D)-MIN(D:D))</f>
        <v>0.83315269134304137</v>
      </c>
      <c r="M36">
        <f>(MAX(E:E)-E36)/(MAX(E:E)-MIN(E:E))</f>
        <v>0.93848473943633315</v>
      </c>
      <c r="N36">
        <f>(MAX(F:F)-F36)/(MAX(F:F)-MIN(F:F))</f>
        <v>0.90929507911150476</v>
      </c>
      <c r="O36">
        <f>(MAX(G:G)-G36)/(MAX(G:G)-MIN(G:G))</f>
        <v>0.92458961757998348</v>
      </c>
      <c r="P36">
        <f>(MAX(H:H)-H36)/(MAX(H:H)-MIN(H:H))</f>
        <v>0.81277867153880567</v>
      </c>
      <c r="Q36">
        <f>(MAX(I:I)-I36)/(MAX(I:I)-MIN(I:I))</f>
        <v>0.80630232204364727</v>
      </c>
    </row>
    <row r="37" spans="1:17" x14ac:dyDescent="0.6">
      <c r="A37">
        <v>20</v>
      </c>
      <c r="B37" t="s">
        <v>6</v>
      </c>
      <c r="C37" t="s">
        <v>177</v>
      </c>
      <c r="D37">
        <v>7.0982164799999996</v>
      </c>
      <c r="E37">
        <v>0.27056113599999998</v>
      </c>
      <c r="F37">
        <v>5.4513521550000004</v>
      </c>
      <c r="G37">
        <v>0.39902484900000001</v>
      </c>
      <c r="H37">
        <v>4.5793457030000004</v>
      </c>
      <c r="I37">
        <v>0.338677705</v>
      </c>
      <c r="J37">
        <f>SUM(L37:Q37)</f>
        <v>5.2585359284612121</v>
      </c>
      <c r="K37">
        <f>0.5*SIN(RADIANS(60))*((L37*M37)+(M37*N37)+(N37*O37)+(O37*P37)+(P37*Q37)+(Q37*L37))</f>
        <v>1.9994920545287942</v>
      </c>
      <c r="L37">
        <f>(MAX(D:D)-D37)/(MAX(D:D)-MIN(D:D))</f>
        <v>0.83773111195709959</v>
      </c>
      <c r="M37">
        <f>(MAX(E:E)-E37)/(MAX(E:E)-MIN(E:E))</f>
        <v>0.93811435422988132</v>
      </c>
      <c r="N37">
        <f>(MAX(F:F)-F37)/(MAX(F:F)-MIN(F:F))</f>
        <v>0.93442225717912897</v>
      </c>
      <c r="O37">
        <f>(MAX(G:G)-G37)/(MAX(G:G)-MIN(G:G))</f>
        <v>0.94493873966215147</v>
      </c>
      <c r="P37">
        <f>(MAX(H:H)-H37)/(MAX(H:H)-MIN(H:H))</f>
        <v>0.80558492294147832</v>
      </c>
      <c r="Q37">
        <f>(MAX(I:I)-I37)/(MAX(I:I)-MIN(I:I))</f>
        <v>0.7977445424914722</v>
      </c>
    </row>
    <row r="38" spans="1:17" x14ac:dyDescent="0.6">
      <c r="A38">
        <v>30</v>
      </c>
      <c r="B38" t="s">
        <v>92</v>
      </c>
      <c r="C38" t="s">
        <v>184</v>
      </c>
      <c r="D38">
        <v>7.1172234830000001</v>
      </c>
      <c r="E38">
        <v>0.27072464299999999</v>
      </c>
      <c r="F38">
        <v>5.5274770789999996</v>
      </c>
      <c r="G38">
        <v>0.40387515899999998</v>
      </c>
      <c r="H38">
        <v>4.5657958980000002</v>
      </c>
      <c r="I38">
        <v>0.33906506800000002</v>
      </c>
      <c r="J38">
        <f>SUM(L38:Q38)</f>
        <v>5.197491307182343</v>
      </c>
      <c r="K38">
        <f>0.5*SIN(RADIANS(60))*((L38*M38)+(M38*N38)+(N38*O38)+(O38*P38)+(P38*Q38)+(Q38*L38))</f>
        <v>1.9518920405334208</v>
      </c>
      <c r="L38">
        <f>(MAX(D:D)-D38)/(MAX(D:D)-MIN(D:D))</f>
        <v>0.83093578633526122</v>
      </c>
      <c r="M38">
        <f>(MAX(E:E)-E38)/(MAX(E:E)-MIN(E:E))</f>
        <v>0.93751784525227655</v>
      </c>
      <c r="N38">
        <f>(MAX(F:F)-F38)/(MAX(F:F)-MIN(F:F))</f>
        <v>0.90224445727628522</v>
      </c>
      <c r="O38">
        <f>(MAX(G:G)-G38)/(MAX(G:G)-MIN(G:G))</f>
        <v>0.92015578601116632</v>
      </c>
      <c r="P38">
        <f>(MAX(H:H)-H38)/(MAX(H:H)-MIN(H:H))</f>
        <v>0.81068719839707426</v>
      </c>
      <c r="Q38">
        <f>(MAX(I:I)-I38)/(MAX(I:I)-MIN(I:I))</f>
        <v>0.79595023391027864</v>
      </c>
    </row>
    <row r="39" spans="1:17" x14ac:dyDescent="0.6">
      <c r="A39">
        <v>10</v>
      </c>
      <c r="B39" t="s">
        <v>99</v>
      </c>
      <c r="C39" t="s">
        <v>184</v>
      </c>
      <c r="D39">
        <v>7.0933020459999998</v>
      </c>
      <c r="E39">
        <v>0.27127378499999999</v>
      </c>
      <c r="F39">
        <v>5.4057876450000002</v>
      </c>
      <c r="G39">
        <v>0.39638479300000001</v>
      </c>
      <c r="H39">
        <v>4.5213012700000004</v>
      </c>
      <c r="I39">
        <v>0.32774827400000001</v>
      </c>
      <c r="J39">
        <f>SUM(L39:Q39)</f>
        <v>5.3629259322198752</v>
      </c>
      <c r="K39">
        <f>0.5*SIN(RADIANS(60))*((L39*M39)+(M39*N39)+(N39*O39)+(O39*P39)+(P39*Q39)+(Q39*L39))</f>
        <v>2.0779376864278185</v>
      </c>
      <c r="L39">
        <f>(MAX(D:D)-D39)/(MAX(D:D)-MIN(D:D))</f>
        <v>0.83948810538089358</v>
      </c>
      <c r="M39">
        <f>(MAX(E:E)-E39)/(MAX(E:E)-MIN(E:E))</f>
        <v>0.93551445620483609</v>
      </c>
      <c r="N39">
        <f>(MAX(F:F)-F39)/(MAX(F:F)-MIN(F:F))</f>
        <v>0.95368225257106065</v>
      </c>
      <c r="O39">
        <f>(MAX(G:G)-G39)/(MAX(G:G)-MIN(G:G))</f>
        <v>0.95842826620457977</v>
      </c>
      <c r="P39">
        <f>(MAX(H:H)-H39)/(MAX(H:H)-MIN(H:H))</f>
        <v>0.82744196707088691</v>
      </c>
      <c r="Q39">
        <f>(MAX(I:I)-I39)/(MAX(I:I)-MIN(I:I))</f>
        <v>0.84837088478761846</v>
      </c>
    </row>
    <row r="40" spans="1:17" x14ac:dyDescent="0.6">
      <c r="A40">
        <v>5</v>
      </c>
      <c r="B40" t="s">
        <v>6</v>
      </c>
      <c r="C40" t="s">
        <v>174</v>
      </c>
      <c r="D40">
        <v>7.1018774059999998</v>
      </c>
      <c r="E40">
        <v>0.27159997299999999</v>
      </c>
      <c r="F40">
        <v>5.4605311270000003</v>
      </c>
      <c r="G40">
        <v>0.40031509500000001</v>
      </c>
      <c r="H40">
        <v>4.5845947269999998</v>
      </c>
      <c r="I40">
        <v>0.34339883399999999</v>
      </c>
      <c r="J40">
        <f>SUM(L40:Q40)</f>
        <v>5.2191193128672175</v>
      </c>
      <c r="K40">
        <f>0.5*SIN(RADIANS(60))*((L40*M40)+(M40*N40)+(N40*O40)+(O40*P40)+(P40*Q40)+(Q40*L40))</f>
        <v>1.9704727332645338</v>
      </c>
      <c r="L40">
        <f>(MAX(D:D)-D40)/(MAX(D:D)-MIN(D:D))</f>
        <v>0.83642226888239413</v>
      </c>
      <c r="M40">
        <f>(MAX(E:E)-E40)/(MAX(E:E)-MIN(E:E))</f>
        <v>0.93432445167666944</v>
      </c>
      <c r="N40">
        <f>(MAX(F:F)-F40)/(MAX(F:F)-MIN(F:F))</f>
        <v>0.93054233049007495</v>
      </c>
      <c r="O40">
        <f>(MAX(G:G)-G40)/(MAX(G:G)-MIN(G:G))</f>
        <v>0.93834614932949867</v>
      </c>
      <c r="P40">
        <f>(MAX(H:H)-H40)/(MAX(H:H)-MIN(H:H))</f>
        <v>0.80360836561677651</v>
      </c>
      <c r="Q40">
        <f>(MAX(I:I)-I40)/(MAX(I:I)-MIN(I:I))</f>
        <v>0.77587574687180438</v>
      </c>
    </row>
    <row r="41" spans="1:17" x14ac:dyDescent="0.6">
      <c r="A41">
        <v>90</v>
      </c>
      <c r="B41" t="s">
        <v>92</v>
      </c>
      <c r="C41" t="s">
        <v>7</v>
      </c>
      <c r="D41">
        <v>7.1349489999999998</v>
      </c>
      <c r="E41">
        <v>0.27160000000000001</v>
      </c>
      <c r="F41">
        <v>5.4568960000000004</v>
      </c>
      <c r="G41">
        <v>0.397374</v>
      </c>
      <c r="H41">
        <v>4.4688720000000002</v>
      </c>
      <c r="I41">
        <v>0.32714700000000002</v>
      </c>
      <c r="J41">
        <f>SUM(L41:Q41)</f>
        <v>5.3427163432296245</v>
      </c>
      <c r="K41">
        <f>0.5*SIN(RADIANS(60))*((L41*M41)+(M41*N41)+(N41*O41)+(O41*P41)+(P41*Q41)+(Q41*L41))</f>
        <v>2.0613821805842796</v>
      </c>
      <c r="L41">
        <f>(MAX(D:D)-D41)/(MAX(D:D)-MIN(D:D))</f>
        <v>0.82459861367156306</v>
      </c>
      <c r="M41">
        <f>(MAX(E:E)-E41)/(MAX(E:E)-MIN(E:E))</f>
        <v>0.93432435317481688</v>
      </c>
      <c r="N41">
        <f>(MAX(F:F)-F41)/(MAX(F:F)-MIN(F:F))</f>
        <v>0.93207888886125212</v>
      </c>
      <c r="O41">
        <f>(MAX(G:G)-G41)/(MAX(G:G)-MIN(G:G))</f>
        <v>0.95337385293362809</v>
      </c>
      <c r="P41">
        <f>(MAX(H:H)-H41)/(MAX(H:H)-MIN(H:H))</f>
        <v>0.84718458163071342</v>
      </c>
      <c r="Q41">
        <f>(MAX(I:I)-I41)/(MAX(I:I)-MIN(I:I))</f>
        <v>0.85115605295765151</v>
      </c>
    </row>
    <row r="42" spans="1:17" x14ac:dyDescent="0.6">
      <c r="A42">
        <v>5</v>
      </c>
      <c r="B42" t="s">
        <v>99</v>
      </c>
      <c r="C42" t="s">
        <v>174</v>
      </c>
      <c r="D42" s="13">
        <v>7.092219504</v>
      </c>
      <c r="E42">
        <v>0.271810475</v>
      </c>
      <c r="F42">
        <v>5.3916216429999997</v>
      </c>
      <c r="G42">
        <v>0.39572529000000001</v>
      </c>
      <c r="H42">
        <v>4.5201416019999998</v>
      </c>
      <c r="I42">
        <v>0.32848809400000001</v>
      </c>
      <c r="J42">
        <f>SUM(L42:Q42)</f>
        <v>5.3677224518879099</v>
      </c>
      <c r="K42">
        <f>0.5*SIN(RADIANS(60))*((L42*M42)+(M42*N42)+(N42*O42)+(O42*P42)+(P42*Q42)+(Q42*L42))</f>
        <v>2.0820968259149839</v>
      </c>
      <c r="L42">
        <f>(MAX(D:D)-D42)/(MAX(D:D)-MIN(D:D))</f>
        <v>0.83987513248818202</v>
      </c>
      <c r="M42">
        <f>(MAX(E:E)-E42)/(MAX(E:E)-MIN(E:E))</f>
        <v>0.93355649475247815</v>
      </c>
      <c r="N42">
        <f>(MAX(F:F)-F42)/(MAX(F:F)-MIN(F:F))</f>
        <v>0.95967018338041432</v>
      </c>
      <c r="O42">
        <f>(MAX(G:G)-G42)/(MAX(G:G)-MIN(G:G))</f>
        <v>0.96179803685463849</v>
      </c>
      <c r="P42">
        <f>(MAX(H:H)-H42)/(MAX(H:H)-MIN(H:H))</f>
        <v>0.82787864830526936</v>
      </c>
      <c r="Q42">
        <f>(MAX(I:I)-I42)/(MAX(I:I)-MIN(I:I))</f>
        <v>0.8449439561069273</v>
      </c>
    </row>
    <row r="43" spans="1:17" x14ac:dyDescent="0.6">
      <c r="A43">
        <v>10</v>
      </c>
      <c r="B43" t="s">
        <v>92</v>
      </c>
      <c r="C43" t="s">
        <v>184</v>
      </c>
      <c r="D43">
        <v>7.1144293689999998</v>
      </c>
      <c r="E43">
        <v>0.27191211599999998</v>
      </c>
      <c r="F43">
        <v>5.4626734910000003</v>
      </c>
      <c r="G43">
        <v>0.400141688</v>
      </c>
      <c r="H43">
        <v>4.5383300780000004</v>
      </c>
      <c r="I43">
        <v>0.33446566799999999</v>
      </c>
      <c r="J43">
        <f>SUM(L43:Q43)</f>
        <v>5.2722741732538632</v>
      </c>
      <c r="K43">
        <f>0.5*SIN(RADIANS(60))*((L43*M43)+(M43*N43)+(N43*O43)+(O43*P43)+(P43*Q43)+(Q43*L43))</f>
        <v>2.0087672320993448</v>
      </c>
      <c r="L43">
        <f>(MAX(D:D)-D43)/(MAX(D:D)-MIN(D:D))</f>
        <v>0.83193472943294677</v>
      </c>
      <c r="M43">
        <f>(MAX(E:E)-E43)/(MAX(E:E)-MIN(E:E))</f>
        <v>0.93318568635288224</v>
      </c>
      <c r="N43">
        <f>(MAX(F:F)-F43)/(MAX(F:F)-MIN(F:F))</f>
        <v>0.92963675900981901</v>
      </c>
      <c r="O43">
        <f>(MAX(G:G)-G43)/(MAX(G:G)-MIN(G:G))</f>
        <v>0.93923218293224919</v>
      </c>
      <c r="P43">
        <f>(MAX(H:H)-H43)/(MAX(H:H)-MIN(H:H))</f>
        <v>0.82102964828870106</v>
      </c>
      <c r="Q43">
        <f>(MAX(I:I)-I43)/(MAX(I:I)-MIN(I:I))</f>
        <v>0.81725516723726488</v>
      </c>
    </row>
    <row r="44" spans="1:17" x14ac:dyDescent="0.6">
      <c r="A44">
        <v>10</v>
      </c>
      <c r="B44" t="s">
        <v>92</v>
      </c>
      <c r="C44" t="s">
        <v>7</v>
      </c>
      <c r="D44">
        <v>7.1164800000000001</v>
      </c>
      <c r="E44">
        <v>0.27200000000000002</v>
      </c>
      <c r="F44">
        <v>5.4687929999999998</v>
      </c>
      <c r="G44">
        <v>0.40054499999999998</v>
      </c>
      <c r="H44">
        <v>4.6674189999999998</v>
      </c>
      <c r="I44">
        <v>0.34352199999999999</v>
      </c>
      <c r="J44">
        <f>SUM(L44:Q44)</f>
        <v>5.176013680117947</v>
      </c>
      <c r="K44">
        <f>0.5*SIN(RADIANS(60))*((L44*M44)+(M44*N44)+(N44*O44)+(O44*P44)+(P44*Q44)+(Q44*L44))</f>
        <v>1.9382527787745238</v>
      </c>
      <c r="L44">
        <f>(MAX(D:D)-D44)/(MAX(D:D)-MIN(D:D))</f>
        <v>0.83120159410512895</v>
      </c>
      <c r="M44">
        <f>(MAX(E:E)-E44)/(MAX(E:E)-MIN(E:E))</f>
        <v>0.93286506647123901</v>
      </c>
      <c r="N44">
        <f>(MAX(F:F)-F44)/(MAX(F:F)-MIN(F:F))</f>
        <v>0.92705005907294102</v>
      </c>
      <c r="O44">
        <f>(MAX(G:G)-G44)/(MAX(G:G)-MIN(G:G))</f>
        <v>0.9371714357629165</v>
      </c>
      <c r="P44">
        <f>(MAX(H:H)-H44)/(MAX(H:H)-MIN(H:H))</f>
        <v>0.77242029647072807</v>
      </c>
      <c r="Q44">
        <f>(MAX(I:I)-I44)/(MAX(I:I)-MIN(I:I))</f>
        <v>0.77530522823499259</v>
      </c>
    </row>
    <row r="45" spans="1:17" x14ac:dyDescent="0.6">
      <c r="A45">
        <v>10</v>
      </c>
      <c r="B45" t="s">
        <v>99</v>
      </c>
      <c r="C45" t="s">
        <v>8</v>
      </c>
      <c r="D45">
        <v>7.1114889999999997</v>
      </c>
      <c r="E45">
        <v>0.2722</v>
      </c>
      <c r="F45">
        <v>5.431991</v>
      </c>
      <c r="G45">
        <v>0.39815299999999998</v>
      </c>
      <c r="H45">
        <v>4.627014</v>
      </c>
      <c r="I45">
        <v>0.34491699999999997</v>
      </c>
      <c r="J45">
        <f>SUM(L45:Q45)</f>
        <v>5.2135995739472412</v>
      </c>
      <c r="K45">
        <f>0.5*SIN(RADIANS(60))*((L45*M45)+(M45*N45)+(N45*O45)+(O45*P45)+(P45*Q45)+(Q45*L45))</f>
        <v>1.9675127114119764</v>
      </c>
      <c r="L45">
        <f>(MAX(D:D)-D45)/(MAX(D:D)-MIN(D:D))</f>
        <v>0.83298596117123602</v>
      </c>
      <c r="M45">
        <f>(MAX(E:E)-E45)/(MAX(E:E)-MIN(E:E))</f>
        <v>0.93213542311945019</v>
      </c>
      <c r="N45">
        <f>(MAX(F:F)-F45)/(MAX(F:F)-MIN(F:F))</f>
        <v>0.94260616513912854</v>
      </c>
      <c r="O45">
        <f>(MAX(G:G)-G45)/(MAX(G:G)-MIN(G:G))</f>
        <v>0.94939350510140352</v>
      </c>
      <c r="P45">
        <f>(MAX(H:H)-H45)/(MAX(H:H)-MIN(H:H))</f>
        <v>0.78763508663068615</v>
      </c>
      <c r="Q45">
        <f>(MAX(I:I)-I45)/(MAX(I:I)-MIN(I:I))</f>
        <v>0.76884343278533718</v>
      </c>
    </row>
    <row r="46" spans="1:17" x14ac:dyDescent="0.6">
      <c r="A46">
        <v>20</v>
      </c>
      <c r="B46" t="s">
        <v>9</v>
      </c>
      <c r="C46" t="s">
        <v>167</v>
      </c>
      <c r="D46">
        <v>7.1109677749999998</v>
      </c>
      <c r="E46">
        <v>0.27237505200000001</v>
      </c>
      <c r="F46">
        <v>5.4359684699999997</v>
      </c>
      <c r="G46">
        <v>0.398415095</v>
      </c>
      <c r="H46">
        <v>4.5651245119999997</v>
      </c>
      <c r="I46">
        <v>0.336132084</v>
      </c>
      <c r="J46">
        <f>SUM(L46:Q46)</f>
        <v>5.274124473701308</v>
      </c>
      <c r="K46">
        <f>0.5*SIN(RADIANS(60))*((L46*M46)+(M46*N46)+(N46*O46)+(O46*P46)+(P46*Q46)+(Q46*L46))</f>
        <v>2.0110830234390016</v>
      </c>
      <c r="L46">
        <f>(MAX(D:D)-D46)/(MAX(D:D)-MIN(D:D))</f>
        <v>0.83317230794022645</v>
      </c>
      <c r="M46">
        <f>(MAX(E:E)-E46)/(MAX(E:E)-MIN(E:E))</f>
        <v>0.93149679547936337</v>
      </c>
      <c r="N46">
        <f>(MAX(F:F)-F46)/(MAX(F:F)-MIN(F:F))</f>
        <v>0.94092489930588374</v>
      </c>
      <c r="O46">
        <f>(MAX(G:G)-G46)/(MAX(G:G)-MIN(G:G))</f>
        <v>0.94805431477394908</v>
      </c>
      <c r="P46">
        <f>(MAX(H:H)-H46)/(MAX(H:H)-MIN(H:H))</f>
        <v>0.8109400135710958</v>
      </c>
      <c r="Q46">
        <f>(MAX(I:I)-I46)/(MAX(I:I)-MIN(I:I))</f>
        <v>0.80953614263078943</v>
      </c>
    </row>
    <row r="47" spans="1:17" x14ac:dyDescent="0.6">
      <c r="A47">
        <v>20</v>
      </c>
      <c r="B47" t="s">
        <v>9</v>
      </c>
      <c r="C47" t="s">
        <v>181</v>
      </c>
      <c r="D47">
        <v>7.1281889889999999</v>
      </c>
      <c r="E47">
        <v>0.272805046</v>
      </c>
      <c r="F47">
        <v>5.509611907</v>
      </c>
      <c r="G47">
        <v>0.40321809600000003</v>
      </c>
      <c r="H47">
        <v>4.9033813479999999</v>
      </c>
      <c r="I47">
        <v>0.35899666800000002</v>
      </c>
      <c r="J47">
        <f>SUM(L47:Q47)</f>
        <v>4.9774444604400285</v>
      </c>
      <c r="K47">
        <f>0.5*SIN(RADIANS(60))*((L47*M47)+(M47*N47)+(N47*O47)+(O47*P47)+(P47*Q47)+(Q47*L47))</f>
        <v>1.7967795658721557</v>
      </c>
      <c r="L47">
        <f>(MAX(D:D)-D47)/(MAX(D:D)-MIN(D:D))</f>
        <v>0.82701543214379714</v>
      </c>
      <c r="M47">
        <f>(MAX(E:E)-E47)/(MAX(E:E)-MIN(E:E))</f>
        <v>0.92992808416231776</v>
      </c>
      <c r="N47">
        <f>(MAX(F:F)-F47)/(MAX(F:F)-MIN(F:F))</f>
        <v>0.90979601726005455</v>
      </c>
      <c r="O47">
        <f>(MAX(G:G)-G47)/(MAX(G:G)-MIN(G:G))</f>
        <v>0.92351308933296972</v>
      </c>
      <c r="P47">
        <f>(MAX(H:H)-H47)/(MAX(H:H)-MIN(H:H))</f>
        <v>0.68356699587745917</v>
      </c>
      <c r="Q47">
        <f>(MAX(I:I)-I47)/(MAX(I:I)-MIN(I:I))</f>
        <v>0.70362484166342987</v>
      </c>
    </row>
    <row r="48" spans="1:17" x14ac:dyDescent="0.6">
      <c r="A48">
        <v>10</v>
      </c>
      <c r="B48" t="s">
        <v>6</v>
      </c>
      <c r="C48" t="s">
        <v>171</v>
      </c>
      <c r="D48">
        <v>7.118390496</v>
      </c>
      <c r="E48">
        <v>0.27302164499999998</v>
      </c>
      <c r="F48">
        <v>5.4122206430000004</v>
      </c>
      <c r="G48">
        <v>0.39672678099999997</v>
      </c>
      <c r="H48">
        <v>4.5758056639999998</v>
      </c>
      <c r="I48">
        <v>0.333067748</v>
      </c>
      <c r="J48">
        <f>SUM(L48:Q48)</f>
        <v>5.2979487811544459</v>
      </c>
      <c r="K48">
        <f>0.5*SIN(RADIANS(60))*((L48*M48)+(M48*N48)+(N48*O48)+(O48*P48)+(P48*Q48)+(Q48*L48))</f>
        <v>2.0290020485320914</v>
      </c>
      <c r="L48">
        <f>(MAX(D:D)-D48)/(MAX(D:D)-MIN(D:D))</f>
        <v>0.83051855941421959</v>
      </c>
      <c r="M48">
        <f>(MAX(E:E)-E48)/(MAX(E:E)-MIN(E:E))</f>
        <v>0.9291378840605472</v>
      </c>
      <c r="N48">
        <f>(MAX(F:F)-F48)/(MAX(F:F)-MIN(F:F))</f>
        <v>0.95096304168003365</v>
      </c>
      <c r="O48">
        <f>(MAX(G:G)-G48)/(MAX(G:G)-MIN(G:G))</f>
        <v>0.95668085773930811</v>
      </c>
      <c r="P48">
        <f>(MAX(H:H)-H48)/(MAX(H:H)-MIN(H:H))</f>
        <v>0.80691794980803144</v>
      </c>
      <c r="Q48">
        <f>(MAX(I:I)-I48)/(MAX(I:I)-MIN(I:I))</f>
        <v>0.82373048845230601</v>
      </c>
    </row>
    <row r="49" spans="1:17" x14ac:dyDescent="0.6">
      <c r="A49">
        <v>10</v>
      </c>
      <c r="B49" t="s">
        <v>6</v>
      </c>
      <c r="C49" t="s">
        <v>181</v>
      </c>
      <c r="D49">
        <v>7.1184178009999997</v>
      </c>
      <c r="E49">
        <v>0.27318807499999997</v>
      </c>
      <c r="F49">
        <v>5.4285737430000003</v>
      </c>
      <c r="G49">
        <v>0.39803273300000003</v>
      </c>
      <c r="H49">
        <v>4.7450561520000001</v>
      </c>
      <c r="I49">
        <v>0.34974935000000001</v>
      </c>
      <c r="J49">
        <f>SUM(L49:Q49)</f>
        <v>5.142743079588481</v>
      </c>
      <c r="K49">
        <f>0.5*SIN(RADIANS(60))*((L49*M49)+(M49*N49)+(N49*O49)+(O49*P49)+(P49*Q49)+(Q49*L49))</f>
        <v>1.9162196456832652</v>
      </c>
      <c r="L49">
        <f>(MAX(D:D)-D49)/(MAX(D:D)-MIN(D:D))</f>
        <v>0.83050879741407146</v>
      </c>
      <c r="M49">
        <f>(MAX(E:E)-E49)/(MAX(E:E)-MIN(E:E))</f>
        <v>0.92853071134535603</v>
      </c>
      <c r="N49">
        <f>(MAX(F:F)-F49)/(MAX(F:F)-MIN(F:F))</f>
        <v>0.94405063044936766</v>
      </c>
      <c r="O49">
        <f>(MAX(G:G)-G49)/(MAX(G:G)-MIN(G:G))</f>
        <v>0.95000801664535472</v>
      </c>
      <c r="P49">
        <f>(MAX(H:H)-H49)/(MAX(H:H)-MIN(H:H))</f>
        <v>0.74318547463440132</v>
      </c>
      <c r="Q49">
        <f>(MAX(I:I)-I49)/(MAX(I:I)-MIN(I:I))</f>
        <v>0.74645944909992989</v>
      </c>
    </row>
    <row r="50" spans="1:17" x14ac:dyDescent="0.6">
      <c r="A50">
        <v>90</v>
      </c>
      <c r="B50" t="s">
        <v>92</v>
      </c>
      <c r="C50" t="s">
        <v>171</v>
      </c>
      <c r="D50">
        <v>7.165108129</v>
      </c>
      <c r="E50">
        <v>0.27321265500000003</v>
      </c>
      <c r="F50">
        <v>5.4852905270000001</v>
      </c>
      <c r="G50">
        <v>0.39905069199999998</v>
      </c>
      <c r="H50">
        <v>4.7300415039999999</v>
      </c>
      <c r="I50">
        <v>0.34808540500000001</v>
      </c>
      <c r="J50">
        <f>SUM(L50:Q50)</f>
        <v>5.110146919346735</v>
      </c>
      <c r="K50">
        <f>0.5*SIN(RADIANS(60))*((L50*M50)+(M50*N50)+(N50*O50)+(O50*P50)+(P50*Q50)+(Q50*L50))</f>
        <v>1.8901539207212639</v>
      </c>
      <c r="L50">
        <f>(MAX(D:D)-D50)/(MAX(D:D)-MIN(D:D))</f>
        <v>0.81381621404622362</v>
      </c>
      <c r="M50">
        <f>(MAX(E:E)-E50)/(MAX(E:E)-MIN(E:E))</f>
        <v>0.92844103817742096</v>
      </c>
      <c r="N50">
        <f>(MAX(F:F)-F50)/(MAX(F:F)-MIN(F:F))</f>
        <v>0.92007659893920379</v>
      </c>
      <c r="O50">
        <f>(MAX(G:G)-G50)/(MAX(G:G)-MIN(G:G))</f>
        <v>0.94480669328342481</v>
      </c>
      <c r="P50">
        <f>(MAX(H:H)-H50)/(MAX(H:H)-MIN(H:H))</f>
        <v>0.74883934714140876</v>
      </c>
      <c r="Q50">
        <f>(MAX(I:I)-I50)/(MAX(I:I)-MIN(I:I))</f>
        <v>0.75416702775905331</v>
      </c>
    </row>
    <row r="51" spans="1:17" x14ac:dyDescent="0.6">
      <c r="A51">
        <v>5</v>
      </c>
      <c r="B51" t="s">
        <v>92</v>
      </c>
      <c r="C51" t="s">
        <v>174</v>
      </c>
      <c r="D51">
        <v>7.1141418810000001</v>
      </c>
      <c r="E51">
        <v>0.27338674800000001</v>
      </c>
      <c r="F51">
        <v>5.4146337469999999</v>
      </c>
      <c r="G51">
        <v>0.39730070099999998</v>
      </c>
      <c r="H51">
        <v>4.578613281</v>
      </c>
      <c r="I51">
        <v>0.33754725200000002</v>
      </c>
      <c r="J51">
        <f>SUM(L51:Q51)</f>
        <v>5.272376476614812</v>
      </c>
      <c r="K51">
        <f>0.5*SIN(RADIANS(60))*((L51*M51)+(M51*N51)+(N51*O51)+(O51*P51)+(P51*Q51)+(Q51*L51))</f>
        <v>2.010533442481611</v>
      </c>
      <c r="L51">
        <f>(MAX(D:D)-D51)/(MAX(D:D)-MIN(D:D))</f>
        <v>0.83203751126406278</v>
      </c>
      <c r="M51">
        <f>(MAX(E:E)-E51)/(MAX(E:E)-MIN(E:E))</f>
        <v>0.92780590917720607</v>
      </c>
      <c r="N51">
        <f>(MAX(F:F)-F51)/(MAX(F:F)-MIN(F:F))</f>
        <v>0.94994302913254347</v>
      </c>
      <c r="O51">
        <f>(MAX(G:G)-G51)/(MAX(G:G)-MIN(G:G))</f>
        <v>0.95374837862779283</v>
      </c>
      <c r="P51">
        <f>(MAX(H:H)-H51)/(MAX(H:H)-MIN(H:H))</f>
        <v>0.80586072165546285</v>
      </c>
      <c r="Q51">
        <f>(MAX(I:I)-I51)/(MAX(I:I)-MIN(I:I))</f>
        <v>0.80298092675774413</v>
      </c>
    </row>
    <row r="52" spans="1:17" x14ac:dyDescent="0.6">
      <c r="A52">
        <v>20</v>
      </c>
      <c r="B52" t="s">
        <v>99</v>
      </c>
      <c r="C52" t="s">
        <v>174</v>
      </c>
      <c r="D52">
        <v>7.1590788879999998</v>
      </c>
      <c r="E52">
        <v>0.273630822</v>
      </c>
      <c r="F52">
        <v>5.5988294810000001</v>
      </c>
      <c r="G52">
        <v>0.40915770499999998</v>
      </c>
      <c r="H52">
        <v>4.8211669920000002</v>
      </c>
      <c r="I52">
        <v>0.35089346500000002</v>
      </c>
      <c r="J52">
        <f>SUM(L52:Q52)</f>
        <v>4.9638207073439595</v>
      </c>
      <c r="K52">
        <f>0.5*SIN(RADIANS(60))*((L52*M52)+(M52*N52)+(N52*O52)+(O52*P52)+(P52*Q52)+(Q52*L52))</f>
        <v>1.7823369212369204</v>
      </c>
      <c r="L52">
        <f>(MAX(D:D)-D52)/(MAX(D:D)-MIN(D:D))</f>
        <v>0.81597176986149544</v>
      </c>
      <c r="M52">
        <f>(MAX(E:E)-E52)/(MAX(E:E)-MIN(E:E))</f>
        <v>0.92691547431998345</v>
      </c>
      <c r="N52">
        <f>(MAX(F:F)-F52)/(MAX(F:F)-MIN(F:F))</f>
        <v>0.87208398954112776</v>
      </c>
      <c r="O52">
        <f>(MAX(G:G)-G52)/(MAX(G:G)-MIN(G:G))</f>
        <v>0.89316429625541927</v>
      </c>
      <c r="P52">
        <f>(MAX(H:H)-H52)/(MAX(H:H)-MIN(H:H))</f>
        <v>0.71452539643867918</v>
      </c>
      <c r="Q52">
        <f>(MAX(I:I)-I52)/(MAX(I:I)-MIN(I:I))</f>
        <v>0.74115978092725421</v>
      </c>
    </row>
    <row r="53" spans="1:17" x14ac:dyDescent="0.6">
      <c r="A53">
        <v>10</v>
      </c>
      <c r="B53" t="s">
        <v>92</v>
      </c>
      <c r="C53" t="s">
        <v>177</v>
      </c>
      <c r="D53">
        <v>7.1431431080000003</v>
      </c>
      <c r="E53">
        <v>0.27378740699999998</v>
      </c>
      <c r="F53">
        <v>5.5197159759999996</v>
      </c>
      <c r="G53">
        <v>0.40412142600000001</v>
      </c>
      <c r="H53">
        <v>4.4171752929999997</v>
      </c>
      <c r="I53">
        <v>0.32674482700000002</v>
      </c>
      <c r="J53">
        <f>SUM(L53:Q53)</f>
        <v>5.2921061313903452</v>
      </c>
      <c r="K53">
        <f>0.5*SIN(RADIANS(60))*((L53*M53)+(M53*N53)+(N53*O53)+(O53*P53)+(P53*Q53)+(Q53*L53))</f>
        <v>2.0215605233972527</v>
      </c>
      <c r="L53">
        <f>(MAX(D:D)-D53)/(MAX(D:D)-MIN(D:D))</f>
        <v>0.82166908122289073</v>
      </c>
      <c r="M53">
        <f>(MAX(E:E)-E53)/(MAX(E:E)-MIN(E:E))</f>
        <v>0.92634421829878411</v>
      </c>
      <c r="N53">
        <f>(MAX(F:F)-F53)/(MAX(F:F)-MIN(F:F))</f>
        <v>0.90552505456606847</v>
      </c>
      <c r="O53">
        <f>(MAX(G:G)-G53)/(MAX(G:G)-MIN(G:G))</f>
        <v>0.91889746981142495</v>
      </c>
      <c r="P53">
        <f>(MAX(H:H)-H53)/(MAX(H:H)-MIN(H:H))</f>
        <v>0.86665134438200286</v>
      </c>
      <c r="Q53">
        <f>(MAX(I:I)-I53)/(MAX(I:I)-MIN(I:I))</f>
        <v>0.85301896310917424</v>
      </c>
    </row>
    <row r="54" spans="1:17" x14ac:dyDescent="0.6">
      <c r="A54">
        <v>10</v>
      </c>
      <c r="B54" t="s">
        <v>99</v>
      </c>
      <c r="C54" t="s">
        <v>171</v>
      </c>
      <c r="D54">
        <v>7.1364558499999999</v>
      </c>
      <c r="E54">
        <v>0.274404969</v>
      </c>
      <c r="F54">
        <v>5.477234427</v>
      </c>
      <c r="G54">
        <v>0.40156658099999998</v>
      </c>
      <c r="H54">
        <v>4.4888916019999998</v>
      </c>
      <c r="I54">
        <v>0.32502688800000001</v>
      </c>
      <c r="J54">
        <f>SUM(L54:Q54)</f>
        <v>5.3042073098488407</v>
      </c>
      <c r="K54">
        <f>0.5*SIN(RADIANS(60))*((L54*M54)+(M54*N54)+(N54*O54)+(O54*P54)+(P54*Q54)+(Q54*L54))</f>
        <v>2.0310243863906781</v>
      </c>
      <c r="L54">
        <f>(MAX(D:D)-D54)/(MAX(D:D)-MIN(D:D))</f>
        <v>0.82405988926491847</v>
      </c>
      <c r="M54">
        <f>(MAX(E:E)-E54)/(MAX(E:E)-MIN(E:E))</f>
        <v>0.92409121826069673</v>
      </c>
      <c r="N54">
        <f>(MAX(F:F)-F54)/(MAX(F:F)-MIN(F:F))</f>
        <v>0.92348189066464847</v>
      </c>
      <c r="O54">
        <f>(MAX(G:G)-G54)/(MAX(G:G)-MIN(G:G))</f>
        <v>0.93195160557191281</v>
      </c>
      <c r="P54">
        <f>(MAX(H:H)-H54)/(MAX(H:H)-MIN(H:H))</f>
        <v>0.83964605809362958</v>
      </c>
      <c r="Q54">
        <f>(MAX(I:I)-I54)/(MAX(I:I)-MIN(I:I))</f>
        <v>0.86097664799303508</v>
      </c>
    </row>
    <row r="55" spans="1:17" x14ac:dyDescent="0.6">
      <c r="A55">
        <v>30</v>
      </c>
      <c r="B55" t="s">
        <v>6</v>
      </c>
      <c r="C55" t="s">
        <v>181</v>
      </c>
      <c r="D55">
        <v>7.1613486200000001</v>
      </c>
      <c r="E55">
        <v>0.274647417</v>
      </c>
      <c r="F55">
        <v>5.4657379449999999</v>
      </c>
      <c r="G55">
        <v>0.39960011200000001</v>
      </c>
      <c r="H55">
        <v>4.4232177730000002</v>
      </c>
      <c r="I55">
        <v>0.32861494000000002</v>
      </c>
      <c r="J55">
        <f>SUM(L55:Q55)</f>
        <v>5.3174402354601744</v>
      </c>
      <c r="K55">
        <f>0.5*SIN(RADIANS(60))*((L55*M55)+(M55*N55)+(N55*O55)+(O55*P55)+(P55*Q55)+(Q55*L55))</f>
        <v>2.0422950793676855</v>
      </c>
      <c r="L55">
        <f>(MAX(D:D)-D55)/(MAX(D:D)-MIN(D:D))</f>
        <v>0.81516030221379165</v>
      </c>
      <c r="M55">
        <f>(MAX(E:E)-E55)/(MAX(E:E)-MIN(E:E))</f>
        <v>0.92320671540392407</v>
      </c>
      <c r="N55">
        <f>(MAX(F:F)-F55)/(MAX(F:F)-MIN(F:F))</f>
        <v>0.92834142257541474</v>
      </c>
      <c r="O55">
        <f>(MAX(G:G)-G55)/(MAX(G:G)-MIN(G:G))</f>
        <v>0.94199939841053526</v>
      </c>
      <c r="P55">
        <f>(MAX(H:H)-H55)/(MAX(H:H)-MIN(H:H))</f>
        <v>0.86437600555646765</v>
      </c>
      <c r="Q55">
        <f>(MAX(I:I)-I55)/(MAX(I:I)-MIN(I:I))</f>
        <v>0.84435639130004048</v>
      </c>
    </row>
    <row r="56" spans="1:17" x14ac:dyDescent="0.6">
      <c r="A56">
        <v>90</v>
      </c>
      <c r="B56" s="31" t="s">
        <v>571</v>
      </c>
      <c r="C56" t="s">
        <v>167</v>
      </c>
      <c r="D56" s="31">
        <v>6.6443390039999999</v>
      </c>
      <c r="E56">
        <v>0.27472638700000002</v>
      </c>
      <c r="F56" s="31">
        <v>5.4078646570000002</v>
      </c>
      <c r="G56" s="31">
        <v>0.42159999500000001</v>
      </c>
      <c r="H56" s="31">
        <v>4.8036702470000003</v>
      </c>
      <c r="I56" s="31">
        <v>0.37511363599999997</v>
      </c>
      <c r="J56">
        <f>SUM(L56:Q56)</f>
        <v>5.055395750580133</v>
      </c>
      <c r="K56">
        <f>0.5*SIN(RADIANS(60))*((L56*M56)+(M56*N56)+(N56*O56)+(O56*P56)+(P56*Q56)+(Q56*L56))</f>
        <v>1.8504678426168113</v>
      </c>
      <c r="L56">
        <f>(MAX(D:D)-D56)/(MAX(D:D)-MIN(D:D))</f>
        <v>1</v>
      </c>
      <c r="M56">
        <f>(MAX(E:E)-E56)/(MAX(E:E)-MIN(E:E))</f>
        <v>0.92291861572647016</v>
      </c>
      <c r="N56">
        <f>(MAX(F:F)-F56)/(MAX(F:F)-MIN(F:F))</f>
        <v>0.9528043052048103</v>
      </c>
      <c r="O56">
        <f>(MAX(G:G)-G56)/(MAX(G:G)-MIN(G:G))</f>
        <v>0.82958965950392949</v>
      </c>
      <c r="P56">
        <f>(MAX(H:H)-H56)/(MAX(H:H)-MIN(H:H))</f>
        <v>0.72111392022675724</v>
      </c>
      <c r="Q56">
        <f>(MAX(I:I)-I56)/(MAX(I:I)-MIN(I:I))</f>
        <v>0.62896924991816572</v>
      </c>
    </row>
    <row r="57" spans="1:17" x14ac:dyDescent="0.6">
      <c r="A57">
        <v>20</v>
      </c>
      <c r="B57" t="s">
        <v>92</v>
      </c>
      <c r="C57" t="s">
        <v>167</v>
      </c>
      <c r="D57">
        <v>7.1424367550000003</v>
      </c>
      <c r="E57">
        <v>0.27479675100000001</v>
      </c>
      <c r="F57">
        <v>5.4602005570000003</v>
      </c>
      <c r="G57">
        <v>0.400068282</v>
      </c>
      <c r="H57">
        <v>4.5690917969999996</v>
      </c>
      <c r="I57">
        <v>0.337541019</v>
      </c>
      <c r="J57">
        <f>SUM(L57:Q57)</f>
        <v>5.2273287467697704</v>
      </c>
      <c r="K57">
        <f>0.5*SIN(RADIANS(60))*((L57*M57)+(M57*N57)+(N57*O57)+(O57*P57)+(P57*Q57)+(Q57*L57))</f>
        <v>1.975448101516657</v>
      </c>
      <c r="L57">
        <f>(MAX(D:D)-D57)/(MAX(D:D)-MIN(D:D))</f>
        <v>0.8219216143886382</v>
      </c>
      <c r="M57">
        <f>(MAX(E:E)-E57)/(MAX(E:E)-MIN(E:E))</f>
        <v>0.92266191260244379</v>
      </c>
      <c r="N57">
        <f>(MAX(F:F)-F57)/(MAX(F:F)-MIN(F:F))</f>
        <v>0.93068206153681976</v>
      </c>
      <c r="O57">
        <f>(MAX(G:G)-G57)/(MAX(G:G)-MIN(G:G))</f>
        <v>0.93960725534941514</v>
      </c>
      <c r="P57">
        <f>(MAX(H:H)-H57)/(MAX(H:H)-MIN(H:H))</f>
        <v>0.80944610418414498</v>
      </c>
      <c r="Q57">
        <f>(MAX(I:I)-I57)/(MAX(I:I)-MIN(I:I))</f>
        <v>0.80300979870830891</v>
      </c>
    </row>
    <row r="58" spans="1:17" x14ac:dyDescent="0.6">
      <c r="A58">
        <v>10</v>
      </c>
      <c r="B58" t="s">
        <v>6</v>
      </c>
      <c r="C58" t="s">
        <v>177</v>
      </c>
      <c r="D58">
        <v>7.1317229129999999</v>
      </c>
      <c r="E58">
        <v>0.27480635199999998</v>
      </c>
      <c r="F58">
        <v>5.4402314580000004</v>
      </c>
      <c r="G58">
        <v>0.39915139199999999</v>
      </c>
      <c r="H58">
        <v>4.3818969729999999</v>
      </c>
      <c r="I58">
        <v>0.32080249</v>
      </c>
      <c r="J58">
        <f>SUM(L58:Q58)</f>
        <v>5.3922741637978566</v>
      </c>
      <c r="K58">
        <f>0.5*SIN(RADIANS(60))*((L58*M58)+(M58*N58)+(N58*O58)+(O58*P58)+(P58*Q58)+(Q58*L58))</f>
        <v>2.0992359492601018</v>
      </c>
      <c r="L58">
        <f>(MAX(D:D)-D58)/(MAX(D:D)-MIN(D:D))</f>
        <v>0.82575199443597813</v>
      </c>
      <c r="M58">
        <f>(MAX(E:E)-E58)/(MAX(E:E)-MIN(E:E))</f>
        <v>0.92262688607334131</v>
      </c>
      <c r="N58">
        <f>(MAX(F:F)-F58)/(MAX(F:F)-MIN(F:F))</f>
        <v>0.93912294578469213</v>
      </c>
      <c r="O58">
        <f>(MAX(G:G)-G58)/(MAX(G:G)-MIN(G:G))</f>
        <v>0.94429216051486886</v>
      </c>
      <c r="P58">
        <f>(MAX(H:H)-H58)/(MAX(H:H)-MIN(H:H))</f>
        <v>0.87993564672071967</v>
      </c>
      <c r="Q58">
        <f>(MAX(I:I)-I58)/(MAX(I:I)-MIN(I:I))</f>
        <v>0.88054453026825663</v>
      </c>
    </row>
    <row r="59" spans="1:17" x14ac:dyDescent="0.6">
      <c r="A59">
        <v>10</v>
      </c>
      <c r="B59" t="s">
        <v>99</v>
      </c>
      <c r="C59" t="s">
        <v>174</v>
      </c>
      <c r="D59">
        <v>7.150513235</v>
      </c>
      <c r="E59">
        <v>0.27492379300000003</v>
      </c>
      <c r="F59">
        <v>5.4828005089999996</v>
      </c>
      <c r="G59">
        <v>0.40173450700000002</v>
      </c>
      <c r="H59">
        <v>4.5423583980000002</v>
      </c>
      <c r="I59">
        <v>0.33483871100000001</v>
      </c>
      <c r="J59">
        <f>SUM(L59:Q59)</f>
        <v>5.2284952183207007</v>
      </c>
      <c r="K59">
        <f>0.5*SIN(RADIANS(60))*((L59*M59)+(M59*N59)+(N59*O59)+(O59*P59)+(P59*Q59)+(Q59*L59))</f>
        <v>1.9752982269475159</v>
      </c>
      <c r="L59">
        <f>(MAX(D:D)-D59)/(MAX(D:D)-MIN(D:D))</f>
        <v>0.81903413594302199</v>
      </c>
      <c r="M59">
        <f>(MAX(E:E)-E59)/(MAX(E:E)-MIN(E:E))</f>
        <v>0.92219843584895389</v>
      </c>
      <c r="N59">
        <f>(MAX(F:F)-F59)/(MAX(F:F)-MIN(F:F))</f>
        <v>0.92112912282689263</v>
      </c>
      <c r="O59">
        <f>(MAX(G:G)-G59)/(MAX(G:G)-MIN(G:G))</f>
        <v>0.93109357747168908</v>
      </c>
      <c r="P59">
        <f>(MAX(H:H)-H59)/(MAX(H:H)-MIN(H:H))</f>
        <v>0.81951275573834437</v>
      </c>
      <c r="Q59">
        <f>(MAX(I:I)-I59)/(MAX(I:I)-MIN(I:I))</f>
        <v>0.81552719049179823</v>
      </c>
    </row>
    <row r="60" spans="1:17" x14ac:dyDescent="0.6">
      <c r="A60">
        <v>5</v>
      </c>
      <c r="B60" t="s">
        <v>6</v>
      </c>
      <c r="C60" t="s">
        <v>177</v>
      </c>
      <c r="D60">
        <v>7.1274443940000003</v>
      </c>
      <c r="E60">
        <v>0.27499322900000001</v>
      </c>
      <c r="F60">
        <v>5.4261025429999998</v>
      </c>
      <c r="G60">
        <v>0.398301829</v>
      </c>
      <c r="H60">
        <v>4.4005126949999998</v>
      </c>
      <c r="I60">
        <v>0.33017576999999998</v>
      </c>
      <c r="J60">
        <f>SUM(L60:Q60)</f>
        <v>5.353007227039984</v>
      </c>
      <c r="K60">
        <f>0.5*SIN(RADIANS(60))*((L60*M60)+(M60*N60)+(N60*O60)+(O60*P60)+(P60*Q60)+(Q60*L60))</f>
        <v>2.0706483565804392</v>
      </c>
      <c r="L60">
        <f>(MAX(D:D)-D60)/(MAX(D:D)-MIN(D:D))</f>
        <v>0.82728163747250627</v>
      </c>
      <c r="M60">
        <f>(MAX(E:E)-E60)/(MAX(E:E)-MIN(E:E))</f>
        <v>0.92194511827007986</v>
      </c>
      <c r="N60">
        <f>(MAX(F:F)-F60)/(MAX(F:F)-MIN(F:F))</f>
        <v>0.94509520001924885</v>
      </c>
      <c r="O60">
        <f>(MAX(G:G)-G60)/(MAX(G:G)-MIN(G:G))</f>
        <v>0.94863305428301814</v>
      </c>
      <c r="P60">
        <f>(MAX(H:H)-H60)/(MAX(H:H)-MIN(H:H))</f>
        <v>0.87292576418375356</v>
      </c>
      <c r="Q60">
        <f>(MAX(I:I)-I60)/(MAX(I:I)-MIN(I:I))</f>
        <v>0.83712645281137699</v>
      </c>
    </row>
    <row r="61" spans="1:17" x14ac:dyDescent="0.6">
      <c r="A61">
        <v>30</v>
      </c>
      <c r="B61" t="s">
        <v>92</v>
      </c>
      <c r="C61" t="s">
        <v>171</v>
      </c>
      <c r="D61">
        <v>7.1621247610000003</v>
      </c>
      <c r="E61">
        <v>0.275117677</v>
      </c>
      <c r="F61">
        <v>5.5567585470000003</v>
      </c>
      <c r="G61">
        <v>0.40637251200000002</v>
      </c>
      <c r="H61">
        <v>4.4996948239999996</v>
      </c>
      <c r="I61">
        <v>0.327213262</v>
      </c>
      <c r="J61">
        <f>SUM(L61:Q61)</f>
        <v>5.2200637405454628</v>
      </c>
      <c r="K61">
        <f>0.5*SIN(RADIANS(60))*((L61*M61)+(M61*N61)+(N61*O61)+(O61*P61)+(P61*Q61)+(Q61*L61))</f>
        <v>1.9662527964501946</v>
      </c>
      <c r="L61">
        <f>(MAX(D:D)-D61)/(MAX(D:D)-MIN(D:D))</f>
        <v>0.81488281865557577</v>
      </c>
      <c r="M61">
        <f>(MAX(E:E)-E61)/(MAX(E:E)-MIN(E:E))</f>
        <v>0.92149110499086273</v>
      </c>
      <c r="N61">
        <f>(MAX(F:F)-F61)/(MAX(F:F)-MIN(F:F))</f>
        <v>0.88986725978751591</v>
      </c>
      <c r="O61">
        <f>(MAX(G:G)-G61)/(MAX(G:G)-MIN(G:G))</f>
        <v>0.90739540911790595</v>
      </c>
      <c r="P61">
        <f>(MAX(H:H)-H61)/(MAX(H:H)-MIN(H:H))</f>
        <v>0.83557802800375358</v>
      </c>
      <c r="Q61">
        <f>(MAX(I:I)-I61)/(MAX(I:I)-MIN(I:I))</f>
        <v>0.85084911998984858</v>
      </c>
    </row>
    <row r="62" spans="1:17" x14ac:dyDescent="0.6">
      <c r="A62">
        <v>20</v>
      </c>
      <c r="B62" t="s">
        <v>99</v>
      </c>
      <c r="C62" t="s">
        <v>167</v>
      </c>
      <c r="D62">
        <v>7.1612871980000001</v>
      </c>
      <c r="E62">
        <v>0.27517145100000001</v>
      </c>
      <c r="F62">
        <v>5.4898941609999996</v>
      </c>
      <c r="G62">
        <v>0.40188889100000003</v>
      </c>
      <c r="H62">
        <v>4.5536499020000001</v>
      </c>
      <c r="I62">
        <v>0.33393390000000001</v>
      </c>
      <c r="J62">
        <f>SUM(L62:Q62)</f>
        <v>5.2198918211770344</v>
      </c>
      <c r="K62">
        <f>0.5*SIN(RADIANS(60))*((L62*M62)+(M62*N62)+(N62*O62)+(O62*P62)+(P62*Q62)+(Q62*L62))</f>
        <v>1.968466619318993</v>
      </c>
      <c r="L62">
        <f>(MAX(D:D)-D62)/(MAX(D:D)-MIN(D:D))</f>
        <v>0.8151822616195088</v>
      </c>
      <c r="M62">
        <f>(MAX(E:E)-E62)/(MAX(E:E)-MIN(E:E))</f>
        <v>0.9212949257828672</v>
      </c>
      <c r="N62">
        <f>(MAX(F:F)-F62)/(MAX(F:F)-MIN(F:F))</f>
        <v>0.91813065527326443</v>
      </c>
      <c r="O62">
        <f>(MAX(G:G)-G62)/(MAX(G:G)-MIN(G:G))</f>
        <v>0.93030474304328059</v>
      </c>
      <c r="P62">
        <f>(MAX(H:H)-H62)/(MAX(H:H)-MIN(H:H))</f>
        <v>0.81526085958810746</v>
      </c>
      <c r="Q62">
        <f>(MAX(I:I)-I62)/(MAX(I:I)-MIN(I:I))</f>
        <v>0.81971837587000485</v>
      </c>
    </row>
    <row r="63" spans="1:17" x14ac:dyDescent="0.6">
      <c r="A63">
        <v>5</v>
      </c>
      <c r="B63" t="s">
        <v>99</v>
      </c>
      <c r="C63" t="s">
        <v>167</v>
      </c>
      <c r="D63">
        <v>7.1365300339999997</v>
      </c>
      <c r="E63">
        <v>0.27521844099999998</v>
      </c>
      <c r="F63">
        <v>5.4294058400000003</v>
      </c>
      <c r="G63">
        <v>0.39845836899999998</v>
      </c>
      <c r="H63">
        <v>4.3968505860000002</v>
      </c>
      <c r="I63">
        <v>0.32197364499999998</v>
      </c>
      <c r="J63">
        <f>SUM(L63:Q63)</f>
        <v>5.3861133394198948</v>
      </c>
      <c r="K63">
        <f>0.5*SIN(RADIANS(60))*((L63*M63)+(M63*N63)+(N63*O63)+(O63*P63)+(P63*Q63)+(Q63*L63))</f>
        <v>2.0947911614045438</v>
      </c>
      <c r="L63">
        <f>(MAX(D:D)-D63)/(MAX(D:D)-MIN(D:D))</f>
        <v>0.82403336722796561</v>
      </c>
      <c r="M63">
        <f>(MAX(E:E)-E63)/(MAX(E:E)-MIN(E:E))</f>
        <v>0.92112349607736455</v>
      </c>
      <c r="N63">
        <f>(MAX(F:F)-F63)/(MAX(F:F)-MIN(F:F))</f>
        <v>0.94369890529341527</v>
      </c>
      <c r="O63">
        <f>(MAX(G:G)-G63)/(MAX(G:G)-MIN(G:G))</f>
        <v>0.94783320364161072</v>
      </c>
      <c r="P63">
        <f>(MAX(H:H)-H63)/(MAX(H:H)-MIN(H:H))</f>
        <v>0.87430475737711799</v>
      </c>
      <c r="Q63">
        <f>(MAX(I:I)-I63)/(MAX(I:I)-MIN(I:I))</f>
        <v>0.87511960980242065</v>
      </c>
    </row>
    <row r="64" spans="1:17" x14ac:dyDescent="0.6">
      <c r="A64">
        <v>10</v>
      </c>
      <c r="B64" t="s">
        <v>6</v>
      </c>
      <c r="C64" t="s">
        <v>184</v>
      </c>
      <c r="D64">
        <v>7.1531664460000002</v>
      </c>
      <c r="E64">
        <v>0.27550402299999999</v>
      </c>
      <c r="F64">
        <v>5.4249386409999998</v>
      </c>
      <c r="G64">
        <v>0.39757794600000002</v>
      </c>
      <c r="H64">
        <v>4.6130371090000004</v>
      </c>
      <c r="I64">
        <v>0.33746517799999998</v>
      </c>
      <c r="J64">
        <f>SUM(L64:Q64)</f>
        <v>5.2323454428311766</v>
      </c>
      <c r="K64">
        <f>0.5*SIN(RADIANS(60))*((L64*M64)+(M64*N64)+(N64*O64)+(O64*P64)+(P64*Q64)+(Q64*L64))</f>
        <v>1.9799676565394559</v>
      </c>
      <c r="L64">
        <f>(MAX(D:D)-D64)/(MAX(D:D)-MIN(D:D))</f>
        <v>0.81808556805525745</v>
      </c>
      <c r="M64">
        <f>(MAX(E:E)-E64)/(MAX(E:E)-MIN(E:E))</f>
        <v>0.92008163103891161</v>
      </c>
      <c r="N64">
        <f>(MAX(F:F)-F64)/(MAX(F:F)-MIN(F:F))</f>
        <v>0.94558717825311245</v>
      </c>
      <c r="O64">
        <f>(MAX(G:G)-G64)/(MAX(G:G)-MIN(G:G))</f>
        <v>0.95233177845482064</v>
      </c>
      <c r="P64">
        <f>(MAX(H:H)-H64)/(MAX(H:H)-MIN(H:H))</f>
        <v>0.79289818435754178</v>
      </c>
      <c r="Q64">
        <f>(MAX(I:I)-I64)/(MAX(I:I)-MIN(I:I))</f>
        <v>0.80336110267153282</v>
      </c>
    </row>
    <row r="65" spans="1:17" x14ac:dyDescent="0.6">
      <c r="A65">
        <v>90</v>
      </c>
      <c r="B65" s="31" t="s">
        <v>571</v>
      </c>
      <c r="C65" s="31" t="s">
        <v>181</v>
      </c>
      <c r="D65" s="31">
        <v>6.7038320489999998</v>
      </c>
      <c r="E65">
        <v>0.27587378099999998</v>
      </c>
      <c r="F65" s="31">
        <v>5.2962110109999996</v>
      </c>
      <c r="G65" s="31">
        <v>0.41302632299999997</v>
      </c>
      <c r="H65" s="31">
        <v>4.6418457030000004</v>
      </c>
      <c r="I65" s="31">
        <v>0.36183411300000001</v>
      </c>
      <c r="J65">
        <f>SUM(L65:Q65)</f>
        <v>5.2433918432137467</v>
      </c>
      <c r="K65">
        <f>0.5*SIN(RADIANS(60))*((L65*M65)+(M65*N65)+(N65*O65)+(O65*P65)+(P65*Q65)+(Q65*L65))</f>
        <v>1.9875924630634128</v>
      </c>
      <c r="L65">
        <f>(MAX(D:D)-D65)/(MAX(D:D)-MIN(D:D))</f>
        <v>0.97873022837899926</v>
      </c>
      <c r="M65">
        <f>(MAX(E:E)-E65)/(MAX(E:E)-MIN(E:E))</f>
        <v>0.91873267370655776</v>
      </c>
      <c r="N65">
        <f>(MAX(F:F)-F65)/(MAX(F:F)-MIN(F:F))</f>
        <v>1</v>
      </c>
      <c r="O65">
        <f>(MAX(G:G)-G65)/(MAX(G:G)-MIN(G:G))</f>
        <v>0.87339735752627257</v>
      </c>
      <c r="P65">
        <f>(MAX(H:H)-H65)/(MAX(H:H)-MIN(H:H))</f>
        <v>0.78205010336475789</v>
      </c>
      <c r="Q65">
        <f>(MAX(I:I)-I65)/(MAX(I:I)-MIN(I:I))</f>
        <v>0.69048148023715905</v>
      </c>
    </row>
    <row r="66" spans="1:17" x14ac:dyDescent="0.6">
      <c r="A66">
        <v>5</v>
      </c>
      <c r="B66" t="s">
        <v>6</v>
      </c>
      <c r="C66" t="s">
        <v>8</v>
      </c>
      <c r="D66">
        <v>7.1444564289999999</v>
      </c>
      <c r="E66">
        <v>0.27593425999999999</v>
      </c>
      <c r="F66">
        <v>5.394038213</v>
      </c>
      <c r="G66">
        <v>0.39588277399999999</v>
      </c>
      <c r="H66">
        <v>4.6175537110000002</v>
      </c>
      <c r="I66">
        <v>0.33884469299999997</v>
      </c>
      <c r="J66">
        <f>SUM(L66:Q66)</f>
        <v>5.2475221096842422</v>
      </c>
      <c r="K66">
        <f>0.5*SIN(RADIANS(60))*((L66*M66)+(M66*N66)+(N66*O66)+(O66*P66)+(P66*Q66)+(Q66*L66))</f>
        <v>1.9924803389481611</v>
      </c>
      <c r="L66">
        <f>(MAX(D:D)-D66)/(MAX(D:D)-MIN(D:D))</f>
        <v>0.82119954671284745</v>
      </c>
      <c r="M66">
        <f>(MAX(E:E)-E66)/(MAX(E:E)-MIN(E:E))</f>
        <v>0.91851203320519348</v>
      </c>
      <c r="N66">
        <f>(MAX(F:F)-F66)/(MAX(F:F)-MIN(F:F))</f>
        <v>0.95864870576407901</v>
      </c>
      <c r="O66">
        <f>(MAX(G:G)-G66)/(MAX(G:G)-MIN(G:G))</f>
        <v>0.9609933627878734</v>
      </c>
      <c r="P66">
        <f>(MAX(H:H)-H66)/(MAX(H:H)-MIN(H:H))</f>
        <v>0.79119742574682417</v>
      </c>
      <c r="Q66">
        <f>(MAX(I:I)-I66)/(MAX(I:I)-MIN(I:I))</f>
        <v>0.7969710354674242</v>
      </c>
    </row>
    <row r="67" spans="1:17" x14ac:dyDescent="0.6">
      <c r="A67">
        <v>30</v>
      </c>
      <c r="B67" t="s">
        <v>92</v>
      </c>
      <c r="C67" t="s">
        <v>174</v>
      </c>
      <c r="D67">
        <v>7.1899717330000001</v>
      </c>
      <c r="E67">
        <v>0.276100185</v>
      </c>
      <c r="F67">
        <v>5.5557754660000001</v>
      </c>
      <c r="G67">
        <v>0.40580977499999998</v>
      </c>
      <c r="H67">
        <v>4.5750732420000002</v>
      </c>
      <c r="I67">
        <v>0.33253939700000001</v>
      </c>
      <c r="J67">
        <f>SUM(L67:Q67)</f>
        <v>5.1567589283402171</v>
      </c>
      <c r="K67">
        <f>0.5*SIN(RADIANS(60))*((L67*M67)+(M67*N67)+(N67*O67)+(O67*P67)+(P67*Q67)+(Q67*L67))</f>
        <v>1.9195913260455471</v>
      </c>
      <c r="L67">
        <f>(MAX(D:D)-D67)/(MAX(D:D)-MIN(D:D))</f>
        <v>0.80492705433427736</v>
      </c>
      <c r="M67">
        <f>(MAX(E:E)-E67)/(MAX(E:E)-MIN(E:E))</f>
        <v>0.91790670283946563</v>
      </c>
      <c r="N67">
        <f>(MAX(F:F)-F67)/(MAX(F:F)-MIN(F:F))</f>
        <v>0.89028280547274108</v>
      </c>
      <c r="O67">
        <f>(MAX(G:G)-G67)/(MAX(G:G)-MIN(G:G))</f>
        <v>0.91027074801143959</v>
      </c>
      <c r="P67">
        <f>(MAX(H:H)-H67)/(MAX(H:H)-MIN(H:H))</f>
        <v>0.80719374852201553</v>
      </c>
      <c r="Q67">
        <f>(MAX(I:I)-I67)/(MAX(I:I)-MIN(I:I))</f>
        <v>0.82617786916027791</v>
      </c>
    </row>
    <row r="68" spans="1:17" x14ac:dyDescent="0.6">
      <c r="A68">
        <v>5</v>
      </c>
      <c r="B68" t="s">
        <v>99</v>
      </c>
      <c r="C68" t="s">
        <v>171</v>
      </c>
      <c r="D68">
        <v>7.1488639369999998</v>
      </c>
      <c r="E68">
        <v>0.27624827499999999</v>
      </c>
      <c r="F68">
        <v>5.4371781779999999</v>
      </c>
      <c r="G68">
        <v>0.399022551</v>
      </c>
      <c r="H68">
        <v>4.4279785159999996</v>
      </c>
      <c r="I68">
        <v>0.33270807299999999</v>
      </c>
      <c r="J68">
        <f>SUM(L68:Q68)</f>
        <v>5.3103341238228339</v>
      </c>
      <c r="K68">
        <f>0.5*SIN(RADIANS(60))*((L68*M68)+(M68*N68)+(N68*O68)+(O68*P68)+(P68*Q68)+(Q68*L68))</f>
        <v>2.0381171246406149</v>
      </c>
      <c r="L68">
        <f>(MAX(D:D)-D68)/(MAX(D:D)-MIN(D:D))</f>
        <v>0.81962378792326573</v>
      </c>
      <c r="M68">
        <f>(MAX(E:E)-E68)/(MAX(E:E)-MIN(E:E))</f>
        <v>0.9173664384196335</v>
      </c>
      <c r="N68">
        <f>(MAX(F:F)-F68)/(MAX(F:F)-MIN(F:F))</f>
        <v>0.940413558999457</v>
      </c>
      <c r="O68">
        <f>(MAX(G:G)-G68)/(MAX(G:G)-MIN(G:G))</f>
        <v>0.94495048143277849</v>
      </c>
      <c r="P68">
        <f>(MAX(H:H)-H68)/(MAX(H:H)-MIN(H:H))</f>
        <v>0.86258331391556964</v>
      </c>
      <c r="Q68">
        <f>(MAX(I:I)-I68)/(MAX(I:I)-MIN(I:I))</f>
        <v>0.82539654313213029</v>
      </c>
    </row>
    <row r="69" spans="1:17" x14ac:dyDescent="0.6">
      <c r="A69">
        <v>5</v>
      </c>
      <c r="B69" t="s">
        <v>92</v>
      </c>
      <c r="C69" t="s">
        <v>8</v>
      </c>
      <c r="D69">
        <v>7.1516469999999996</v>
      </c>
      <c r="E69">
        <v>0.27660000000000001</v>
      </c>
      <c r="F69">
        <v>5.4203900000000003</v>
      </c>
      <c r="G69">
        <v>0.397868</v>
      </c>
      <c r="H69">
        <v>4.642944</v>
      </c>
      <c r="I69">
        <v>0.33465699999999998</v>
      </c>
      <c r="J69">
        <f>SUM(L69:Q69)</f>
        <v>5.2310770994793288</v>
      </c>
      <c r="K69">
        <f>0.5*SIN(RADIANS(60))*((L69*M69)+(M69*N69)+(N69*O69)+(O69*P69)+(P69*Q69)+(Q69*L69))</f>
        <v>1.9782165035468235</v>
      </c>
      <c r="L69">
        <f>(MAX(D:D)-D69)/(MAX(D:D)-MIN(D:D))</f>
        <v>0.81862879574532532</v>
      </c>
      <c r="M69">
        <f>(MAX(E:E)-E69)/(MAX(E:E)-MIN(E:E))</f>
        <v>0.91608326938009366</v>
      </c>
      <c r="N69">
        <f>(MAX(F:F)-F69)/(MAX(F:F)-MIN(F:F))</f>
        <v>0.94750987652638574</v>
      </c>
      <c r="O69">
        <f>(MAX(G:G)-G69)/(MAX(G:G)-MIN(G:G))</f>
        <v>0.95084972991807104</v>
      </c>
      <c r="P69">
        <f>(MAX(H:H)-H69)/(MAX(H:H)-MIN(H:H))</f>
        <v>0.78163653181697168</v>
      </c>
      <c r="Q69">
        <f>(MAX(I:I)-I69)/(MAX(I:I)-MIN(I:I))</f>
        <v>0.81636889609248109</v>
      </c>
    </row>
    <row r="70" spans="1:17" x14ac:dyDescent="0.6">
      <c r="A70">
        <v>5</v>
      </c>
      <c r="B70" t="s">
        <v>92</v>
      </c>
      <c r="C70" t="s">
        <v>181</v>
      </c>
      <c r="D70">
        <v>7.1550957420000003</v>
      </c>
      <c r="E70">
        <v>0.27660694800000002</v>
      </c>
      <c r="F70">
        <v>5.4251307369999999</v>
      </c>
      <c r="G70">
        <v>0.39810931900000002</v>
      </c>
      <c r="H70">
        <v>4.591796875</v>
      </c>
      <c r="I70">
        <v>0.338867476</v>
      </c>
      <c r="J70">
        <f>SUM(L70:Q70)</f>
        <v>5.2263382568627321</v>
      </c>
      <c r="K70">
        <f>0.5*SIN(RADIANS(60))*((L70*M70)+(M70*N70)+(N70*O70)+(O70*P70)+(P70*Q70)+(Q70*L70))</f>
        <v>1.9757911242578219</v>
      </c>
      <c r="L70">
        <f>(MAX(D:D)-D70)/(MAX(D:D)-MIN(D:D))</f>
        <v>0.81739581204580614</v>
      </c>
      <c r="M70">
        <f>(MAX(E:E)-E70)/(MAX(E:E)-MIN(E:E))</f>
        <v>0.91605792157005239</v>
      </c>
      <c r="N70">
        <f>(MAX(F:F)-F70)/(MAX(F:F)-MIN(F:F))</f>
        <v>0.94550597979240669</v>
      </c>
      <c r="O70">
        <f>(MAX(G:G)-G70)/(MAX(G:G)-MIN(G:G))</f>
        <v>0.94961669582497121</v>
      </c>
      <c r="P70">
        <f>(MAX(H:H)-H70)/(MAX(H:H)-MIN(H:H))</f>
        <v>0.80089634555685907</v>
      </c>
      <c r="Q70">
        <f>(MAX(I:I)-I70)/(MAX(I:I)-MIN(I:I))</f>
        <v>0.79686550207263596</v>
      </c>
    </row>
    <row r="71" spans="1:17" x14ac:dyDescent="0.6">
      <c r="A71">
        <v>10</v>
      </c>
      <c r="B71" t="s">
        <v>6</v>
      </c>
      <c r="C71" t="s">
        <v>8</v>
      </c>
      <c r="D71">
        <v>7.1650203890000004</v>
      </c>
      <c r="E71">
        <v>0.27673687499999999</v>
      </c>
      <c r="F71">
        <v>5.4374060169999998</v>
      </c>
      <c r="G71">
        <v>0.39856606700000002</v>
      </c>
      <c r="H71">
        <v>4.5518798829999998</v>
      </c>
      <c r="I71">
        <v>0.34092889700000001</v>
      </c>
      <c r="J71">
        <f>SUM(L71:Q71)</f>
        <v>5.2202758116525585</v>
      </c>
      <c r="K71">
        <f>0.5*SIN(RADIANS(60))*((L71*M71)+(M71*N71)+(N71*O71)+(O71*P71)+(P71*Q71)+(Q71*L71))</f>
        <v>1.9714612768712441</v>
      </c>
      <c r="L71">
        <f>(MAX(D:D)-D71)/(MAX(D:D)-MIN(D:D))</f>
        <v>0.81384758258286549</v>
      </c>
      <c r="M71">
        <f>(MAX(E:E)-E71)/(MAX(E:E)-MIN(E:E))</f>
        <v>0.91558391971121311</v>
      </c>
      <c r="N71">
        <f>(MAX(F:F)-F71)/(MAX(F:F)-MIN(F:F))</f>
        <v>0.94031725206912675</v>
      </c>
      <c r="O71">
        <f>(MAX(G:G)-G71)/(MAX(G:G)-MIN(G:G))</f>
        <v>0.94728291416685451</v>
      </c>
      <c r="P71">
        <f>(MAX(H:H)-H71)/(MAX(H:H)-MIN(H:H))</f>
        <v>0.81592737283310535</v>
      </c>
      <c r="Q71">
        <f>(MAX(I:I)-I71)/(MAX(I:I)-MIN(I:I))</f>
        <v>0.78731677028939262</v>
      </c>
    </row>
    <row r="72" spans="1:17" x14ac:dyDescent="0.6">
      <c r="A72">
        <v>20</v>
      </c>
      <c r="B72" t="s">
        <v>9</v>
      </c>
      <c r="C72" t="s">
        <v>177</v>
      </c>
      <c r="D72">
        <v>7.177066902</v>
      </c>
      <c r="E72">
        <v>0.27684675399999997</v>
      </c>
      <c r="F72" s="13">
        <v>5.5409432870000002</v>
      </c>
      <c r="G72" s="13">
        <v>0.40575503699999999</v>
      </c>
      <c r="H72">
        <v>4.8645629880000003</v>
      </c>
      <c r="I72">
        <v>0.35346824999999998</v>
      </c>
      <c r="J72">
        <f>SUM(L72:Q72)</f>
        <v>4.9592439853741794</v>
      </c>
      <c r="K72">
        <f>0.5*SIN(RADIANS(60))*((L72*M72)+(M72*N72)+(N72*O72)+(O72*P72)+(P72*Q72)+(Q72*L72))</f>
        <v>1.7809633367734599</v>
      </c>
      <c r="L72">
        <f>(MAX(D:D)-D72)/(MAX(D:D)-MIN(D:D))</f>
        <v>0.8095407500726215</v>
      </c>
      <c r="M72">
        <f>(MAX(E:E)-E72)/(MAX(E:E)-MIN(E:E))</f>
        <v>0.91518305730195715</v>
      </c>
      <c r="N72">
        <f>(MAX(F:F)-F72)/(MAX(F:F)-MIN(F:F))</f>
        <v>0.89655232750188829</v>
      </c>
      <c r="O72">
        <f>(MAX(G:G)-G72)/(MAX(G:G)-MIN(G:G))</f>
        <v>0.91055043514833345</v>
      </c>
      <c r="P72">
        <f>(MAX(H:H)-H72)/(MAX(H:H)-MIN(H:H))</f>
        <v>0.69818432545928588</v>
      </c>
      <c r="Q72">
        <f>(MAX(I:I)-I72)/(MAX(I:I)-MIN(I:I))</f>
        <v>0.72923308989009217</v>
      </c>
    </row>
    <row r="73" spans="1:17" x14ac:dyDescent="0.6">
      <c r="A73">
        <v>5</v>
      </c>
      <c r="B73" t="s">
        <v>92</v>
      </c>
      <c r="C73" t="s">
        <v>184</v>
      </c>
      <c r="D73">
        <v>7.1642622090000003</v>
      </c>
      <c r="E73">
        <v>0.27686743200000002</v>
      </c>
      <c r="F73">
        <v>5.4519497430000001</v>
      </c>
      <c r="G73">
        <v>0.39985611700000001</v>
      </c>
      <c r="H73">
        <v>4.5842285159999996</v>
      </c>
      <c r="I73">
        <v>0.33526829200000002</v>
      </c>
      <c r="J73">
        <f>SUM(L73:Q73)</f>
        <v>5.2213708363115616</v>
      </c>
      <c r="K73">
        <f>0.5*SIN(RADIANS(60))*((L73*M73)+(M73*N73)+(N73*O73)+(O73*P73)+(P73*Q73)+(Q73*L73))</f>
        <v>1.9706009123148911</v>
      </c>
      <c r="L73">
        <f>(MAX(D:D)-D73)/(MAX(D:D)-MIN(D:D))</f>
        <v>0.81411864477925522</v>
      </c>
      <c r="M73">
        <f>(MAX(E:E)-E73)/(MAX(E:E)-MIN(E:E))</f>
        <v>0.91510761947581543</v>
      </c>
      <c r="N73">
        <f>(MAX(F:F)-F73)/(MAX(F:F)-MIN(F:F))</f>
        <v>0.93416965834450372</v>
      </c>
      <c r="O73">
        <f>(MAX(G:G)-G73)/(MAX(G:G)-MIN(G:G))</f>
        <v>0.94069132530811073</v>
      </c>
      <c r="P73">
        <f>(MAX(H:H)-H73)/(MAX(H:H)-MIN(H:H))</f>
        <v>0.80374626497376878</v>
      </c>
      <c r="Q73">
        <f>(MAX(I:I)-I73)/(MAX(I:I)-MIN(I:I))</f>
        <v>0.81353732343010754</v>
      </c>
    </row>
    <row r="74" spans="1:17" x14ac:dyDescent="0.6">
      <c r="A74">
        <v>5</v>
      </c>
      <c r="B74" t="s">
        <v>99</v>
      </c>
      <c r="C74" t="s">
        <v>7</v>
      </c>
      <c r="D74">
        <v>7.1601179999999998</v>
      </c>
      <c r="E74">
        <v>0.2772</v>
      </c>
      <c r="F74">
        <v>5.4565830000000002</v>
      </c>
      <c r="G74">
        <v>0.40040500000000001</v>
      </c>
      <c r="H74">
        <v>4.5373539999999997</v>
      </c>
      <c r="I74">
        <v>0.32225999999999999</v>
      </c>
      <c r="J74">
        <f>SUM(L74:Q74)</f>
        <v>5.2947829553611321</v>
      </c>
      <c r="K74">
        <f>0.5*SIN(RADIANS(60))*((L74*M74)+(M74*N74)+(N74*O74)+(O74*P74)+(P74*Q74)+(Q74*L74))</f>
        <v>2.0232078311475061</v>
      </c>
      <c r="L74">
        <f>(MAX(D:D)-D74)/(MAX(D:D)-MIN(D:D))</f>
        <v>0.8156002697150726</v>
      </c>
      <c r="M74">
        <f>(MAX(E:E)-E74)/(MAX(E:E)-MIN(E:E))</f>
        <v>0.91389433932472686</v>
      </c>
      <c r="N74">
        <f>(MAX(F:F)-F74)/(MAX(F:F)-MIN(F:F))</f>
        <v>0.93221119311642087</v>
      </c>
      <c r="O74">
        <f>(MAX(G:G)-G74)/(MAX(G:G)-MIN(G:G))</f>
        <v>0.93788677426934952</v>
      </c>
      <c r="P74">
        <f>(MAX(H:H)-H74)/(MAX(H:H)-MIN(H:H))</f>
        <v>0.82139719740266626</v>
      </c>
      <c r="Q74">
        <f>(MAX(I:I)-I74)/(MAX(I:I)-MIN(I:I))</f>
        <v>0.87379318153289642</v>
      </c>
    </row>
    <row r="75" spans="1:17" x14ac:dyDescent="0.6">
      <c r="A75">
        <v>30</v>
      </c>
      <c r="B75" t="s">
        <v>99</v>
      </c>
      <c r="C75" t="s">
        <v>8</v>
      </c>
      <c r="D75">
        <v>7.1938149999999998</v>
      </c>
      <c r="E75">
        <v>0.27739999999999998</v>
      </c>
      <c r="F75">
        <v>5.5053179999999999</v>
      </c>
      <c r="G75">
        <v>0.40247699999999997</v>
      </c>
      <c r="H75">
        <v>5.0181269999999998</v>
      </c>
      <c r="I75">
        <v>0.36741200000000002</v>
      </c>
      <c r="J75">
        <f>SUM(L75:Q75)</f>
        <v>4.8606313122636298</v>
      </c>
      <c r="K75">
        <f>0.5*SIN(RADIANS(60))*((L75*M75)+(M75*N75)+(N75*O75)+(O75*P75)+(P75*Q75)+(Q75*L75))</f>
        <v>1.7169195408915587</v>
      </c>
      <c r="L75">
        <f>(MAX(D:D)-D75)/(MAX(D:D)-MIN(D:D))</f>
        <v>0.80355302126253725</v>
      </c>
      <c r="M75">
        <f>(MAX(E:E)-E75)/(MAX(E:E)-MIN(E:E))</f>
        <v>0.91316469597293803</v>
      </c>
      <c r="N75">
        <f>(MAX(F:F)-F75)/(MAX(F:F)-MIN(F:F))</f>
        <v>0.91161104015909111</v>
      </c>
      <c r="O75">
        <f>(MAX(G:G)-G75)/(MAX(G:G)-MIN(G:G))</f>
        <v>0.92729976437413864</v>
      </c>
      <c r="P75">
        <f>(MAX(H:H)-H75)/(MAX(H:H)-MIN(H:H))</f>
        <v>0.64035870440492892</v>
      </c>
      <c r="Q75">
        <f>(MAX(I:I)-I75)/(MAX(I:I)-MIN(I:I))</f>
        <v>0.66464408608999581</v>
      </c>
    </row>
    <row r="76" spans="1:17" x14ac:dyDescent="0.6">
      <c r="A76">
        <v>5</v>
      </c>
      <c r="B76" t="s">
        <v>92</v>
      </c>
      <c r="C76" t="s">
        <v>177</v>
      </c>
      <c r="D76">
        <v>7.1763460209999996</v>
      </c>
      <c r="E76">
        <v>0.27783581200000002</v>
      </c>
      <c r="F76">
        <v>5.4718112699999999</v>
      </c>
      <c r="G76">
        <v>0.40133201299999999</v>
      </c>
      <c r="H76">
        <v>4.6424560550000002</v>
      </c>
      <c r="I76">
        <v>0.33895199300000001</v>
      </c>
      <c r="J76">
        <f>SUM(L76:Q76)</f>
        <v>5.1585919069745163</v>
      </c>
      <c r="K76">
        <f>0.5*SIN(RADIANS(60))*((L76*M76)+(M76*N76)+(N76*O76)+(O76*P76)+(P76*Q76)+(Q76*L76))</f>
        <v>1.9239747340656417</v>
      </c>
      <c r="L76">
        <f>(MAX(D:D)-D76)/(MAX(D:D)-MIN(D:D))</f>
        <v>0.80979847724452747</v>
      </c>
      <c r="M76">
        <f>(MAX(E:E)-E76)/(MAX(E:E)-MIN(E:E))</f>
        <v>0.91157475933078869</v>
      </c>
      <c r="N76">
        <f>(MAX(F:F)-F76)/(MAX(F:F)-MIN(F:F))</f>
        <v>0.92577424449067935</v>
      </c>
      <c r="O76">
        <f>(MAX(G:G)-G76)/(MAX(G:G)-MIN(G:G))</f>
        <v>0.93315014502032012</v>
      </c>
      <c r="P76">
        <f>(MAX(H:H)-H76)/(MAX(H:H)-MIN(H:H))</f>
        <v>0.78182027097758533</v>
      </c>
      <c r="Q76">
        <f>(MAX(I:I)-I76)/(MAX(I:I)-MIN(I:I))</f>
        <v>0.79647400991061545</v>
      </c>
    </row>
    <row r="77" spans="1:17" x14ac:dyDescent="0.6">
      <c r="A77">
        <v>90</v>
      </c>
      <c r="B77" t="s">
        <v>99</v>
      </c>
      <c r="C77" t="s">
        <v>8</v>
      </c>
      <c r="D77">
        <v>7.2208379999999996</v>
      </c>
      <c r="E77">
        <v>0.27789999999999998</v>
      </c>
      <c r="F77">
        <v>5.5475659999999998</v>
      </c>
      <c r="G77">
        <v>0.40374199999999999</v>
      </c>
      <c r="H77">
        <v>4.4656370000000001</v>
      </c>
      <c r="I77">
        <v>0.32366</v>
      </c>
      <c r="J77">
        <f>SUM(L77:Q77)</f>
        <v>5.2355324925088018</v>
      </c>
      <c r="K77">
        <f>0.5*SIN(RADIANS(60))*((L77*M77)+(M77*N77)+(N77*O77)+(O77*P77)+(P77*Q77)+(Q77*L77))</f>
        <v>1.9774108419871534</v>
      </c>
      <c r="L77">
        <f>(MAX(D:D)-D77)/(MAX(D:D)-MIN(D:D))</f>
        <v>0.79389184089238984</v>
      </c>
      <c r="M77">
        <f>(MAX(E:E)-E77)/(MAX(E:E)-MIN(E:E))</f>
        <v>0.9113405875934657</v>
      </c>
      <c r="N77">
        <f>(MAX(F:F)-F77)/(MAX(F:F)-MIN(F:F))</f>
        <v>0.89375292459242928</v>
      </c>
      <c r="O77">
        <f>(MAX(G:G)-G77)/(MAX(G:G)-MIN(G:G))</f>
        <v>0.92083617001243867</v>
      </c>
      <c r="P77">
        <f>(MAX(H:H)-H77)/(MAX(H:H)-MIN(H:H))</f>
        <v>0.84840274389200454</v>
      </c>
      <c r="Q77">
        <f>(MAX(I:I)-I77)/(MAX(I:I)-MIN(I:I))</f>
        <v>0.86730822552607367</v>
      </c>
    </row>
    <row r="78" spans="1:17" x14ac:dyDescent="0.6">
      <c r="A78">
        <v>30</v>
      </c>
      <c r="B78" t="s">
        <v>99</v>
      </c>
      <c r="C78" t="s">
        <v>181</v>
      </c>
      <c r="D78">
        <v>7.2015741179999999</v>
      </c>
      <c r="E78">
        <v>0.277904135</v>
      </c>
      <c r="F78">
        <v>5.4982489430000001</v>
      </c>
      <c r="G78">
        <v>0.40196100699999998</v>
      </c>
      <c r="H78">
        <v>4.8254394530000004</v>
      </c>
      <c r="I78">
        <v>0.35399384299999997</v>
      </c>
      <c r="J78">
        <f>SUM(L78:Q78)</f>
        <v>4.996354936162076</v>
      </c>
      <c r="K78">
        <f>0.5*SIN(RADIANS(60))*((L78*M78)+(M78*N78)+(N78*O78)+(O78*P78)+(P78*Q78)+(Q78*L78))</f>
        <v>1.8086530599666781</v>
      </c>
      <c r="L78">
        <f>(MAX(D:D)-D78)/(MAX(D:D)-MIN(D:D))</f>
        <v>0.80077900510921385</v>
      </c>
      <c r="M78">
        <f>(MAX(E:E)-E78)/(MAX(E:E)-MIN(E:E))</f>
        <v>0.91132550221716735</v>
      </c>
      <c r="N78">
        <f>(MAX(F:F)-F78)/(MAX(F:F)-MIN(F:F))</f>
        <v>0.91459911147260464</v>
      </c>
      <c r="O78">
        <f>(MAX(G:G)-G78)/(MAX(G:G)-MIN(G:G))</f>
        <v>0.92993626195949552</v>
      </c>
      <c r="P78">
        <f>(MAX(H:H)-H78)/(MAX(H:H)-MIN(H:H))</f>
        <v>0.71291657085814186</v>
      </c>
      <c r="Q78">
        <f>(MAX(I:I)-I78)/(MAX(I:I)-MIN(I:I))</f>
        <v>0.72679848454545359</v>
      </c>
    </row>
    <row r="79" spans="1:17" x14ac:dyDescent="0.6">
      <c r="A79">
        <v>20</v>
      </c>
      <c r="B79" t="s">
        <v>6</v>
      </c>
      <c r="C79" t="s">
        <v>8</v>
      </c>
      <c r="D79">
        <v>7.177795841</v>
      </c>
      <c r="E79">
        <v>0.277910716</v>
      </c>
      <c r="F79">
        <v>5.4973658810000003</v>
      </c>
      <c r="G79">
        <v>0.402926705</v>
      </c>
      <c r="H79">
        <v>4.436035156</v>
      </c>
      <c r="I79">
        <v>0.32673135800000003</v>
      </c>
      <c r="J79">
        <f>SUM(L79:Q79)</f>
        <v>5.273186865913738</v>
      </c>
      <c r="K79">
        <f>0.5*SIN(RADIANS(60))*((L79*M79)+(M79*N79)+(N79*O79)+(O79*P79)+(P79*Q79)+(Q79*L79))</f>
        <v>2.0076190652118044</v>
      </c>
      <c r="L79">
        <f>(MAX(D:D)-D79)/(MAX(D:D)-MIN(D:D))</f>
        <v>0.80928014202918308</v>
      </c>
      <c r="M79">
        <f>(MAX(E:E)-E79)/(MAX(E:E)-MIN(E:E))</f>
        <v>0.91130149330267674</v>
      </c>
      <c r="N79">
        <f>(MAX(F:F)-F79)/(MAX(F:F)-MIN(F:F))</f>
        <v>0.91497237939649512</v>
      </c>
      <c r="O79">
        <f>(MAX(G:G)-G79)/(MAX(G:G)-MIN(G:G))</f>
        <v>0.92500196935245615</v>
      </c>
      <c r="P79">
        <f>(MAX(H:H)-H79)/(MAX(H:H)-MIN(H:H))</f>
        <v>0.85954952881485613</v>
      </c>
      <c r="Q79">
        <f>(MAX(I:I)-I79)/(MAX(I:I)-MIN(I:I))</f>
        <v>0.85308135301807131</v>
      </c>
    </row>
    <row r="80" spans="1:17" x14ac:dyDescent="0.6">
      <c r="A80">
        <v>60</v>
      </c>
      <c r="B80" t="s">
        <v>92</v>
      </c>
      <c r="C80" t="s">
        <v>174</v>
      </c>
      <c r="D80">
        <v>7.2218359379999999</v>
      </c>
      <c r="E80">
        <v>0.27811566300000001</v>
      </c>
      <c r="F80">
        <v>5.5552395910000003</v>
      </c>
      <c r="G80">
        <v>0.404683821</v>
      </c>
      <c r="H80">
        <v>4.543945313</v>
      </c>
      <c r="I80">
        <v>0.32296682399999999</v>
      </c>
      <c r="J80">
        <f>SUM(L80:Q80)</f>
        <v>5.2000563457557689</v>
      </c>
      <c r="K80">
        <f>0.5*SIN(RADIANS(60))*((L80*M80)+(M80*N80)+(N80*O80)+(O80*P80)+(P80*Q80)+(Q80*L80))</f>
        <v>1.9498368909690307</v>
      </c>
      <c r="L80">
        <f>(MAX(D:D)-D80)/(MAX(D:D)-MIN(D:D))</f>
        <v>0.79353506114860761</v>
      </c>
      <c r="M80">
        <f>(MAX(E:E)-E80)/(MAX(E:E)-MIN(E:E))</f>
        <v>0.91055380222258131</v>
      </c>
      <c r="N80">
        <f>(MAX(F:F)-F80)/(MAX(F:F)-MIN(F:F))</f>
        <v>0.8905093183888384</v>
      </c>
      <c r="O80">
        <f>(MAX(G:G)-G80)/(MAX(G:G)-MIN(G:G))</f>
        <v>0.91602387838767141</v>
      </c>
      <c r="P80">
        <f>(MAX(H:H)-H80)/(MAX(H:H)-MIN(H:H))</f>
        <v>0.81891519160700699</v>
      </c>
      <c r="Q80">
        <f>(MAX(I:I)-I80)/(MAX(I:I)-MIN(I:I))</f>
        <v>0.87051909400106331</v>
      </c>
    </row>
    <row r="81" spans="1:17" x14ac:dyDescent="0.6">
      <c r="A81">
        <v>60</v>
      </c>
      <c r="B81" t="s">
        <v>6</v>
      </c>
      <c r="C81" t="s">
        <v>174</v>
      </c>
      <c r="D81">
        <v>7.2240690140000003</v>
      </c>
      <c r="E81">
        <v>0.27833894300000001</v>
      </c>
      <c r="F81">
        <v>5.5348531550000004</v>
      </c>
      <c r="G81">
        <v>0.40327618100000001</v>
      </c>
      <c r="H81">
        <v>4.5801391599999999</v>
      </c>
      <c r="I81">
        <v>0.33618222199999998</v>
      </c>
      <c r="J81">
        <f>SUM(L81:Q81)</f>
        <v>5.1394088762748353</v>
      </c>
      <c r="K81">
        <f>0.5*SIN(RADIANS(60))*((L81*M81)+(M81*N81)+(N81*O81)+(O81*P81)+(P81*Q81)+(Q81*L81))</f>
        <v>1.9078462431532486</v>
      </c>
      <c r="L81">
        <f>(MAX(D:D)-D81)/(MAX(D:D)-MIN(D:D))</f>
        <v>0.79273669864199281</v>
      </c>
      <c r="M81">
        <f>(MAX(E:E)-E81)/(MAX(E:E)-MIN(E:E))</f>
        <v>0.90973922838464416</v>
      </c>
      <c r="N81">
        <f>(MAX(F:F)-F81)/(MAX(F:F)-MIN(F:F))</f>
        <v>0.89912660986015902</v>
      </c>
      <c r="O81">
        <f>(MAX(G:G)-G81)/(MAX(G:G)-MIN(G:G))</f>
        <v>0.9232163004962114</v>
      </c>
      <c r="P81">
        <f>(MAX(H:H)-H81)/(MAX(H:H)-MIN(H:H))</f>
        <v>0.80528614106408836</v>
      </c>
      <c r="Q81">
        <f>(MAX(I:I)-I81)/(MAX(I:I)-MIN(I:I))</f>
        <v>0.80930389782773948</v>
      </c>
    </row>
    <row r="82" spans="1:17" x14ac:dyDescent="0.6">
      <c r="A82">
        <v>10</v>
      </c>
      <c r="B82" t="s">
        <v>9</v>
      </c>
      <c r="C82" t="s">
        <v>7</v>
      </c>
      <c r="D82">
        <v>7.1804869379999996</v>
      </c>
      <c r="E82">
        <v>0.27834729899999999</v>
      </c>
      <c r="F82">
        <v>5.4466844410000004</v>
      </c>
      <c r="G82">
        <v>0.39956306699999999</v>
      </c>
      <c r="H82">
        <v>4.5809326170000002</v>
      </c>
      <c r="I82">
        <v>0.334844325</v>
      </c>
      <c r="J82">
        <f>SUM(L82:Q82)</f>
        <v>5.2170992875218101</v>
      </c>
      <c r="K82">
        <f>0.5*SIN(RADIANS(60))*((L82*M82)+(M82*N82)+(N82*O82)+(O82*P82)+(P82*Q82)+(Q82*L82))</f>
        <v>1.967412453130376</v>
      </c>
      <c r="L82">
        <f>(MAX(D:D)-D82)/(MAX(D:D)-MIN(D:D))</f>
        <v>0.80831802925448903</v>
      </c>
      <c r="M82">
        <f>(MAX(E:E)-E82)/(MAX(E:E)-MIN(E:E))</f>
        <v>0.90970874388540646</v>
      </c>
      <c r="N82">
        <f>(MAX(F:F)-F82)/(MAX(F:F)-MIN(F:F))</f>
        <v>0.9363952872881075</v>
      </c>
      <c r="O82">
        <f>(MAX(G:G)-G82)/(MAX(G:G)-MIN(G:G))</f>
        <v>0.94218868208889828</v>
      </c>
      <c r="P82">
        <f>(MAX(H:H)-H82)/(MAX(H:H)-MIN(H:H))</f>
        <v>0.80498735918669806</v>
      </c>
      <c r="Q82">
        <f>(MAX(I:I)-I82)/(MAX(I:I)-MIN(I:I))</f>
        <v>0.81550118581821096</v>
      </c>
    </row>
    <row r="83" spans="1:17" x14ac:dyDescent="0.6">
      <c r="A83">
        <v>90</v>
      </c>
      <c r="B83" t="s">
        <v>6</v>
      </c>
      <c r="C83" t="s">
        <v>174</v>
      </c>
      <c r="D83">
        <v>7.2350759900000003</v>
      </c>
      <c r="E83">
        <v>0.27836454999999999</v>
      </c>
      <c r="F83">
        <v>5.5138156839999999</v>
      </c>
      <c r="G83">
        <v>0.40101829300000003</v>
      </c>
      <c r="H83">
        <v>4.7568969729999999</v>
      </c>
      <c r="I83">
        <v>0.34506292300000002</v>
      </c>
      <c r="J83">
        <f>SUM(L83:Q83)</f>
        <v>5.0481137656607684</v>
      </c>
      <c r="K83">
        <f>0.5*SIN(RADIANS(60))*((L83*M83)+(M83*N83)+(N83*O83)+(O83*P83)+(P83*Q83)+(Q83*L83))</f>
        <v>1.8429904376790347</v>
      </c>
      <c r="L83">
        <f>(MAX(D:D)-D83)/(MAX(D:D)-MIN(D:D))</f>
        <v>0.78880151822287259</v>
      </c>
      <c r="M83">
        <f>(MAX(E:E)-E83)/(MAX(E:E)-MIN(E:E))</f>
        <v>0.90964580849809784</v>
      </c>
      <c r="N83">
        <f>(MAX(F:F)-F83)/(MAX(F:F)-MIN(F:F))</f>
        <v>0.90801909206874432</v>
      </c>
      <c r="O83">
        <f>(MAX(G:G)-G83)/(MAX(G:G)-MIN(G:G))</f>
        <v>0.93475311642202141</v>
      </c>
      <c r="P83">
        <f>(MAX(H:H)-H83)/(MAX(H:H)-MIN(H:H))</f>
        <v>0.73872672926039751</v>
      </c>
      <c r="Q83">
        <f>(MAX(I:I)-I83)/(MAX(I:I)-MIN(I:I))</f>
        <v>0.76816750118863442</v>
      </c>
    </row>
    <row r="84" spans="1:17" x14ac:dyDescent="0.6">
      <c r="A84">
        <v>5</v>
      </c>
      <c r="B84" t="s">
        <v>6</v>
      </c>
      <c r="C84" t="s">
        <v>184</v>
      </c>
      <c r="D84" s="13">
        <v>7.176378519</v>
      </c>
      <c r="E84">
        <v>0.27840726999999998</v>
      </c>
      <c r="F84">
        <v>5.4287067100000002</v>
      </c>
      <c r="G84">
        <v>0.398591998</v>
      </c>
      <c r="H84">
        <v>4.604003906</v>
      </c>
      <c r="I84">
        <v>0.33747643500000002</v>
      </c>
      <c r="J84">
        <f>SUM(L84:Q84)</f>
        <v>5.2100303193367381</v>
      </c>
      <c r="K84">
        <f>0.5*SIN(RADIANS(60))*((L84*M84)+(M84*N84)+(N84*O84)+(O84*P84)+(P84*Q84)+(Q84*L84))</f>
        <v>1.9630849497427956</v>
      </c>
      <c r="L84">
        <f>(MAX(D:D)-D84)/(MAX(D:D)-MIN(D:D))</f>
        <v>0.80978685865889033</v>
      </c>
      <c r="M84">
        <f>(MAX(E:E)-E84)/(MAX(E:E)-MIN(E:E))</f>
        <v>0.9094899566781558</v>
      </c>
      <c r="N84">
        <f>(MAX(F:F)-F84)/(MAX(F:F)-MIN(F:F))</f>
        <v>0.94399442565736447</v>
      </c>
      <c r="O84">
        <f>(MAX(G:G)-G84)/(MAX(G:G)-MIN(G:G))</f>
        <v>0.94715041814678091</v>
      </c>
      <c r="P84">
        <f>(MAX(H:H)-H84)/(MAX(H:H)-MIN(H:H))</f>
        <v>0.79629970120242011</v>
      </c>
      <c r="Q84">
        <f>(MAX(I:I)-I84)/(MAX(I:I)-MIN(I:I))</f>
        <v>0.80330895899312638</v>
      </c>
    </row>
    <row r="85" spans="1:17" x14ac:dyDescent="0.6">
      <c r="A85">
        <v>5</v>
      </c>
      <c r="B85" t="s">
        <v>6</v>
      </c>
      <c r="C85" t="s">
        <v>181</v>
      </c>
      <c r="D85">
        <v>7.1820808359999999</v>
      </c>
      <c r="E85">
        <v>0.27845229100000002</v>
      </c>
      <c r="F85">
        <v>5.4664576150000004</v>
      </c>
      <c r="G85">
        <v>0.40104206100000001</v>
      </c>
      <c r="H85">
        <v>4.6578369139999998</v>
      </c>
      <c r="I85">
        <v>0.344629713</v>
      </c>
      <c r="J85">
        <f>SUM(L85:Q85)</f>
        <v>5.1259454637114601</v>
      </c>
      <c r="K85">
        <f>0.5*SIN(RADIANS(60))*((L85*M85)+(M85*N85)+(N85*O85)+(O85*P85)+(P85*Q85)+(Q85*L85))</f>
        <v>1.9012946851932615</v>
      </c>
      <c r="L85">
        <f>(MAX(D:D)-D85)/(MAX(D:D)-MIN(D:D))</f>
        <v>0.80774818371292734</v>
      </c>
      <c r="M85">
        <f>(MAX(E:E)-E85)/(MAX(E:E)-MIN(E:E))</f>
        <v>0.90932571031145126</v>
      </c>
      <c r="N85">
        <f>(MAX(F:F)-F85)/(MAX(F:F)-MIN(F:F))</f>
        <v>0.92803722000890576</v>
      </c>
      <c r="O85">
        <f>(MAX(G:G)-G85)/(MAX(G:G)-MIN(G:G))</f>
        <v>0.93463167238187228</v>
      </c>
      <c r="P85">
        <f>(MAX(H:H)-H85)/(MAX(H:H)-MIN(H:H))</f>
        <v>0.77602849911358596</v>
      </c>
      <c r="Q85">
        <f>(MAX(I:I)-I85)/(MAX(I:I)-MIN(I:I))</f>
        <v>0.77017417818271716</v>
      </c>
    </row>
    <row r="86" spans="1:17" x14ac:dyDescent="0.6">
      <c r="A86">
        <v>90</v>
      </c>
      <c r="B86" t="s">
        <v>99</v>
      </c>
      <c r="C86" t="s">
        <v>171</v>
      </c>
      <c r="D86">
        <v>7.2289853859999997</v>
      </c>
      <c r="E86">
        <v>0.27868094199999999</v>
      </c>
      <c r="F86">
        <v>5.5359931839999996</v>
      </c>
      <c r="G86">
        <v>0.40285466599999997</v>
      </c>
      <c r="H86">
        <v>4.408691406</v>
      </c>
      <c r="I86">
        <v>0.31815025299999999</v>
      </c>
      <c r="J86">
        <f>SUM(L86:Q86)</f>
        <v>5.2861613339105187</v>
      </c>
      <c r="K86">
        <f>0.5*SIN(RADIANS(60))*((L86*M86)+(M86*N86)+(N86*O86)+(O86*P86)+(P86*Q86)+(Q86*L86))</f>
        <v>2.0153933752138706</v>
      </c>
      <c r="L86">
        <f>(MAX(D:D)-D86)/(MAX(D:D)-MIN(D:D))</f>
        <v>0.79097901235036205</v>
      </c>
      <c r="M86">
        <f>(MAX(E:E)-E86)/(MAX(E:E)-MIN(E:E))</f>
        <v>0.90849154190130188</v>
      </c>
      <c r="N86">
        <f>(MAX(F:F)-F86)/(MAX(F:F)-MIN(F:F))</f>
        <v>0.89864472267895923</v>
      </c>
      <c r="O86">
        <f>(MAX(G:G)-G86)/(MAX(G:G)-MIN(G:G))</f>
        <v>0.92537005700006292</v>
      </c>
      <c r="P86">
        <f>(MAX(H:H)-H86)/(MAX(H:H)-MIN(H:H))</f>
        <v>0.8698460123796713</v>
      </c>
      <c r="Q86">
        <f>(MAX(I:I)-I86)/(MAX(I:I)-MIN(I:I))</f>
        <v>0.89282998760016197</v>
      </c>
    </row>
    <row r="87" spans="1:17" x14ac:dyDescent="0.6">
      <c r="A87">
        <v>10</v>
      </c>
      <c r="B87" t="s">
        <v>9</v>
      </c>
      <c r="C87" t="s">
        <v>184</v>
      </c>
      <c r="D87">
        <v>7.2017669529999999</v>
      </c>
      <c r="E87">
        <v>0.278693409</v>
      </c>
      <c r="F87">
        <v>5.5002295569999999</v>
      </c>
      <c r="G87">
        <v>0.402959601</v>
      </c>
      <c r="H87">
        <v>4.4947509769999998</v>
      </c>
      <c r="I87">
        <v>0.32732746899999998</v>
      </c>
      <c r="J87">
        <f>SUM(L87:Q87)</f>
        <v>5.2355116886324717</v>
      </c>
      <c r="K87">
        <f>0.5*SIN(RADIANS(60))*((L87*M87)+(M87*N87)+(N87*O87)+(O87*P87)+(P87*Q87)+(Q87*L87))</f>
        <v>1.9788799621791915</v>
      </c>
      <c r="L87">
        <f>(MAX(D:D)-D87)/(MAX(D:D)-MIN(D:D))</f>
        <v>0.80071006332937156</v>
      </c>
      <c r="M87">
        <f>(MAX(E:E)-E87)/(MAX(E:E)-MIN(E:E))</f>
        <v>0.90844605958296809</v>
      </c>
      <c r="N87">
        <f>(MAX(F:F)-F87)/(MAX(F:F)-MIN(F:F))</f>
        <v>0.91376191128076256</v>
      </c>
      <c r="O87">
        <f>(MAX(G:G)-G87)/(MAX(G:G)-MIN(G:G))</f>
        <v>0.9248338852416873</v>
      </c>
      <c r="P87">
        <f>(MAX(H:H)-H87)/(MAX(H:H)-MIN(H:H))</f>
        <v>0.83743966875831211</v>
      </c>
      <c r="Q87">
        <f>(MAX(I:I)-I87)/(MAX(I:I)-MIN(I:I))</f>
        <v>0.85032010043936934</v>
      </c>
    </row>
    <row r="88" spans="1:17" x14ac:dyDescent="0.6">
      <c r="A88">
        <v>10</v>
      </c>
      <c r="B88" t="s">
        <v>92</v>
      </c>
      <c r="C88" t="s">
        <v>174</v>
      </c>
      <c r="D88">
        <v>7.2145968800000002</v>
      </c>
      <c r="E88">
        <v>0.27885130200000002</v>
      </c>
      <c r="F88">
        <v>5.5742862669999997</v>
      </c>
      <c r="G88">
        <v>0.40792730399999999</v>
      </c>
      <c r="H88">
        <v>4.6428222659999996</v>
      </c>
      <c r="I88">
        <v>0.337111353</v>
      </c>
      <c r="J88">
        <f>SUM(L88:Q88)</f>
        <v>5.0725850546321851</v>
      </c>
      <c r="K88">
        <f>0.5*SIN(RADIANS(60))*((L88*M88)+(M88*N88)+(N88*O88)+(O88*P88)+(P88*Q88)+(Q88*L88))</f>
        <v>1.8580057872907276</v>
      </c>
      <c r="L88">
        <f>(MAX(D:D)-D88)/(MAX(D:D)-MIN(D:D))</f>
        <v>0.79612314704017983</v>
      </c>
      <c r="M88">
        <f>(MAX(E:E)-E88)/(MAX(E:E)-MIN(E:E))</f>
        <v>0.90787003169424796</v>
      </c>
      <c r="N88">
        <f>(MAX(F:F)-F88)/(MAX(F:F)-MIN(F:F))</f>
        <v>0.8824583398533159</v>
      </c>
      <c r="O88">
        <f>(MAX(G:G)-G88)/(MAX(G:G)-MIN(G:G))</f>
        <v>0.89945110492437563</v>
      </c>
      <c r="P88">
        <f>(MAX(H:H)-H88)/(MAX(H:H)-MIN(H:H))</f>
        <v>0.7816823716205934</v>
      </c>
      <c r="Q88">
        <f>(MAX(I:I)-I88)/(MAX(I:I)-MIN(I:I))</f>
        <v>0.8050000594994714</v>
      </c>
    </row>
    <row r="89" spans="1:17" x14ac:dyDescent="0.6">
      <c r="A89">
        <v>10</v>
      </c>
      <c r="B89" t="s">
        <v>99</v>
      </c>
      <c r="C89" t="s">
        <v>181</v>
      </c>
      <c r="D89">
        <v>7.2158739809999997</v>
      </c>
      <c r="E89">
        <v>0.27892223100000002</v>
      </c>
      <c r="F89">
        <v>5.5692090060000004</v>
      </c>
      <c r="G89">
        <v>0.407560847</v>
      </c>
      <c r="H89">
        <v>4.6282958980000002</v>
      </c>
      <c r="I89">
        <v>0.34074605400000002</v>
      </c>
      <c r="J89">
        <f>SUM(L89:Q89)</f>
        <v>5.064521950987821</v>
      </c>
      <c r="K89">
        <f>0.5*SIN(RADIANS(60))*((L89*M89)+(M89*N89)+(N89*O89)+(O89*P89)+(P89*Q89)+(Q89*L89))</f>
        <v>1.8530116976376745</v>
      </c>
      <c r="L89">
        <f>(MAX(D:D)-D89)/(MAX(D:D)-MIN(D:D))</f>
        <v>0.79566656179383821</v>
      </c>
      <c r="M89">
        <f>(MAX(E:E)-E89)/(MAX(E:E)-MIN(E:E))</f>
        <v>0.90761126732775277</v>
      </c>
      <c r="N89">
        <f>(MAX(F:F)-F89)/(MAX(F:F)-MIN(F:F))</f>
        <v>0.88460448437376882</v>
      </c>
      <c r="O89">
        <f>(MAX(G:G)-G89)/(MAX(G:G)-MIN(G:G))</f>
        <v>0.90132353923188968</v>
      </c>
      <c r="P89">
        <f>(MAX(H:H)-H89)/(MAX(H:H)-MIN(H:H))</f>
        <v>0.78715237882035394</v>
      </c>
      <c r="Q89">
        <f>(MAX(I:I)-I89)/(MAX(I:I)-MIN(I:I))</f>
        <v>0.7881637194402179</v>
      </c>
    </row>
    <row r="90" spans="1:17" x14ac:dyDescent="0.6">
      <c r="A90">
        <v>5</v>
      </c>
      <c r="B90" t="s">
        <v>9</v>
      </c>
      <c r="C90" t="s">
        <v>177</v>
      </c>
      <c r="D90">
        <v>7.1823392070000001</v>
      </c>
      <c r="E90">
        <v>0.27906638</v>
      </c>
      <c r="F90">
        <v>5.4315624150000001</v>
      </c>
      <c r="G90">
        <v>0.39875422300000002</v>
      </c>
      <c r="H90">
        <v>4.271484375</v>
      </c>
      <c r="I90">
        <v>0.313879674</v>
      </c>
      <c r="J90">
        <f>SUM(L90:Q90)</f>
        <v>5.43797412004814</v>
      </c>
      <c r="K90">
        <f>0.5*SIN(RADIANS(60))*((L90*M90)+(M90*N90)+(N90*O90)+(O90*P90)+(P90*Q90)+(Q90*L90))</f>
        <v>2.1347904771035888</v>
      </c>
      <c r="L90">
        <f>(MAX(D:D)-D90)/(MAX(D:D)-MIN(D:D))</f>
        <v>0.80765581170266143</v>
      </c>
      <c r="M90">
        <f>(MAX(E:E)-E90)/(MAX(E:E)-MIN(E:E))</f>
        <v>0.90708538053016774</v>
      </c>
      <c r="N90">
        <f>(MAX(F:F)-F90)/(MAX(F:F)-MIN(F:F))</f>
        <v>0.94278732686181688</v>
      </c>
      <c r="O90">
        <f>(MAX(G:G)-G90)/(MAX(G:G)-MIN(G:G))</f>
        <v>0.94632151965245137</v>
      </c>
      <c r="P90">
        <f>(MAX(H:H)-H90)/(MAX(H:H)-MIN(H:H))</f>
        <v>0.9215122958875509</v>
      </c>
      <c r="Q90">
        <f>(MAX(I:I)-I90)/(MAX(I:I)-MIN(I:I))</f>
        <v>0.91261178541349131</v>
      </c>
    </row>
    <row r="91" spans="1:17" x14ac:dyDescent="0.6">
      <c r="A91">
        <v>20</v>
      </c>
      <c r="B91" t="s">
        <v>99</v>
      </c>
      <c r="C91" t="s">
        <v>8</v>
      </c>
      <c r="D91">
        <v>7.224634</v>
      </c>
      <c r="E91">
        <v>0.27929999999999999</v>
      </c>
      <c r="F91">
        <v>5.581995</v>
      </c>
      <c r="G91">
        <v>0.40810000000000002</v>
      </c>
      <c r="H91">
        <v>4.4867549999999996</v>
      </c>
      <c r="I91">
        <v>0.32525700000000002</v>
      </c>
      <c r="J91">
        <f>SUM(L91:Q91)</f>
        <v>5.1768977284872033</v>
      </c>
      <c r="K91">
        <f>0.5*SIN(RADIANS(60))*((L91*M91)+(M91*N91)+(N91*O91)+(O91*P91)+(P91*Q91)+(Q91*L91))</f>
        <v>1.9331535632524237</v>
      </c>
      <c r="L91">
        <f>(MAX(D:D)-D91)/(MAX(D:D)-MIN(D:D))</f>
        <v>0.79253470657402836</v>
      </c>
      <c r="M91">
        <f>(MAX(E:E)-E91)/(MAX(E:E)-MIN(E:E))</f>
        <v>0.90623308413094306</v>
      </c>
      <c r="N91">
        <f>(MAX(F:F)-F91)/(MAX(F:F)-MIN(F:F))</f>
        <v>0.87919987922117837</v>
      </c>
      <c r="O91">
        <f>(MAX(G:G)-G91)/(MAX(G:G)-MIN(G:G))</f>
        <v>0.89856870421932555</v>
      </c>
      <c r="P91">
        <f>(MAX(H:H)-H91)/(MAX(H:H)-MIN(H:H))</f>
        <v>0.84045061077486583</v>
      </c>
      <c r="Q91">
        <f>(MAX(I:I)-I91)/(MAX(I:I)-MIN(I:I))</f>
        <v>0.85991074356686215</v>
      </c>
    </row>
    <row r="92" spans="1:17" x14ac:dyDescent="0.6">
      <c r="A92">
        <v>5</v>
      </c>
      <c r="B92" t="s">
        <v>92</v>
      </c>
      <c r="C92" t="s">
        <v>167</v>
      </c>
      <c r="D92">
        <v>7.2003101789999997</v>
      </c>
      <c r="E92">
        <v>0.27951829299999997</v>
      </c>
      <c r="F92">
        <v>5.502846194</v>
      </c>
      <c r="G92">
        <v>0.40349583500000002</v>
      </c>
      <c r="H92">
        <v>4.5789794920000002</v>
      </c>
      <c r="I92">
        <v>0.33384713399999999</v>
      </c>
      <c r="J92">
        <f>SUM(L92:Q92)</f>
        <v>5.1672605275371541</v>
      </c>
      <c r="K92">
        <f>0.5*SIN(RADIANS(60))*((L92*M92)+(M92*N92)+(N92*O92)+(O92*P92)+(P92*Q92)+(Q92*L92))</f>
        <v>1.9287329370721045</v>
      </c>
      <c r="L92">
        <f>(MAX(D:D)-D92)/(MAX(D:D)-MIN(D:D))</f>
        <v>0.80123088471754256</v>
      </c>
      <c r="M92">
        <f>(MAX(E:E)-E92)/(MAX(E:E)-MIN(E:E))</f>
        <v>0.90543670394998288</v>
      </c>
      <c r="N92">
        <f>(MAX(F:F)-F92)/(MAX(F:F)-MIN(F:F))</f>
        <v>0.91265586588353653</v>
      </c>
      <c r="O92">
        <f>(MAX(G:G)-G92)/(MAX(G:G)-MIN(G:G))</f>
        <v>0.92209396503698227</v>
      </c>
      <c r="P92">
        <f>(MAX(H:H)-H92)/(MAX(H:H)-MIN(H:H))</f>
        <v>0.80572282229847059</v>
      </c>
      <c r="Q92">
        <f>(MAX(I:I)-I92)/(MAX(I:I)-MIN(I:I))</f>
        <v>0.82012028565063921</v>
      </c>
    </row>
    <row r="93" spans="1:17" x14ac:dyDescent="0.6">
      <c r="A93">
        <v>5</v>
      </c>
      <c r="B93" t="s">
        <v>6</v>
      </c>
      <c r="C93" t="s">
        <v>7</v>
      </c>
      <c r="D93">
        <v>7.211831321</v>
      </c>
      <c r="E93">
        <v>0.279697639</v>
      </c>
      <c r="F93">
        <v>5.5325652940000003</v>
      </c>
      <c r="G93">
        <v>0.40542800000000001</v>
      </c>
      <c r="H93">
        <v>4.5231933590000004</v>
      </c>
      <c r="I93">
        <v>0.33638539499999998</v>
      </c>
      <c r="J93">
        <f>SUM(L93:Q93)</f>
        <v>5.1493016905594962</v>
      </c>
      <c r="K93">
        <f>0.5*SIN(RADIANS(60))*((L93*M93)+(M93*N93)+(N93*O93)+(O93*P93)+(P93*Q93)+(Q93*L93))</f>
        <v>1.9154315995222195</v>
      </c>
      <c r="L93">
        <f>(MAX(D:D)-D93)/(MAX(D:D)-MIN(D:D))</f>
        <v>0.79711188124153742</v>
      </c>
      <c r="M93">
        <f>(MAX(E:E)-E93)/(MAX(E:E)-MIN(E:E))</f>
        <v>0.90478241086713307</v>
      </c>
      <c r="N93">
        <f>(MAX(F:F)-F93)/(MAX(F:F)-MIN(F:F))</f>
        <v>0.90009368252959809</v>
      </c>
      <c r="O93">
        <f>(MAX(G:G)-G93)/(MAX(G:G)-MIN(G:G))</f>
        <v>0.91222145057067894</v>
      </c>
      <c r="P93">
        <f>(MAX(H:H)-H93)/(MAX(H:H)-MIN(H:H))</f>
        <v>0.82672948749907726</v>
      </c>
      <c r="Q93">
        <f>(MAX(I:I)-I93)/(MAX(I:I)-MIN(I:I))</f>
        <v>0.80836277785147215</v>
      </c>
    </row>
    <row r="94" spans="1:17" x14ac:dyDescent="0.6">
      <c r="A94">
        <v>20</v>
      </c>
      <c r="B94" t="s">
        <v>9</v>
      </c>
      <c r="C94" t="s">
        <v>7</v>
      </c>
      <c r="D94" s="13">
        <v>7.2321264129999996</v>
      </c>
      <c r="E94">
        <v>0.27998303400000002</v>
      </c>
      <c r="F94" s="13">
        <v>5.5785319009999998</v>
      </c>
      <c r="G94" s="13">
        <v>0.407922587</v>
      </c>
      <c r="H94">
        <v>4.6625366210000001</v>
      </c>
      <c r="I94" s="13">
        <v>0.34455413699999998</v>
      </c>
      <c r="J94">
        <f>SUM(L94:Q94)</f>
        <v>5.018519244215021</v>
      </c>
      <c r="K94">
        <f>0.5*SIN(RADIANS(60))*((L94*M94)+(M94*N94)+(N94*O94)+(O94*P94)+(P94*Q94)+(Q94*L94))</f>
        <v>1.8201549355406577</v>
      </c>
      <c r="L94">
        <f>(MAX(D:D)-D94)/(MAX(D:D)-MIN(D:D))</f>
        <v>0.78985604197717996</v>
      </c>
      <c r="M94">
        <f>(MAX(E:E)-E94)/(MAX(E:E)-MIN(E:E))</f>
        <v>0.90374122804521395</v>
      </c>
      <c r="N94">
        <f>(MAX(F:F)-F94)/(MAX(F:F)-MIN(F:F))</f>
        <v>0.88066372182108354</v>
      </c>
      <c r="O94">
        <f>(MAX(G:G)-G94)/(MAX(G:G)-MIN(G:G))</f>
        <v>0.8994752067224816</v>
      </c>
      <c r="P94">
        <f>(MAX(H:H)-H94)/(MAX(H:H)-MIN(H:H))</f>
        <v>0.7742587910126506</v>
      </c>
      <c r="Q94">
        <f>(MAX(I:I)-I94)/(MAX(I:I)-MIN(I:I))</f>
        <v>0.77052425463641128</v>
      </c>
    </row>
    <row r="95" spans="1:17" x14ac:dyDescent="0.6">
      <c r="A95">
        <v>90</v>
      </c>
      <c r="B95" t="s">
        <v>99</v>
      </c>
      <c r="C95" t="s">
        <v>174</v>
      </c>
      <c r="D95">
        <v>7.2594257999999998</v>
      </c>
      <c r="E95">
        <v>0.28020475099999997</v>
      </c>
      <c r="F95">
        <v>5.5426719350000004</v>
      </c>
      <c r="G95">
        <v>0.40314418099999999</v>
      </c>
      <c r="H95">
        <v>4.4960327150000001</v>
      </c>
      <c r="I95">
        <v>0.32887792500000002</v>
      </c>
      <c r="J95">
        <f>SUM(L95:Q95)</f>
        <v>5.1828360367881308</v>
      </c>
      <c r="K95">
        <f>0.5*SIN(RADIANS(60))*((L95*M95)+(M95*N95)+(N95*O95)+(O95*P95)+(P95*Q95)+(Q95*L95))</f>
        <v>1.9388307113093926</v>
      </c>
      <c r="L95">
        <f>(MAX(D:D)-D95)/(MAX(D:D)-MIN(D:D))</f>
        <v>0.78009604857150838</v>
      </c>
      <c r="M95">
        <f>(MAX(E:E)-E95)/(MAX(E:E)-MIN(E:E))</f>
        <v>0.90293235637007119</v>
      </c>
      <c r="N95">
        <f>(MAX(F:F)-F95)/(MAX(F:F)-MIN(F:F))</f>
        <v>0.89582163265815407</v>
      </c>
      <c r="O95">
        <f>(MAX(G:G)-G95)/(MAX(G:G)-MIN(G:G))</f>
        <v>0.92389076251656288</v>
      </c>
      <c r="P95">
        <f>(MAX(H:H)-H95)/(MAX(H:H)-MIN(H:H))</f>
        <v>0.8369570211971179</v>
      </c>
      <c r="Q95">
        <f>(MAX(I:I)-I95)/(MAX(I:I)-MIN(I:I))</f>
        <v>0.84313821547471601</v>
      </c>
    </row>
    <row r="96" spans="1:17" x14ac:dyDescent="0.6">
      <c r="A96">
        <v>60</v>
      </c>
      <c r="B96" t="s">
        <v>6</v>
      </c>
      <c r="C96" t="s">
        <v>177</v>
      </c>
      <c r="D96">
        <v>7.2612476140000002</v>
      </c>
      <c r="E96">
        <v>0.28027560899999998</v>
      </c>
      <c r="F96">
        <v>5.649516019</v>
      </c>
      <c r="G96">
        <v>0.41121107299999998</v>
      </c>
      <c r="H96">
        <v>4.7030029300000002</v>
      </c>
      <c r="I96">
        <v>0.34549559699999999</v>
      </c>
      <c r="J96">
        <f>SUM(L96:Q96)</f>
        <v>4.9406342061790545</v>
      </c>
      <c r="K96">
        <f>0.5*SIN(RADIANS(60))*((L96*M96)+(M96*N96)+(N96*O96)+(O96*P96)+(P96*Q96)+(Q96*L96))</f>
        <v>1.762789497299575</v>
      </c>
      <c r="L96">
        <f>(MAX(D:D)-D96)/(MAX(D:D)-MIN(D:D))</f>
        <v>0.7794447191982018</v>
      </c>
      <c r="M96">
        <f>(MAX(E:E)-E96)/(MAX(E:E)-MIN(E:E))</f>
        <v>0.90267385102696585</v>
      </c>
      <c r="N96">
        <f>(MAX(F:F)-F96)/(MAX(F:F)-MIN(F:F))</f>
        <v>0.8506589267386756</v>
      </c>
      <c r="O96">
        <f>(MAX(G:G)-G96)/(MAX(G:G)-MIN(G:G))</f>
        <v>0.88267248769629281</v>
      </c>
      <c r="P96">
        <f>(MAX(H:H)-H96)/(MAX(H:H)-MIN(H:H))</f>
        <v>0.75902091451263753</v>
      </c>
      <c r="Q96">
        <f>(MAX(I:I)-I96)/(MAX(I:I)-MIN(I:I))</f>
        <v>0.76616330700628033</v>
      </c>
    </row>
    <row r="97" spans="1:17" x14ac:dyDescent="0.6">
      <c r="A97">
        <v>90</v>
      </c>
      <c r="B97" t="s">
        <v>6</v>
      </c>
      <c r="C97" t="s">
        <v>8</v>
      </c>
      <c r="D97">
        <v>7.2547915349999998</v>
      </c>
      <c r="E97">
        <v>0.28035698399999998</v>
      </c>
      <c r="F97">
        <v>5.5410415439999996</v>
      </c>
      <c r="G97">
        <v>0.40317481399999999</v>
      </c>
      <c r="H97">
        <v>4.2892456049999996</v>
      </c>
      <c r="I97">
        <v>0.316562648</v>
      </c>
      <c r="J97">
        <f>SUM(L97:Q97)</f>
        <v>5.3193830193577334</v>
      </c>
      <c r="K97">
        <f>0.5*SIN(RADIANS(60))*((L97*M97)+(M97*N97)+(N97*O97)+(O97*P97)+(P97*Q97)+(Q97*L97))</f>
        <v>2.0415899689469739</v>
      </c>
      <c r="L97">
        <f>(MAX(D:D)-D97)/(MAX(D:D)-MIN(D:D))</f>
        <v>0.78175287683069727</v>
      </c>
      <c r="M97">
        <f>(MAX(E:E)-E97)/(MAX(E:E)-MIN(E:E))</f>
        <v>0.90237697738820677</v>
      </c>
      <c r="N97">
        <f>(MAX(F:F)-F97)/(MAX(F:F)-MIN(F:F))</f>
        <v>0.89651079453319815</v>
      </c>
      <c r="O97">
        <f>(MAX(G:G)-G97)/(MAX(G:G)-MIN(G:G))</f>
        <v>0.92373424134179449</v>
      </c>
      <c r="P97">
        <f>(MAX(H:H)-H97)/(MAX(H:H)-MIN(H:H))</f>
        <v>0.91482417839138097</v>
      </c>
      <c r="Q97">
        <f>(MAX(I:I)-I97)/(MAX(I:I)-MIN(I:I))</f>
        <v>0.90018395087245606</v>
      </c>
    </row>
    <row r="98" spans="1:17" x14ac:dyDescent="0.6">
      <c r="A98">
        <v>60</v>
      </c>
      <c r="B98" t="s">
        <v>99</v>
      </c>
      <c r="C98" t="s">
        <v>181</v>
      </c>
      <c r="D98">
        <v>7.2622173610000003</v>
      </c>
      <c r="E98">
        <v>0.28053172900000001</v>
      </c>
      <c r="F98">
        <v>5.6549204050000004</v>
      </c>
      <c r="G98">
        <v>0.41162120499999999</v>
      </c>
      <c r="H98">
        <v>4.9458618159999999</v>
      </c>
      <c r="I98">
        <v>0.36269718000000001</v>
      </c>
      <c r="J98">
        <f>SUM(L98:Q98)</f>
        <v>4.7638432198489538</v>
      </c>
      <c r="K98">
        <f>0.5*SIN(RADIANS(60))*((L98*M98)+(M98*N98)+(N98*O98)+(O98*P98)+(P98*Q98)+(Q98*L98))</f>
        <v>1.6435330195439923</v>
      </c>
      <c r="L98">
        <f>(MAX(D:D)-D98)/(MAX(D:D)-MIN(D:D))</f>
        <v>0.77909801821458002</v>
      </c>
      <c r="M98">
        <f>(MAX(E:E)-E98)/(MAX(E:E)-MIN(E:E))</f>
        <v>0.90173946975066488</v>
      </c>
      <c r="N98">
        <f>(MAX(F:F)-F98)/(MAX(F:F)-MIN(F:F))</f>
        <v>0.84837450736367892</v>
      </c>
      <c r="O98">
        <f>(MAX(G:G)-G98)/(MAX(G:G)-MIN(G:G))</f>
        <v>0.88057689332257527</v>
      </c>
      <c r="P98">
        <f>(MAX(H:H)-H98)/(MAX(H:H)-MIN(H:H))</f>
        <v>0.66757067347882482</v>
      </c>
      <c r="Q98">
        <f>(MAX(I:I)-I98)/(MAX(I:I)-MIN(I:I))</f>
        <v>0.68648365771863007</v>
      </c>
    </row>
    <row r="99" spans="1:17" x14ac:dyDescent="0.6">
      <c r="A99">
        <v>5</v>
      </c>
      <c r="B99" t="s">
        <v>99</v>
      </c>
      <c r="C99" t="s">
        <v>8</v>
      </c>
      <c r="D99">
        <v>7.2173910000000001</v>
      </c>
      <c r="E99">
        <v>0.28079999999999999</v>
      </c>
      <c r="F99">
        <v>5.4710340000000004</v>
      </c>
      <c r="G99">
        <v>0.40113599999999999</v>
      </c>
      <c r="H99">
        <v>4.3646240000000001</v>
      </c>
      <c r="I99">
        <v>0.32753700000000002</v>
      </c>
      <c r="J99">
        <f>SUM(L99:Q99)</f>
        <v>5.2919288776343167</v>
      </c>
      <c r="K99">
        <f>0.5*SIN(RADIANS(60))*((L99*M99)+(M99*N99)+(N99*O99)+(O99*P99)+(P99*Q99)+(Q99*L99))</f>
        <v>2.0229657323209116</v>
      </c>
      <c r="L99">
        <f>(MAX(D:D)-D99)/(MAX(D:D)-MIN(D:D))</f>
        <v>0.79512420179739274</v>
      </c>
      <c r="M99">
        <f>(MAX(E:E)-E99)/(MAX(E:E)-MIN(E:E))</f>
        <v>0.90076075899252606</v>
      </c>
      <c r="N99">
        <f>(MAX(F:F)-F99)/(MAX(F:F)-MIN(F:F))</f>
        <v>0.92610279442171728</v>
      </c>
      <c r="O99">
        <f>(MAX(G:G)-G99)/(MAX(G:G)-MIN(G:G))</f>
        <v>0.93415168535361637</v>
      </c>
      <c r="P99">
        <f>(MAX(H:H)-H99)/(MAX(H:H)-MIN(H:H))</f>
        <v>0.88643990757045665</v>
      </c>
      <c r="Q99">
        <f>(MAX(I:I)-I99)/(MAX(I:I)-MIN(I:I))</f>
        <v>0.84934952949860798</v>
      </c>
    </row>
    <row r="100" spans="1:17" x14ac:dyDescent="0.6">
      <c r="A100">
        <v>90</v>
      </c>
      <c r="B100" t="s">
        <v>6</v>
      </c>
      <c r="C100" t="s">
        <v>181</v>
      </c>
      <c r="D100">
        <v>7.2533024179999996</v>
      </c>
      <c r="E100">
        <v>0.280864318</v>
      </c>
      <c r="F100">
        <v>5.464723352</v>
      </c>
      <c r="G100">
        <v>0.39796667800000002</v>
      </c>
      <c r="H100">
        <v>4.4476318360000002</v>
      </c>
      <c r="I100">
        <v>0.32151564300000002</v>
      </c>
      <c r="J100">
        <f>SUM(L100:Q100)</f>
        <v>5.2943510339299529</v>
      </c>
      <c r="K100">
        <f>0.5*SIN(RADIANS(60))*((L100*M100)+(M100*N100)+(N100*O100)+(O100*P100)+(P100*Q100)+(Q100*L100))</f>
        <v>2.0233281540422232</v>
      </c>
      <c r="L100">
        <f>(MAX(D:D)-D100)/(MAX(D:D)-MIN(D:D))</f>
        <v>0.78228526138937893</v>
      </c>
      <c r="M100">
        <f>(MAX(E:E)-E100)/(MAX(E:E)-MIN(E:E))</f>
        <v>0.90052611298702423</v>
      </c>
      <c r="N100">
        <f>(MAX(F:F)-F100)/(MAX(F:F)-MIN(F:F))</f>
        <v>0.92877028829798436</v>
      </c>
      <c r="O100">
        <f>(MAX(G:G)-G100)/(MAX(G:G)-MIN(G:G))</f>
        <v>0.95034552868137223</v>
      </c>
      <c r="P100">
        <f>(MAX(H:H)-H100)/(MAX(H:H)-MIN(H:H))</f>
        <v>0.85518271647103261</v>
      </c>
      <c r="Q100">
        <f>(MAX(I:I)-I100)/(MAX(I:I)-MIN(I:I))</f>
        <v>0.87724112610316096</v>
      </c>
    </row>
    <row r="101" spans="1:17" x14ac:dyDescent="0.6">
      <c r="A101">
        <v>30</v>
      </c>
      <c r="B101" t="s">
        <v>9</v>
      </c>
      <c r="C101" t="s">
        <v>7</v>
      </c>
      <c r="D101">
        <v>7.2593668100000004</v>
      </c>
      <c r="E101">
        <v>0.28106569300000001</v>
      </c>
      <c r="F101">
        <v>5.6277566559999999</v>
      </c>
      <c r="G101">
        <v>0.41086201500000002</v>
      </c>
      <c r="H101">
        <v>4.9595947269999998</v>
      </c>
      <c r="I101">
        <v>0.359681892</v>
      </c>
      <c r="J101">
        <f>SUM(L101:Q101)</f>
        <v>4.787071419231534</v>
      </c>
      <c r="K101">
        <f>0.5*SIN(RADIANS(60))*((L101*M101)+(M101*N101)+(N101*O101)+(O101*P101)+(P101*Q101)+(Q101*L101))</f>
        <v>1.6594842444247735</v>
      </c>
      <c r="L101">
        <f>(MAX(D:D)-D101)/(MAX(D:D)-MIN(D:D))</f>
        <v>0.78011713849601816</v>
      </c>
      <c r="M101">
        <f>(MAX(E:E)-E101)/(MAX(E:E)-MIN(E:E))</f>
        <v>0.89979145333719179</v>
      </c>
      <c r="N101">
        <f>(MAX(F:F)-F101)/(MAX(F:F)-MIN(F:F))</f>
        <v>0.85985655074717182</v>
      </c>
      <c r="O101">
        <f>(MAX(G:G)-G101)/(MAX(G:G)-MIN(G:G))</f>
        <v>0.88445602075613938</v>
      </c>
      <c r="P101">
        <f>(MAX(H:H)-H101)/(MAX(H:H)-MIN(H:H))</f>
        <v>0.66239944815645435</v>
      </c>
      <c r="Q101">
        <f>(MAX(I:I)-I101)/(MAX(I:I)-MIN(I:I))</f>
        <v>0.70045080773855906</v>
      </c>
    </row>
    <row r="102" spans="1:17" x14ac:dyDescent="0.6">
      <c r="A102">
        <v>90</v>
      </c>
      <c r="B102" t="s">
        <v>571</v>
      </c>
      <c r="C102" t="s">
        <v>171</v>
      </c>
      <c r="D102">
        <v>6.7657624900000002</v>
      </c>
      <c r="E102">
        <v>0.28182125000000002</v>
      </c>
      <c r="F102" s="13">
        <v>5.3971687089999998</v>
      </c>
      <c r="G102" s="13">
        <v>0.42104186100000002</v>
      </c>
      <c r="H102">
        <v>4.554484049</v>
      </c>
      <c r="I102" s="13">
        <v>0.35217186</v>
      </c>
      <c r="J102">
        <f>SUM(L102:Q102)</f>
        <v>5.1935758650937869</v>
      </c>
      <c r="K102">
        <f>0.5*SIN(RADIANS(60))*((L102*M102)+(M102*N102)+(N102*O102)+(O102*P102)+(P102*Q102)+(Q102*L102))</f>
        <v>1.946245678776354</v>
      </c>
      <c r="L102">
        <f>(MAX(D:D)-D102)/(MAX(D:D)-MIN(D:D))</f>
        <v>0.95658904638944287</v>
      </c>
      <c r="M102">
        <f>(MAX(E:E)-E102)/(MAX(E:E)-MIN(E:E))</f>
        <v>0.89703501762745375</v>
      </c>
      <c r="N102">
        <f>(MAX(F:F)-F102)/(MAX(F:F)-MIN(F:F))</f>
        <v>0.95732545355453136</v>
      </c>
      <c r="O102">
        <f>(MAX(G:G)-G102)/(MAX(G:G)-MIN(G:G))</f>
        <v>0.83244147908928356</v>
      </c>
      <c r="P102">
        <f>(MAX(H:H)-H102)/(MAX(H:H)-MIN(H:H))</f>
        <v>0.81494675560177998</v>
      </c>
      <c r="Q102">
        <f>(MAX(I:I)-I102)/(MAX(I:I)-MIN(I:I))</f>
        <v>0.73523811283129559</v>
      </c>
    </row>
    <row r="103" spans="1:17" x14ac:dyDescent="0.6">
      <c r="A103">
        <v>60</v>
      </c>
      <c r="B103" t="s">
        <v>92</v>
      </c>
      <c r="C103" t="s">
        <v>7</v>
      </c>
      <c r="D103">
        <v>7.2754630000000002</v>
      </c>
      <c r="E103">
        <v>0.28189999999999998</v>
      </c>
      <c r="F103">
        <v>5.5962430000000003</v>
      </c>
      <c r="G103">
        <v>0.40754000000000001</v>
      </c>
      <c r="H103">
        <v>4.4950559999999999</v>
      </c>
      <c r="I103">
        <v>0.33418700000000001</v>
      </c>
      <c r="J103">
        <f>SUM(L103:Q103)</f>
        <v>5.1015883433671387</v>
      </c>
      <c r="K103">
        <f>0.5*SIN(RADIANS(60))*((L103*M103)+(M103*N103)+(N103*O103)+(O103*P103)+(P103*Q103)+(Q103*L103))</f>
        <v>1.878654056071055</v>
      </c>
      <c r="L103">
        <f>(MAX(D:D)-D103)/(MAX(D:D)-MIN(D:D))</f>
        <v>0.77436247784168066</v>
      </c>
      <c r="M103">
        <f>(MAX(E:E)-E103)/(MAX(E:E)-MIN(E:E))</f>
        <v>0.89674772055768703</v>
      </c>
      <c r="N103">
        <f>(MAX(F:F)-F103)/(MAX(F:F)-MIN(F:F))</f>
        <v>0.873177288078549</v>
      </c>
      <c r="O103">
        <f>(MAX(G:G)-G103)/(MAX(G:G)-MIN(G:G))</f>
        <v>0.90143005824505829</v>
      </c>
      <c r="P103">
        <f>(MAX(H:H)-H103)/(MAX(H:H)-MIN(H:H))</f>
        <v>0.83732481017796401</v>
      </c>
      <c r="Q103">
        <f>(MAX(I:I)-I103)/(MAX(I:I)-MIN(I:I))</f>
        <v>0.81854598846619997</v>
      </c>
    </row>
    <row r="104" spans="1:17" x14ac:dyDescent="0.6">
      <c r="A104">
        <v>5</v>
      </c>
      <c r="B104" t="s">
        <v>6</v>
      </c>
      <c r="C104" t="s">
        <v>167</v>
      </c>
      <c r="D104">
        <v>7.2259619109999997</v>
      </c>
      <c r="E104">
        <v>0.28198591099999998</v>
      </c>
      <c r="F104">
        <v>5.4821074510000001</v>
      </c>
      <c r="G104">
        <v>0.40222822600000002</v>
      </c>
      <c r="H104">
        <v>4.636230469</v>
      </c>
      <c r="I104">
        <v>0.34209811200000001</v>
      </c>
      <c r="J104">
        <f>SUM(L104:Q104)</f>
        <v>5.1045526171046545</v>
      </c>
      <c r="K104">
        <f>0.5*SIN(RADIANS(60))*((L104*M104)+(M104*N104)+(N104*O104)+(O104*P104)+(P104*Q104)+(Q104*L104))</f>
        <v>1.8845723575613056</v>
      </c>
      <c r="L104">
        <f>(MAX(D:D)-D104)/(MAX(D:D)-MIN(D:D))</f>
        <v>0.79205995589177614</v>
      </c>
      <c r="M104">
        <f>(MAX(E:E)-E104)/(MAX(E:E)-MIN(E:E))</f>
        <v>0.89643429860770929</v>
      </c>
      <c r="N104">
        <f>(MAX(F:F)-F104)/(MAX(F:F)-MIN(F:F))</f>
        <v>0.92142207657283071</v>
      </c>
      <c r="O104">
        <f>(MAX(G:G)-G104)/(MAX(G:G)-MIN(G:G))</f>
        <v>0.92857089024270556</v>
      </c>
      <c r="P104">
        <f>(MAX(H:H)-H104)/(MAX(H:H)-MIN(H:H))</f>
        <v>0.78416455966989518</v>
      </c>
      <c r="Q104">
        <f>(MAX(I:I)-I104)/(MAX(I:I)-MIN(I:I))</f>
        <v>0.78190083611973749</v>
      </c>
    </row>
    <row r="105" spans="1:17" x14ac:dyDescent="0.6">
      <c r="A105">
        <v>60</v>
      </c>
      <c r="B105" t="s">
        <v>92</v>
      </c>
      <c r="C105" t="s">
        <v>181</v>
      </c>
      <c r="D105">
        <v>7.2727806370000003</v>
      </c>
      <c r="E105">
        <v>0.28212038499999997</v>
      </c>
      <c r="F105">
        <v>5.5981438380000004</v>
      </c>
      <c r="G105">
        <v>0.407850718</v>
      </c>
      <c r="H105">
        <v>4.5718383789999999</v>
      </c>
      <c r="I105">
        <v>0.32702967199999999</v>
      </c>
      <c r="J105">
        <f>SUM(L105:Q105)</f>
        <v>5.1035927996248915</v>
      </c>
      <c r="K105">
        <f>0.5*SIN(RADIANS(60))*((L105*M105)+(M105*N105)+(N105*O105)+(O105*P105)+(P105*Q105)+(Q105*L105))</f>
        <v>1.8782139848090624</v>
      </c>
      <c r="L105">
        <f>(MAX(D:D)-D105)/(MAX(D:D)-MIN(D:D))</f>
        <v>0.77532146806338842</v>
      </c>
      <c r="M105">
        <f>(MAX(E:E)-E105)/(MAX(E:E)-MIN(E:E))</f>
        <v>0.89594370830726699</v>
      </c>
      <c r="N105">
        <f>(MAX(F:F)-F105)/(MAX(F:F)-MIN(F:F))</f>
        <v>0.87237380898658001</v>
      </c>
      <c r="O105">
        <f>(MAX(G:G)-G105)/(MAX(G:G)-MIN(G:G))</f>
        <v>0.89984242574475903</v>
      </c>
      <c r="P105">
        <f>(MAX(H:H)-H105)/(MAX(H:H)-MIN(H:H))</f>
        <v>0.80841185919498226</v>
      </c>
      <c r="Q105">
        <f>(MAX(I:I)-I105)/(MAX(I:I)-MIN(I:I))</f>
        <v>0.85169952932791482</v>
      </c>
    </row>
    <row r="106" spans="1:17" x14ac:dyDescent="0.6">
      <c r="A106">
        <v>90</v>
      </c>
      <c r="B106" t="s">
        <v>99</v>
      </c>
      <c r="C106" t="s">
        <v>177</v>
      </c>
      <c r="D106" s="13">
        <v>7.2754718360000004</v>
      </c>
      <c r="E106">
        <v>0.28256596299999998</v>
      </c>
      <c r="F106">
        <v>5.5001103650000003</v>
      </c>
      <c r="G106">
        <v>0.40045828500000002</v>
      </c>
      <c r="H106">
        <v>4.5510864260000004</v>
      </c>
      <c r="I106">
        <v>0.33052569700000001</v>
      </c>
      <c r="J106">
        <f>SUM(L106:Q106)</f>
        <v>5.1718359734082036</v>
      </c>
      <c r="K106">
        <f>0.5*SIN(RADIANS(60))*((L106*M106)+(M106*N106)+(N106*O106)+(O106*P106)+(P106*Q106)+(Q106*L106))</f>
        <v>1.9315894041219865</v>
      </c>
      <c r="L106">
        <f>(MAX(D:D)-D106)/(MAX(D:D)-MIN(D:D))</f>
        <v>0.77435931882196596</v>
      </c>
      <c r="M106">
        <f>(MAX(E:E)-E106)/(MAX(E:E)-MIN(E:E))</f>
        <v>0.89431814318024994</v>
      </c>
      <c r="N106">
        <f>(MAX(F:F)-F106)/(MAX(F:F)-MIN(F:F))</f>
        <v>0.9138122934174463</v>
      </c>
      <c r="O106">
        <f>(MAX(G:G)-G106)/(MAX(G:G)-MIN(G:G))</f>
        <v>0.93761451132424023</v>
      </c>
      <c r="P106">
        <f>(MAX(H:H)-H106)/(MAX(H:H)-MIN(H:H))</f>
        <v>0.81622615471049531</v>
      </c>
      <c r="Q106">
        <f>(MAX(I:I)-I106)/(MAX(I:I)-MIN(I:I))</f>
        <v>0.83550555195380583</v>
      </c>
    </row>
    <row r="107" spans="1:17" x14ac:dyDescent="0.6">
      <c r="A107">
        <v>5</v>
      </c>
      <c r="B107" t="s">
        <v>99</v>
      </c>
      <c r="C107" t="s">
        <v>177</v>
      </c>
      <c r="D107">
        <v>7.245783716</v>
      </c>
      <c r="E107">
        <v>0.28280973700000001</v>
      </c>
      <c r="F107">
        <v>5.5456035659999996</v>
      </c>
      <c r="G107">
        <v>0.40650269300000003</v>
      </c>
      <c r="H107">
        <v>4.5252685550000002</v>
      </c>
      <c r="I107">
        <v>0.32929940200000002</v>
      </c>
      <c r="J107">
        <f>SUM(L107:Q107)</f>
        <v>5.1468487538011534</v>
      </c>
      <c r="K107">
        <f>0.5*SIN(RADIANS(60))*((L107*M107)+(M107*N107)+(N107*O107)+(O107*P107)+(P107*Q107)+(Q107*L107))</f>
        <v>1.9120562930110043</v>
      </c>
      <c r="L107">
        <f>(MAX(D:D)-D107)/(MAX(D:D)-MIN(D:D))</f>
        <v>0.78497332474916082</v>
      </c>
      <c r="M107">
        <f>(MAX(E:E)-E107)/(MAX(E:E)-MIN(E:E))</f>
        <v>0.89342880278805492</v>
      </c>
      <c r="N107">
        <f>(MAX(F:F)-F107)/(MAX(F:F)-MIN(F:F))</f>
        <v>0.8945824401473419</v>
      </c>
      <c r="O107">
        <f>(MAX(G:G)-G107)/(MAX(G:G)-MIN(G:G))</f>
        <v>0.9067302413885775</v>
      </c>
      <c r="P107">
        <f>(MAX(H:H)-H107)/(MAX(H:H)-MIN(H:H))</f>
        <v>0.82594805768393609</v>
      </c>
      <c r="Q107">
        <f>(MAX(I:I)-I107)/(MAX(I:I)-MIN(I:I))</f>
        <v>0.84118588704408193</v>
      </c>
    </row>
    <row r="108" spans="1:17" x14ac:dyDescent="0.6">
      <c r="A108">
        <v>10</v>
      </c>
      <c r="B108" t="s">
        <v>6</v>
      </c>
      <c r="C108" t="s">
        <v>7</v>
      </c>
      <c r="D108">
        <v>7.2635887139999999</v>
      </c>
      <c r="E108">
        <v>0.28290686100000001</v>
      </c>
      <c r="F108">
        <v>5.606741306</v>
      </c>
      <c r="G108">
        <v>0.410417223</v>
      </c>
      <c r="H108">
        <v>4.6005249020000001</v>
      </c>
      <c r="I108">
        <v>0.34298178099999999</v>
      </c>
      <c r="J108">
        <f>SUM(L108:Q108)</f>
        <v>5.0025679323864134</v>
      </c>
      <c r="K108">
        <f>0.5*SIN(RADIANS(60))*((L108*M108)+(M108*N108)+(N108*O108)+(O108*P108)+(P108*Q108)+(Q108*L108))</f>
        <v>1.8077404405364403</v>
      </c>
      <c r="L108">
        <f>(MAX(D:D)-D108)/(MAX(D:D)-MIN(D:D))</f>
        <v>0.77860773628125879</v>
      </c>
      <c r="M108">
        <f>(MAX(E:E)-E108)/(MAX(E:E)-MIN(E:E))</f>
        <v>0.89307447338355916</v>
      </c>
      <c r="N108">
        <f>(MAX(F:F)-F108)/(MAX(F:F)-MIN(F:F))</f>
        <v>0.86873968246876454</v>
      </c>
      <c r="O108">
        <f>(MAX(G:G)-G108)/(MAX(G:G)-MIN(G:G))</f>
        <v>0.88672871250580687</v>
      </c>
      <c r="P108">
        <f>(MAX(H:H)-H108)/(MAX(H:H)-MIN(H:H))</f>
        <v>0.79760974490556713</v>
      </c>
      <c r="Q108">
        <f>(MAX(I:I)-I108)/(MAX(I:I)-MIN(I:I))</f>
        <v>0.77780758284145679</v>
      </c>
    </row>
    <row r="109" spans="1:17" x14ac:dyDescent="0.6">
      <c r="A109">
        <v>5</v>
      </c>
      <c r="B109" t="s">
        <v>6</v>
      </c>
      <c r="C109" t="s">
        <v>171</v>
      </c>
      <c r="D109">
        <v>7.2455522400000003</v>
      </c>
      <c r="E109">
        <v>0.28318028000000001</v>
      </c>
      <c r="F109">
        <v>5.5436261330000001</v>
      </c>
      <c r="G109">
        <v>0.40654590499999999</v>
      </c>
      <c r="H109">
        <v>4.4367675780000004</v>
      </c>
      <c r="I109">
        <v>0.33768952800000002</v>
      </c>
      <c r="J109">
        <f>SUM(L109:Q109)</f>
        <v>5.1406564243071573</v>
      </c>
      <c r="K109">
        <f>0.5*SIN(RADIANS(60))*((L109*M109)+(M109*N109)+(N109*O109)+(O109*P109)+(P109*Q109)+(Q109*L109))</f>
        <v>1.9091699800501489</v>
      </c>
      <c r="L109">
        <f>(MAX(D:D)-D109)/(MAX(D:D)-MIN(D:D))</f>
        <v>0.78505608134122529</v>
      </c>
      <c r="M109">
        <f>(MAX(E:E)-E109)/(MAX(E:E)-MIN(E:E))</f>
        <v>0.89207698160554527</v>
      </c>
      <c r="N109">
        <f>(MAX(F:F)-F109)/(MAX(F:F)-MIN(F:F))</f>
        <v>0.89541829573906984</v>
      </c>
      <c r="O109">
        <f>(MAX(G:G)-G109)/(MAX(G:G)-MIN(G:G))</f>
        <v>0.90650944704900627</v>
      </c>
      <c r="P109">
        <f>(MAX(H:H)-H109)/(MAX(H:H)-MIN(H:H))</f>
        <v>0.8592737301008716</v>
      </c>
      <c r="Q109">
        <f>(MAX(I:I)-I109)/(MAX(I:I)-MIN(I:I))</f>
        <v>0.80232188847143937</v>
      </c>
    </row>
    <row r="110" spans="1:17" x14ac:dyDescent="0.6">
      <c r="A110">
        <v>90</v>
      </c>
      <c r="B110" t="s">
        <v>92</v>
      </c>
      <c r="C110" t="s">
        <v>167</v>
      </c>
      <c r="D110" s="13">
        <v>7.2921080690000002</v>
      </c>
      <c r="E110">
        <v>0.283581215</v>
      </c>
      <c r="F110">
        <v>5.5503464789999999</v>
      </c>
      <c r="G110">
        <v>0.40400552699999998</v>
      </c>
      <c r="H110">
        <v>4.6378173829999998</v>
      </c>
      <c r="I110">
        <v>0.33613716300000002</v>
      </c>
      <c r="J110">
        <f>SUM(L110:Q110)</f>
        <v>5.0641727659340345</v>
      </c>
      <c r="K110">
        <f>0.5*SIN(RADIANS(60))*((L110*M110)+(M110*N110)+(N110*O110)+(O110*P110)+(P110*Q110)+(Q110*L110))</f>
        <v>1.8519280377266314</v>
      </c>
      <c r="L110">
        <f>(MAX(D:D)-D110)/(MAX(D:D)-MIN(D:D))</f>
        <v>0.76841158364479101</v>
      </c>
      <c r="M110">
        <f>(MAX(E:E)-E110)/(MAX(E:E)-MIN(E:E))</f>
        <v>0.89061428381929786</v>
      </c>
      <c r="N110">
        <f>(MAX(F:F)-F110)/(MAX(F:F)-MIN(F:F))</f>
        <v>0.89257762362403603</v>
      </c>
      <c r="O110">
        <f>(MAX(G:G)-G110)/(MAX(G:G)-MIN(G:G))</f>
        <v>0.91948966279397581</v>
      </c>
      <c r="P110">
        <f>(MAX(H:H)-H110)/(MAX(H:H)-MIN(H:H))</f>
        <v>0.78356699591511492</v>
      </c>
      <c r="Q110">
        <f>(MAX(I:I)-I110)/(MAX(I:I)-MIN(I:I))</f>
        <v>0.80951261613681891</v>
      </c>
    </row>
    <row r="111" spans="1:17" x14ac:dyDescent="0.6">
      <c r="A111">
        <v>60</v>
      </c>
      <c r="B111" t="s">
        <v>6</v>
      </c>
      <c r="C111" t="s">
        <v>181</v>
      </c>
      <c r="D111">
        <v>7.3078442099999998</v>
      </c>
      <c r="E111">
        <v>0.28358682099999999</v>
      </c>
      <c r="F111">
        <v>5.6755794179999999</v>
      </c>
      <c r="G111">
        <v>0.412918644</v>
      </c>
      <c r="H111">
        <v>4.830566406</v>
      </c>
      <c r="I111">
        <v>0.35216855000000002</v>
      </c>
      <c r="J111">
        <f>SUM(L111:Q111)</f>
        <v>4.8132084521311755</v>
      </c>
      <c r="K111">
        <f>0.5*SIN(RADIANS(60))*((L111*M111)+(M111*N111)+(N111*O111)+(O111*P111)+(P111*Q111)+(Q111*L111))</f>
        <v>1.6739731371234594</v>
      </c>
      <c r="L111">
        <f>(MAX(D:D)-D111)/(MAX(D:D)-MIN(D:D))</f>
        <v>0.76278564660852299</v>
      </c>
      <c r="M111">
        <f>(MAX(E:E)-E111)/(MAX(E:E)-MIN(E:E))</f>
        <v>0.89059383191614716</v>
      </c>
      <c r="N111">
        <f>(MAX(F:F)-F111)/(MAX(F:F)-MIN(F:F))</f>
        <v>0.83964199833018238</v>
      </c>
      <c r="O111">
        <f>(MAX(G:G)-G111)/(MAX(G:G)-MIN(G:G))</f>
        <v>0.87394754991937407</v>
      </c>
      <c r="P111">
        <f>(MAX(H:H)-H111)/(MAX(H:H)-MIN(H:H))</f>
        <v>0.71098598023680881</v>
      </c>
      <c r="Q111">
        <f>(MAX(I:I)-I111)/(MAX(I:I)-MIN(I:I))</f>
        <v>0.73525344512014024</v>
      </c>
    </row>
    <row r="112" spans="1:17" x14ac:dyDescent="0.6">
      <c r="A112">
        <v>5</v>
      </c>
      <c r="B112" t="s">
        <v>99</v>
      </c>
      <c r="C112" t="s">
        <v>184</v>
      </c>
      <c r="D112">
        <v>7.2530679109999996</v>
      </c>
      <c r="E112">
        <v>0.283716248</v>
      </c>
      <c r="F112">
        <v>5.5204914309999999</v>
      </c>
      <c r="G112">
        <v>0.40481444799999999</v>
      </c>
      <c r="H112">
        <v>4.6929931639999998</v>
      </c>
      <c r="I112">
        <v>0.343381679</v>
      </c>
      <c r="J112">
        <f>SUM(L112:Q112)</f>
        <v>5.0317898332509881</v>
      </c>
      <c r="K112">
        <f>0.5*SIN(RADIANS(60))*((L112*M112)+(M112*N112)+(N112*O112)+(O112*P112)+(P112*Q112)+(Q112*L112))</f>
        <v>1.8307416689106906</v>
      </c>
      <c r="L112">
        <f>(MAX(D:D)-D112)/(MAX(D:D)-MIN(D:D))</f>
        <v>0.78236910161529993</v>
      </c>
      <c r="M112">
        <f>(MAX(E:E)-E112)/(MAX(E:E)-MIN(E:E))</f>
        <v>0.89012165416568723</v>
      </c>
      <c r="N112">
        <f>(MAX(F:F)-F112)/(MAX(F:F)-MIN(F:F))</f>
        <v>0.90519727183063126</v>
      </c>
      <c r="O112">
        <f>(MAX(G:G)-G112)/(MAX(G:G)-MIN(G:G))</f>
        <v>0.91535643179424397</v>
      </c>
      <c r="P112">
        <f>(MAX(H:H)-H112)/(MAX(H:H)-MIN(H:H))</f>
        <v>0.76279016310168068</v>
      </c>
      <c r="Q112">
        <f>(MAX(I:I)-I112)/(MAX(I:I)-MIN(I:I))</f>
        <v>0.77595521074344509</v>
      </c>
    </row>
    <row r="113" spans="1:17" x14ac:dyDescent="0.6">
      <c r="A113">
        <v>90</v>
      </c>
      <c r="B113" t="s">
        <v>9</v>
      </c>
      <c r="C113" t="s">
        <v>181</v>
      </c>
      <c r="D113">
        <v>7.3002686810000004</v>
      </c>
      <c r="E113">
        <v>0.28381473899999998</v>
      </c>
      <c r="F113">
        <v>5.6132185430000003</v>
      </c>
      <c r="G113">
        <v>0.40838073400000002</v>
      </c>
      <c r="H113">
        <v>4.5768432619999997</v>
      </c>
      <c r="I113">
        <v>0.33887917499999998</v>
      </c>
      <c r="J113">
        <f>SUM(L113:Q113)</f>
        <v>5.0217309587946906</v>
      </c>
      <c r="K113">
        <f>0.5*SIN(RADIANS(60))*((L113*M113)+(M113*N113)+(N113*O113)+(O113*P113)+(P113*Q113)+(Q113*L113))</f>
        <v>1.8207019044883892</v>
      </c>
      <c r="L113">
        <f>(MAX(D:D)-D113)/(MAX(D:D)-MIN(D:D))</f>
        <v>0.76549402658366561</v>
      </c>
      <c r="M113">
        <f>(MAX(E:E)-E113)/(MAX(E:E)-MIN(E:E))</f>
        <v>0.88976233764888202</v>
      </c>
      <c r="N113">
        <f>(MAX(F:F)-F113)/(MAX(F:F)-MIN(F:F))</f>
        <v>0.86600177187184479</v>
      </c>
      <c r="O113">
        <f>(MAX(G:G)-G113)/(MAX(G:G)-MIN(G:G))</f>
        <v>0.89713427678886115</v>
      </c>
      <c r="P113">
        <f>(MAX(H:H)-H113)/(MAX(H:H)-MIN(H:H))</f>
        <v>0.80652723490046074</v>
      </c>
      <c r="Q113">
        <f>(MAX(I:I)-I113)/(MAX(I:I)-MIN(I:I))</f>
        <v>0.79681131100097613</v>
      </c>
    </row>
    <row r="114" spans="1:17" x14ac:dyDescent="0.6">
      <c r="A114">
        <v>90</v>
      </c>
      <c r="B114" t="s">
        <v>6</v>
      </c>
      <c r="C114" t="s">
        <v>167</v>
      </c>
      <c r="D114" s="13">
        <v>7.3061403399999998</v>
      </c>
      <c r="E114">
        <v>0.28382217500000001</v>
      </c>
      <c r="F114">
        <v>5.5949656870000002</v>
      </c>
      <c r="G114">
        <v>0.40689484100000001</v>
      </c>
      <c r="H114">
        <v>4.6087646480000002</v>
      </c>
      <c r="I114">
        <v>0.34112878400000002</v>
      </c>
      <c r="J114">
        <f>SUM(L114:Q114)</f>
        <v>5.0124716420734288</v>
      </c>
      <c r="K114">
        <f>0.5*SIN(RADIANS(60))*((L114*M114)+(M114*N114)+(N114*O114)+(O114*P114)+(P114*Q114)+(Q114*L114))</f>
        <v>1.814757397131219</v>
      </c>
      <c r="L114">
        <f>(MAX(D:D)-D114)/(MAX(D:D)-MIN(D:D))</f>
        <v>0.76339480900341927</v>
      </c>
      <c r="M114">
        <f>(MAX(E:E)-E114)/(MAX(E:E)-MIN(E:E))</f>
        <v>0.88973520950906249</v>
      </c>
      <c r="N114">
        <f>(MAX(F:F)-F114)/(MAX(F:F)-MIN(F:F))</f>
        <v>0.87371720483600024</v>
      </c>
      <c r="O114">
        <f>(MAX(G:G)-G114)/(MAX(G:G)-MIN(G:G))</f>
        <v>0.90472653735557207</v>
      </c>
      <c r="P114">
        <f>(MAX(H:H)-H114)/(MAX(H:H)-MIN(H:H))</f>
        <v>0.79450700993807899</v>
      </c>
      <c r="Q114">
        <f>(MAX(I:I)-I114)/(MAX(I:I)-MIN(I:I))</f>
        <v>0.7863908714312956</v>
      </c>
    </row>
    <row r="115" spans="1:17" x14ac:dyDescent="0.6">
      <c r="A115">
        <v>10</v>
      </c>
      <c r="B115" t="s">
        <v>9</v>
      </c>
      <c r="C115" t="s">
        <v>167</v>
      </c>
      <c r="D115">
        <v>7.2537872449999998</v>
      </c>
      <c r="E115">
        <v>0.28388472100000001</v>
      </c>
      <c r="F115">
        <v>5.5576533760000002</v>
      </c>
      <c r="G115">
        <v>0.40754601099999999</v>
      </c>
      <c r="H115">
        <v>4.7627563479999999</v>
      </c>
      <c r="I115">
        <v>0.35536452400000001</v>
      </c>
      <c r="J115">
        <f>SUM(L115:Q115)</f>
        <v>4.9194769956644064</v>
      </c>
      <c r="K115">
        <f>0.5*SIN(RADIANS(60))*((L115*M115)+(M115*N115)+(N115*O115)+(O115*P115)+(P115*Q115)+(Q115*L115))</f>
        <v>1.7522647800410465</v>
      </c>
      <c r="L115">
        <f>(MAX(D:D)-D115)/(MAX(D:D)-MIN(D:D))</f>
        <v>0.7821119275221059</v>
      </c>
      <c r="M115">
        <f>(MAX(E:E)-E115)/(MAX(E:E)-MIN(E:E))</f>
        <v>0.88950702814365756</v>
      </c>
      <c r="N115">
        <f>(MAX(F:F)-F115)/(MAX(F:F)-MIN(F:F))</f>
        <v>0.88948901798448621</v>
      </c>
      <c r="O115">
        <f>(MAX(G:G)-G115)/(MAX(G:G)-MIN(G:G))</f>
        <v>0.90139934467532867</v>
      </c>
      <c r="P115">
        <f>(MAX(H:H)-H115)/(MAX(H:H)-MIN(H:H))</f>
        <v>0.73652033992507993</v>
      </c>
      <c r="Q115">
        <f>(MAX(I:I)-I115)/(MAX(I:I)-MIN(I:I))</f>
        <v>0.72044933741374784</v>
      </c>
    </row>
    <row r="116" spans="1:17" x14ac:dyDescent="0.6">
      <c r="A116">
        <v>90</v>
      </c>
      <c r="B116" s="31" t="s">
        <v>571</v>
      </c>
      <c r="C116" s="31" t="s">
        <v>8</v>
      </c>
      <c r="D116" s="31">
        <v>6.7679713440000002</v>
      </c>
      <c r="E116">
        <v>0.28411497299999999</v>
      </c>
      <c r="F116" s="31">
        <v>5.5103630299999997</v>
      </c>
      <c r="G116" s="31">
        <v>0.42983443100000002</v>
      </c>
      <c r="H116" s="31">
        <v>4.7645670569999998</v>
      </c>
      <c r="I116" s="31">
        <v>0.36794501200000002</v>
      </c>
      <c r="J116">
        <f>SUM(L116:Q116)</f>
        <v>4.9394738103094813</v>
      </c>
      <c r="K116">
        <f>0.5*SIN(RADIANS(60))*((L116*M116)+(M116*N116)+(N116*O116)+(O116*P116)+(P116*Q116)+(Q116*L116))</f>
        <v>1.763870204211023</v>
      </c>
      <c r="L116">
        <f>(MAX(D:D)-D116)/(MAX(D:D)-MIN(D:D))</f>
        <v>0.95579934365823904</v>
      </c>
      <c r="M116">
        <f>(MAX(E:E)-E116)/(MAX(E:E)-MIN(E:E))</f>
        <v>0.88866701893847699</v>
      </c>
      <c r="N116">
        <f>(MAX(F:F)-F116)/(MAX(F:F)-MIN(F:F))</f>
        <v>0.90947851959534198</v>
      </c>
      <c r="O116">
        <f>(MAX(G:G)-G116)/(MAX(G:G)-MIN(G:G))</f>
        <v>0.78751530843564621</v>
      </c>
      <c r="P116">
        <f>(MAX(H:H)-H116)/(MAX(H:H)-MIN(H:H))</f>
        <v>0.73583850457114486</v>
      </c>
      <c r="Q116">
        <f>(MAX(I:I)-I116)/(MAX(I:I)-MIN(I:I))</f>
        <v>0.66217511511063243</v>
      </c>
    </row>
    <row r="117" spans="1:17" x14ac:dyDescent="0.6">
      <c r="A117">
        <v>90</v>
      </c>
      <c r="B117" t="s">
        <v>92</v>
      </c>
      <c r="C117" t="s">
        <v>174</v>
      </c>
      <c r="D117" s="13">
        <v>7.3084167630000003</v>
      </c>
      <c r="E117">
        <v>0.28416694399999998</v>
      </c>
      <c r="F117">
        <v>5.5689722350000004</v>
      </c>
      <c r="G117">
        <v>0.40508889300000001</v>
      </c>
      <c r="H117">
        <v>4.6488647460000001</v>
      </c>
      <c r="I117">
        <v>0.342944939</v>
      </c>
      <c r="J117">
        <f>SUM(L117:Q117)</f>
        <v>5.0071023437888798</v>
      </c>
      <c r="K117">
        <f>0.5*SIN(RADIANS(60))*((L117*M117)+(M117*N117)+(N117*O117)+(O117*P117)+(P117*Q117)+(Q117*L117))</f>
        <v>1.8117817651516026</v>
      </c>
      <c r="L117">
        <f>(MAX(D:D)-D117)/(MAX(D:D)-MIN(D:D))</f>
        <v>0.76258094920984509</v>
      </c>
      <c r="M117">
        <f>(MAX(E:E)-E117)/(MAX(E:E)-MIN(E:E))</f>
        <v>0.88847741746529796</v>
      </c>
      <c r="N117">
        <f>(MAX(F:F)-F117)/(MAX(F:F)-MIN(F:F))</f>
        <v>0.88470456683639032</v>
      </c>
      <c r="O117">
        <f>(MAX(G:G)-G117)/(MAX(G:G)-MIN(G:G))</f>
        <v>0.91395413839140072</v>
      </c>
      <c r="P117">
        <f>(MAX(H:H)-H117)/(MAX(H:H)-MIN(H:H))</f>
        <v>0.77940703279505819</v>
      </c>
      <c r="Q117">
        <f>(MAX(I:I)-I117)/(MAX(I:I)-MIN(I:I))</f>
        <v>0.7779782390908877</v>
      </c>
    </row>
    <row r="118" spans="1:17" x14ac:dyDescent="0.6">
      <c r="A118">
        <v>90</v>
      </c>
      <c r="B118" t="s">
        <v>92</v>
      </c>
      <c r="C118" t="s">
        <v>181</v>
      </c>
      <c r="D118">
        <v>7.3029645209999998</v>
      </c>
      <c r="E118">
        <v>0.28436727000000001</v>
      </c>
      <c r="F118">
        <v>5.5629180490000003</v>
      </c>
      <c r="G118">
        <v>0.40486600099999998</v>
      </c>
      <c r="H118">
        <v>4.8130493159999999</v>
      </c>
      <c r="I118">
        <v>0.34186826100000001</v>
      </c>
      <c r="J118">
        <f>SUM(L118:Q118)</f>
        <v>4.9551811730709909</v>
      </c>
      <c r="K118">
        <f>0.5*SIN(RADIANS(60))*((L118*M118)+(M118*N118)+(N118*O118)+(O118*P118)+(P118*Q118)+(Q118*L118))</f>
        <v>1.7733604294805474</v>
      </c>
      <c r="L118">
        <f>(MAX(D:D)-D118)/(MAX(D:D)-MIN(D:D))</f>
        <v>0.76453021810610744</v>
      </c>
      <c r="M118">
        <f>(MAX(E:E)-E118)/(MAX(E:E)-MIN(E:E))</f>
        <v>0.88774658479484558</v>
      </c>
      <c r="N118">
        <f>(MAX(F:F)-F118)/(MAX(F:F)-MIN(F:F))</f>
        <v>0.88726365491748449</v>
      </c>
      <c r="O118">
        <f>(MAX(G:G)-G118)/(MAX(G:G)-MIN(G:G))</f>
        <v>0.91509301860837156</v>
      </c>
      <c r="P118">
        <f>(MAX(H:H)-H118)/(MAX(H:H)-MIN(H:H))</f>
        <v>0.71758216507935568</v>
      </c>
      <c r="Q118">
        <f>(MAX(I:I)-I118)/(MAX(I:I)-MIN(I:I))</f>
        <v>0.78296553156482618</v>
      </c>
    </row>
    <row r="119" spans="1:17" x14ac:dyDescent="0.6">
      <c r="A119">
        <v>30</v>
      </c>
      <c r="B119" t="s">
        <v>99</v>
      </c>
      <c r="C119" t="s">
        <v>7</v>
      </c>
      <c r="D119">
        <v>7.2696249999999996</v>
      </c>
      <c r="E119">
        <v>0.28449999999999998</v>
      </c>
      <c r="F119">
        <v>5.5980309999999998</v>
      </c>
      <c r="G119">
        <v>0.40990300000000002</v>
      </c>
      <c r="H119">
        <v>4.5358890000000001</v>
      </c>
      <c r="I119">
        <v>0.332318</v>
      </c>
      <c r="J119">
        <f>SUM(L119:Q119)</f>
        <v>5.0746419485256355</v>
      </c>
      <c r="K119">
        <f>0.5*SIN(RADIANS(60))*((L119*M119)+(M119*N119)+(N119*O119)+(O119*P119)+(P119*Q119)+(Q119*L119))</f>
        <v>1.8585254773180013</v>
      </c>
      <c r="L119">
        <f>(MAX(D:D)-D119)/(MAX(D:D)-MIN(D:D))</f>
        <v>0.77644966175911867</v>
      </c>
      <c r="M119">
        <f>(MAX(E:E)-E119)/(MAX(E:E)-MIN(E:E))</f>
        <v>0.8872623569844309</v>
      </c>
      <c r="N119">
        <f>(MAX(F:F)-F119)/(MAX(F:F)-MIN(F:F))</f>
        <v>0.8724215053046146</v>
      </c>
      <c r="O119">
        <f>(MAX(G:G)-G119)/(MAX(G:G)-MIN(G:G))</f>
        <v>0.88935616616861823</v>
      </c>
      <c r="P119">
        <f>(MAX(H:H)-H119)/(MAX(H:H)-MIN(H:H))</f>
        <v>0.82194885357354441</v>
      </c>
      <c r="Q119">
        <f>(MAX(I:I)-I119)/(MAX(I:I)-MIN(I:I))</f>
        <v>0.8272034047353084</v>
      </c>
    </row>
    <row r="120" spans="1:17" x14ac:dyDescent="0.6">
      <c r="A120">
        <v>60</v>
      </c>
      <c r="B120" t="s">
        <v>6</v>
      </c>
      <c r="C120" t="s">
        <v>171</v>
      </c>
      <c r="D120">
        <v>7.2983879600000003</v>
      </c>
      <c r="E120">
        <v>0.28452423599999999</v>
      </c>
      <c r="F120">
        <v>5.574669578</v>
      </c>
      <c r="G120">
        <v>0.40629008100000003</v>
      </c>
      <c r="H120">
        <v>4.5595092770000001</v>
      </c>
      <c r="I120">
        <v>0.32931139799999998</v>
      </c>
      <c r="J120">
        <f>SUM(L120:Q120)</f>
        <v>5.0976380561479129</v>
      </c>
      <c r="K120">
        <f>0.5*SIN(RADIANS(60))*((L120*M120)+(M120*N120)+(N120*O120)+(O120*P120)+(P120*Q120)+(Q120*L120))</f>
        <v>1.8748892802005919</v>
      </c>
      <c r="L120">
        <f>(MAX(D:D)-D120)/(MAX(D:D)-MIN(D:D))</f>
        <v>0.76616641620757575</v>
      </c>
      <c r="M120">
        <f>(MAX(E:E)-E120)/(MAX(E:E)-MIN(E:E))</f>
        <v>0.88717393880306106</v>
      </c>
      <c r="N120">
        <f>(MAX(F:F)-F120)/(MAX(F:F)-MIN(F:F))</f>
        <v>0.8822963153282265</v>
      </c>
      <c r="O120">
        <f>(MAX(G:G)-G120)/(MAX(G:G)-MIN(G:G))</f>
        <v>0.90781659532093295</v>
      </c>
      <c r="P120">
        <f>(MAX(H:H)-H120)/(MAX(H:H)-MIN(H:H))</f>
        <v>0.81305447025278987</v>
      </c>
      <c r="Q120">
        <f>(MAX(I:I)-I120)/(MAX(I:I)-MIN(I:I))</f>
        <v>0.84113032023532652</v>
      </c>
    </row>
    <row r="121" spans="1:17" x14ac:dyDescent="0.6">
      <c r="A121">
        <v>60</v>
      </c>
      <c r="B121" t="s">
        <v>92</v>
      </c>
      <c r="C121" t="s">
        <v>171</v>
      </c>
      <c r="D121">
        <v>7.3124180179999998</v>
      </c>
      <c r="E121">
        <v>0.284874933</v>
      </c>
      <c r="F121">
        <v>5.6562527740000004</v>
      </c>
      <c r="G121">
        <v>0.41188939299999999</v>
      </c>
      <c r="H121">
        <v>4.6723022460000001</v>
      </c>
      <c r="I121">
        <v>0.341196043</v>
      </c>
      <c r="J121">
        <f>SUM(L121:Q121)</f>
        <v>4.9307236376087715</v>
      </c>
      <c r="K121">
        <f>0.5*SIN(RADIANS(60))*((L121*M121)+(M121*N121)+(N121*O121)+(O121*P121)+(P121*Q121)+(Q121*L121))</f>
        <v>1.7547124207511127</v>
      </c>
      <c r="L121">
        <f>(MAX(D:D)-D121)/(MAX(D:D)-MIN(D:D))</f>
        <v>0.76115043275120053</v>
      </c>
      <c r="M121">
        <f>(MAX(E:E)-E121)/(MAX(E:E)-MIN(E:E))</f>
        <v>0.88589452013034942</v>
      </c>
      <c r="N121">
        <f>(MAX(F:F)-F121)/(MAX(F:F)-MIN(F:F))</f>
        <v>0.84781131858363168</v>
      </c>
      <c r="O121">
        <f>(MAX(G:G)-G121)/(MAX(G:G)-MIN(G:G))</f>
        <v>0.87920657044140882</v>
      </c>
      <c r="P121">
        <f>(MAX(H:H)-H121)/(MAX(H:H)-MIN(H:H))</f>
        <v>0.77058147545378808</v>
      </c>
      <c r="Q121">
        <f>(MAX(I:I)-I121)/(MAX(I:I)-MIN(I:I))</f>
        <v>0.78607932024839355</v>
      </c>
    </row>
    <row r="122" spans="1:17" x14ac:dyDescent="0.6">
      <c r="A122">
        <v>30</v>
      </c>
      <c r="B122" t="s">
        <v>9</v>
      </c>
      <c r="C122" t="s">
        <v>174</v>
      </c>
      <c r="D122">
        <v>7.3205897259999997</v>
      </c>
      <c r="E122">
        <v>0.28517133300000003</v>
      </c>
      <c r="F122">
        <v>5.7015777879999998</v>
      </c>
      <c r="G122">
        <v>0.416100521</v>
      </c>
      <c r="H122">
        <v>4.6337280270000001</v>
      </c>
      <c r="I122">
        <v>0.339841328</v>
      </c>
      <c r="J122">
        <f>SUM(L122:Q122)</f>
        <v>4.9068455940201927</v>
      </c>
      <c r="K122">
        <f>0.5*SIN(RADIANS(60))*((L122*M122)+(M122*N122)+(N122*O122)+(O122*P122)+(P122*Q122)+(Q122*L122))</f>
        <v>1.736843100644577</v>
      </c>
      <c r="L122">
        <f>(MAX(D:D)-D122)/(MAX(D:D)-MIN(D:D))</f>
        <v>0.75822890868206771</v>
      </c>
      <c r="M122">
        <f>(MAX(E:E)-E122)/(MAX(E:E)-MIN(E:E))</f>
        <v>0.88481318868299819</v>
      </c>
      <c r="N122">
        <f>(MAX(F:F)-F122)/(MAX(F:F)-MIN(F:F))</f>
        <v>0.82865255750446665</v>
      </c>
      <c r="O122">
        <f>(MAX(G:G)-G122)/(MAX(G:G)-MIN(G:G))</f>
        <v>0.85768955605627328</v>
      </c>
      <c r="P122">
        <f>(MAX(H:H)-H122)/(MAX(H:H)-MIN(H:H))</f>
        <v>0.78510687200543439</v>
      </c>
      <c r="Q122">
        <f>(MAX(I:I)-I122)/(MAX(I:I)-MIN(I:I))</f>
        <v>0.79235451108895283</v>
      </c>
    </row>
    <row r="123" spans="1:17" x14ac:dyDescent="0.6">
      <c r="A123">
        <v>30</v>
      </c>
      <c r="B123" t="s">
        <v>99</v>
      </c>
      <c r="C123" t="s">
        <v>174</v>
      </c>
      <c r="D123">
        <v>7.2855276250000003</v>
      </c>
      <c r="E123">
        <v>0.28530570700000002</v>
      </c>
      <c r="F123">
        <v>5.5776900500000002</v>
      </c>
      <c r="G123">
        <v>0.40814862200000002</v>
      </c>
      <c r="H123">
        <v>4.5207519530000004</v>
      </c>
      <c r="I123">
        <v>0.323686099</v>
      </c>
      <c r="J123">
        <f>SUM(L123:Q123)</f>
        <v>5.1292631525431993</v>
      </c>
      <c r="K123">
        <f>0.5*SIN(RADIANS(60))*((L123*M123)+(M123*N123)+(N123*O123)+(O123*P123)+(P123*Q123)+(Q123*L123))</f>
        <v>1.8973600251814893</v>
      </c>
      <c r="L123">
        <f>(MAX(D:D)-D123)/(MAX(D:D)-MIN(D:D))</f>
        <v>0.77076420387199207</v>
      </c>
      <c r="M123">
        <f>(MAX(E:E)-E123)/(MAX(E:E)-MIN(E:E))</f>
        <v>0.88432296320423176</v>
      </c>
      <c r="N123">
        <f>(MAX(F:F)-F123)/(MAX(F:F)-MIN(F:F))</f>
        <v>0.88101956996650821</v>
      </c>
      <c r="O123">
        <f>(MAX(G:G)-G123)/(MAX(G:G)-MIN(G:G))</f>
        <v>0.8983202671560413</v>
      </c>
      <c r="P123">
        <f>(MAX(H:H)-H123)/(MAX(H:H)-MIN(H:H))</f>
        <v>0.82764881629465359</v>
      </c>
      <c r="Q123">
        <f>(MAX(I:I)-I123)/(MAX(I:I)-MIN(I:I))</f>
        <v>0.86718733204977216</v>
      </c>
    </row>
    <row r="124" spans="1:17" x14ac:dyDescent="0.6">
      <c r="A124">
        <v>10</v>
      </c>
      <c r="B124" t="s">
        <v>99</v>
      </c>
      <c r="C124" t="s">
        <v>167</v>
      </c>
      <c r="D124">
        <v>7.2947859069999996</v>
      </c>
      <c r="E124">
        <v>0.285315131</v>
      </c>
      <c r="F124">
        <v>5.6279102429999996</v>
      </c>
      <c r="G124">
        <v>0.41199564799999999</v>
      </c>
      <c r="H124">
        <v>4.7182006840000001</v>
      </c>
      <c r="I124">
        <v>0.349665379</v>
      </c>
      <c r="J124">
        <f>SUM(L124:Q124)</f>
        <v>4.8903445818643672</v>
      </c>
      <c r="K124">
        <f>0.5*SIN(RADIANS(60))*((L124*M124)+(M124*N124)+(N124*O124)+(O124*P124)+(P124*Q124)+(Q124*L124))</f>
        <v>1.7286255344583505</v>
      </c>
      <c r="L124">
        <f>(MAX(D:D)-D124)/(MAX(D:D)-MIN(D:D))</f>
        <v>0.76745421118725365</v>
      </c>
      <c r="M124">
        <f>(MAX(E:E)-E124)/(MAX(E:E)-MIN(E:E))</f>
        <v>0.88428858240949548</v>
      </c>
      <c r="N124">
        <f>(MAX(F:F)-F124)/(MAX(F:F)-MIN(F:F))</f>
        <v>0.85979162993682501</v>
      </c>
      <c r="O124">
        <f>(MAX(G:G)-G124)/(MAX(G:G)-MIN(G:G))</f>
        <v>0.87866365406282976</v>
      </c>
      <c r="P124">
        <f>(MAX(H:H)-H124)/(MAX(H:H)-MIN(H:H))</f>
        <v>0.75329809213885546</v>
      </c>
      <c r="Q124">
        <f>(MAX(I:I)-I124)/(MAX(I:I)-MIN(I:I))</f>
        <v>0.7468484121291078</v>
      </c>
    </row>
    <row r="125" spans="1:17" x14ac:dyDescent="0.6">
      <c r="A125">
        <v>10</v>
      </c>
      <c r="B125" t="s">
        <v>6</v>
      </c>
      <c r="C125" t="s">
        <v>174</v>
      </c>
      <c r="D125">
        <v>7.266034415</v>
      </c>
      <c r="E125">
        <v>0.28537178400000002</v>
      </c>
      <c r="F125">
        <v>5.5441462420000001</v>
      </c>
      <c r="G125">
        <v>0.40684344700000002</v>
      </c>
      <c r="H125">
        <v>4.6900024409999999</v>
      </c>
      <c r="I125">
        <v>0.34720037399999998</v>
      </c>
      <c r="J125">
        <f>SUM(L125:Q125)</f>
        <v>4.9841857730039694</v>
      </c>
      <c r="K125">
        <f>0.5*SIN(RADIANS(60))*((L125*M125)+(M125*N125)+(N125*O125)+(O125*P125)+(P125*Q125)+(Q125*L125))</f>
        <v>1.7967736704317112</v>
      </c>
      <c r="L125">
        <f>(MAX(D:D)-D125)/(MAX(D:D)-MIN(D:D))</f>
        <v>0.77773335673448563</v>
      </c>
      <c r="M125">
        <f>(MAX(E:E)-E125)/(MAX(E:E)-MIN(E:E))</f>
        <v>0.88408189998545095</v>
      </c>
      <c r="N125">
        <f>(MAX(F:F)-F125)/(MAX(F:F)-MIN(F:F))</f>
        <v>0.89519844706861773</v>
      </c>
      <c r="O125">
        <f>(MAX(G:G)-G125)/(MAX(G:G)-MIN(G:G))</f>
        <v>0.90498913812128368</v>
      </c>
      <c r="P125">
        <f>(MAX(H:H)-H125)/(MAX(H:H)-MIN(H:H))</f>
        <v>0.76391634112102391</v>
      </c>
      <c r="Q125">
        <f>(MAX(I:I)-I125)/(MAX(I:I)-MIN(I:I))</f>
        <v>0.75826658997310659</v>
      </c>
    </row>
    <row r="126" spans="1:17" x14ac:dyDescent="0.6">
      <c r="A126">
        <v>60</v>
      </c>
      <c r="B126" t="s">
        <v>92</v>
      </c>
      <c r="C126" t="s">
        <v>177</v>
      </c>
      <c r="D126">
        <v>7.3231435720000002</v>
      </c>
      <c r="E126">
        <v>0.28557284999999999</v>
      </c>
      <c r="F126">
        <v>5.6495555529999999</v>
      </c>
      <c r="G126">
        <v>0.41140818099999998</v>
      </c>
      <c r="H126">
        <v>4.7750244139999998</v>
      </c>
      <c r="I126">
        <v>0.347665051</v>
      </c>
      <c r="J126">
        <f>SUM(L126:Q126)</f>
        <v>4.8609866680533429</v>
      </c>
      <c r="K126">
        <f>0.5*SIN(RADIANS(60))*((L126*M126)+(M126*N126)+(N126*O126)+(O126*P126)+(P126*Q126)+(Q126*L126))</f>
        <v>1.7067967049497985</v>
      </c>
      <c r="L126">
        <f>(MAX(D:D)-D126)/(MAX(D:D)-MIN(D:D))</f>
        <v>0.75731586546541585</v>
      </c>
      <c r="M126">
        <f>(MAX(E:E)-E126)/(MAX(E:E)-MIN(E:E))</f>
        <v>0.88334836763459712</v>
      </c>
      <c r="N126">
        <f>(MAX(F:F)-F126)/(MAX(F:F)-MIN(F:F))</f>
        <v>0.85064221582358346</v>
      </c>
      <c r="O126">
        <f>(MAX(G:G)-G126)/(MAX(G:G)-MIN(G:G))</f>
        <v>0.88166535239396404</v>
      </c>
      <c r="P126">
        <f>(MAX(H:H)-H126)/(MAX(H:H)-MIN(H:H))</f>
        <v>0.7319007124072352</v>
      </c>
      <c r="Q126">
        <f>(MAX(I:I)-I126)/(MAX(I:I)-MIN(I:I))</f>
        <v>0.75611415432854756</v>
      </c>
    </row>
    <row r="127" spans="1:17" x14ac:dyDescent="0.6">
      <c r="A127">
        <v>90</v>
      </c>
      <c r="B127" t="s">
        <v>9</v>
      </c>
      <c r="C127" t="s">
        <v>8</v>
      </c>
      <c r="D127">
        <v>7.33282232</v>
      </c>
      <c r="E127">
        <v>0.286137586</v>
      </c>
      <c r="F127">
        <v>5.6326327389999999</v>
      </c>
      <c r="G127">
        <v>0.40964829400000002</v>
      </c>
      <c r="H127">
        <v>4.3694458010000004</v>
      </c>
      <c r="I127">
        <v>0.31713756399999998</v>
      </c>
      <c r="J127">
        <f>SUM(L127:Q127)</f>
        <v>5.1657417829332868</v>
      </c>
      <c r="K127">
        <f>0.5*SIN(RADIANS(60))*((L127*M127)+(M127*N127)+(N127*O127)+(O127*P127)+(P127*Q127)+(Q127*L127))</f>
        <v>1.9237879427084947</v>
      </c>
      <c r="L127">
        <f>(MAX(D:D)-D127)/(MAX(D:D)-MIN(D:D))</f>
        <v>0.75385554906141916</v>
      </c>
      <c r="M127">
        <f>(MAX(E:E)-E127)/(MAX(E:E)-MIN(E:E))</f>
        <v>0.8812880882950177</v>
      </c>
      <c r="N127">
        <f>(MAX(F:F)-F127)/(MAX(F:F)-MIN(F:F))</f>
        <v>0.85779544362431071</v>
      </c>
      <c r="O127">
        <f>(MAX(G:G)-G127)/(MAX(G:G)-MIN(G:G))</f>
        <v>0.89065760195161503</v>
      </c>
      <c r="P127">
        <f>(MAX(H:H)-H127)/(MAX(H:H)-MIN(H:H))</f>
        <v>0.88462422410533892</v>
      </c>
      <c r="Q127">
        <f>(MAX(I:I)-I127)/(MAX(I:I)-MIN(I:I))</f>
        <v>0.89752087589558582</v>
      </c>
    </row>
    <row r="128" spans="1:17" x14ac:dyDescent="0.6">
      <c r="A128">
        <v>60</v>
      </c>
      <c r="B128" t="s">
        <v>99</v>
      </c>
      <c r="C128" t="s">
        <v>174</v>
      </c>
      <c r="D128">
        <v>7.3278160569999997</v>
      </c>
      <c r="E128">
        <v>0.28613997499999999</v>
      </c>
      <c r="F128">
        <v>5.5937832920000004</v>
      </c>
      <c r="G128">
        <v>0.407418856</v>
      </c>
      <c r="H128">
        <v>4.7029418950000004</v>
      </c>
      <c r="I128">
        <v>0.34730410499999997</v>
      </c>
      <c r="J128">
        <f>SUM(L128:Q128)</f>
        <v>4.9300207905967106</v>
      </c>
      <c r="K128">
        <f>0.5*SIN(RADIANS(60))*((L128*M128)+(M128*N128)+(N128*O128)+(O128*P128)+(P128*Q128)+(Q128*L128))</f>
        <v>1.7569299861651166</v>
      </c>
      <c r="L128">
        <f>(MAX(D:D)-D128)/(MAX(D:D)-MIN(D:D))</f>
        <v>0.75564537290863809</v>
      </c>
      <c r="M128">
        <f>(MAX(E:E)-E128)/(MAX(E:E)-MIN(E:E))</f>
        <v>0.88127937270518064</v>
      </c>
      <c r="N128">
        <f>(MAX(F:F)-F128)/(MAX(F:F)-MIN(F:F))</f>
        <v>0.87421700001104852</v>
      </c>
      <c r="O128">
        <f>(MAX(G:G)-G128)/(MAX(G:G)-MIN(G:G))</f>
        <v>0.90204905087379661</v>
      </c>
      <c r="P128">
        <f>(MAX(H:H)-H128)/(MAX(H:H)-MIN(H:H))</f>
        <v>0.7590438976760433</v>
      </c>
      <c r="Q128">
        <f>(MAX(I:I)-I128)/(MAX(I:I)-MIN(I:I))</f>
        <v>0.7577860964220039</v>
      </c>
    </row>
    <row r="129" spans="1:17" x14ac:dyDescent="0.6">
      <c r="A129">
        <v>90</v>
      </c>
      <c r="B129" s="31" t="s">
        <v>572</v>
      </c>
      <c r="C129" s="31" t="s">
        <v>181</v>
      </c>
      <c r="D129" s="31">
        <v>6.814497233</v>
      </c>
      <c r="E129">
        <v>0.28713995799999997</v>
      </c>
      <c r="F129" s="31">
        <v>5.4348673810000001</v>
      </c>
      <c r="G129" s="31">
        <v>0.424195288</v>
      </c>
      <c r="H129" s="31">
        <v>4.9723695340000003</v>
      </c>
      <c r="I129" s="31">
        <v>0.38639977199999997</v>
      </c>
      <c r="J129">
        <f>SUM(L129:Q129)</f>
        <v>4.8087955608926682</v>
      </c>
      <c r="K129">
        <f>0.5*SIN(RADIANS(60))*((L129*M129)+(M129*N129)+(N129*O129)+(O129*P129)+(P129*Q129)+(Q129*L129))</f>
        <v>1.6786000938153824</v>
      </c>
      <c r="L129">
        <f>(MAX(D:D)-D129)/(MAX(D:D)-MIN(D:D))</f>
        <v>0.93916555001909974</v>
      </c>
      <c r="M129">
        <f>(MAX(E:E)-E129)/(MAX(E:E)-MIN(E:E))</f>
        <v>0.87763121796592092</v>
      </c>
      <c r="N129">
        <f>(MAX(F:F)-F129)/(MAX(F:F)-MIN(F:F))</f>
        <v>0.94139032665418843</v>
      </c>
      <c r="O129">
        <f>(MAX(G:G)-G129)/(MAX(G:G)-MIN(G:G))</f>
        <v>0.81632885222981155</v>
      </c>
      <c r="P129">
        <f>(MAX(H:H)-H129)/(MAX(H:H)-MIN(H:H))</f>
        <v>0.65758900371049545</v>
      </c>
      <c r="Q129">
        <f>(MAX(I:I)-I129)/(MAX(I:I)-MIN(I:I))</f>
        <v>0.5766906103131525</v>
      </c>
    </row>
    <row r="130" spans="1:17" x14ac:dyDescent="0.6">
      <c r="A130">
        <v>10</v>
      </c>
      <c r="B130" t="s">
        <v>99</v>
      </c>
      <c r="C130" t="s">
        <v>7</v>
      </c>
      <c r="D130">
        <v>7.2915239999999999</v>
      </c>
      <c r="E130">
        <v>0.28720000000000001</v>
      </c>
      <c r="F130">
        <v>5.5767559999999996</v>
      </c>
      <c r="G130">
        <v>0.40916400000000003</v>
      </c>
      <c r="H130">
        <v>4.4080810000000001</v>
      </c>
      <c r="I130">
        <v>0.32418999999999998</v>
      </c>
      <c r="J130">
        <f>SUM(L130:Q130)</f>
        <v>5.1555081634619571</v>
      </c>
      <c r="K130">
        <f>0.5*SIN(RADIANS(60))*((L130*M130)+(M130*N130)+(N130*O130)+(O130*P130)+(P130*Q130)+(Q130*L130))</f>
        <v>1.9179451308484465</v>
      </c>
      <c r="L130">
        <f>(MAX(D:D)-D130)/(MAX(D:D)-MIN(D:D))</f>
        <v>0.76862039820859274</v>
      </c>
      <c r="M130">
        <f>(MAX(E:E)-E130)/(MAX(E:E)-MIN(E:E))</f>
        <v>0.87741217173528019</v>
      </c>
      <c r="N130">
        <f>(MAX(F:F)-F130)/(MAX(F:F)-MIN(F:F))</f>
        <v>0.88141439038037517</v>
      </c>
      <c r="O130">
        <f>(MAX(G:G)-G130)/(MAX(G:G)-MIN(G:G))</f>
        <v>0.89313213157043325</v>
      </c>
      <c r="P130">
        <f>(MAX(H:H)-H130)/(MAX(H:H)-MIN(H:H))</f>
        <v>0.87007586510092794</v>
      </c>
      <c r="Q130">
        <f>(MAX(I:I)-I130)/(MAX(I:I)-MIN(I:I))</f>
        <v>0.864853206466348</v>
      </c>
    </row>
    <row r="131" spans="1:17" x14ac:dyDescent="0.6">
      <c r="A131">
        <v>30</v>
      </c>
      <c r="B131" t="s">
        <v>92</v>
      </c>
      <c r="C131" t="s">
        <v>167</v>
      </c>
      <c r="D131">
        <v>7.3448530400000003</v>
      </c>
      <c r="E131">
        <v>0.28724003199999998</v>
      </c>
      <c r="F131">
        <v>5.7409259090000004</v>
      </c>
      <c r="G131">
        <v>0.41901546499999998</v>
      </c>
      <c r="H131">
        <v>4.6744995119999997</v>
      </c>
      <c r="I131">
        <v>0.34660005100000002</v>
      </c>
      <c r="J131">
        <f>SUM(L131:Q131)</f>
        <v>4.8124376069947603</v>
      </c>
      <c r="K131">
        <f>0.5*SIN(RADIANS(60))*((L131*M131)+(M131*N131)+(N131*O131)+(O131*P131)+(P131*Q131)+(Q131*L131))</f>
        <v>1.6711234780062445</v>
      </c>
      <c r="L131">
        <f>(MAX(D:D)-D131)/(MAX(D:D)-MIN(D:D))</f>
        <v>0.74955436281626708</v>
      </c>
      <c r="M131">
        <f>(MAX(E:E)-E131)/(MAX(E:E)-MIN(E:E))</f>
        <v>0.87726612632198631</v>
      </c>
      <c r="N131">
        <f>(MAX(F:F)-F131)/(MAX(F:F)-MIN(F:F))</f>
        <v>0.81202021296392013</v>
      </c>
      <c r="O131">
        <f>(MAX(G:G)-G131)/(MAX(G:G)-MIN(G:G))</f>
        <v>0.84279547257558507</v>
      </c>
      <c r="P131">
        <f>(MAX(H:H)-H131)/(MAX(H:H)-MIN(H:H))</f>
        <v>0.76975407931183526</v>
      </c>
      <c r="Q131">
        <f>(MAX(I:I)-I131)/(MAX(I:I)-MIN(I:I))</f>
        <v>0.76104735300516624</v>
      </c>
    </row>
    <row r="132" spans="1:17" x14ac:dyDescent="0.6">
      <c r="A132">
        <v>30</v>
      </c>
      <c r="B132" t="s">
        <v>6</v>
      </c>
      <c r="C132" t="s">
        <v>174</v>
      </c>
      <c r="D132">
        <v>7.3132836040000004</v>
      </c>
      <c r="E132">
        <v>0.28748316899999998</v>
      </c>
      <c r="F132">
        <v>5.6368722269999996</v>
      </c>
      <c r="G132">
        <v>0.41241311899999999</v>
      </c>
      <c r="H132">
        <v>4.64453125</v>
      </c>
      <c r="I132">
        <v>0.33701328400000002</v>
      </c>
      <c r="J132">
        <f>SUM(L132:Q132)</f>
        <v>4.956247232620842</v>
      </c>
      <c r="K132">
        <f>0.5*SIN(RADIANS(60))*((L132*M132)+(M132*N132)+(N132*O132)+(O132*P132)+(P132*Q132)+(Q132*L132))</f>
        <v>1.7726673950726222</v>
      </c>
      <c r="L132">
        <f>(MAX(D:D)-D132)/(MAX(D:D)-MIN(D:D))</f>
        <v>0.76084097108995341</v>
      </c>
      <c r="M132">
        <f>(MAX(E:E)-E132)/(MAX(E:E)-MIN(E:E))</f>
        <v>0.87637910984386669</v>
      </c>
      <c r="N132">
        <f>(MAX(F:F)-F132)/(MAX(F:F)-MIN(F:F))</f>
        <v>0.85600342348968961</v>
      </c>
      <c r="O132">
        <f>(MAX(G:G)-G132)/(MAX(G:G)-MIN(G:G))</f>
        <v>0.87653056062269286</v>
      </c>
      <c r="P132">
        <f>(MAX(H:H)-H132)/(MAX(H:H)-MIN(H:H))</f>
        <v>0.78103884153900127</v>
      </c>
      <c r="Q132">
        <f>(MAX(I:I)-I132)/(MAX(I:I)-MIN(I:I))</f>
        <v>0.80545432603563771</v>
      </c>
    </row>
    <row r="133" spans="1:17" x14ac:dyDescent="0.6">
      <c r="A133">
        <v>30</v>
      </c>
      <c r="B133" t="s">
        <v>9</v>
      </c>
      <c r="C133" t="s">
        <v>184</v>
      </c>
      <c r="D133">
        <v>7.3475514080000002</v>
      </c>
      <c r="E133">
        <v>0.28750274999999997</v>
      </c>
      <c r="F133">
        <v>5.7964430130000002</v>
      </c>
      <c r="G133">
        <v>0.42306592500000001</v>
      </c>
      <c r="H133">
        <v>4.8620605469999996</v>
      </c>
      <c r="I133">
        <v>0.35609102399999998</v>
      </c>
      <c r="J133">
        <f>SUM(L133:Q133)</f>
        <v>4.6517607545733295</v>
      </c>
      <c r="K133">
        <f>0.5*SIN(RADIANS(60))*((L133*M133)+(M133*N133)+(N133*O133)+(O133*P133)+(P133*Q133)+(Q133*L133))</f>
        <v>1.562381389851635</v>
      </c>
      <c r="L133">
        <f>(MAX(D:D)-D133)/(MAX(D:D)-MIN(D:D))</f>
        <v>0.74858965053587512</v>
      </c>
      <c r="M133">
        <f>(MAX(E:E)-E133)/(MAX(E:E)-MIN(E:E))</f>
        <v>0.87630767411150989</v>
      </c>
      <c r="N133">
        <f>(MAX(F:F)-F133)/(MAX(F:F)-MIN(F:F))</f>
        <v>0.78855328295165006</v>
      </c>
      <c r="O133">
        <f>(MAX(G:G)-G133)/(MAX(G:G)-MIN(G:G))</f>
        <v>0.82209940109867519</v>
      </c>
      <c r="P133">
        <f>(MAX(H:H)-H133)/(MAX(H:H)-MIN(H:H))</f>
        <v>0.6991266374182683</v>
      </c>
      <c r="Q133">
        <f>(MAX(I:I)-I133)/(MAX(I:I)-MIN(I:I))</f>
        <v>0.71708410845735038</v>
      </c>
    </row>
    <row r="134" spans="1:17" x14ac:dyDescent="0.6">
      <c r="A134">
        <v>10</v>
      </c>
      <c r="B134" t="s">
        <v>9</v>
      </c>
      <c r="C134" t="s">
        <v>174</v>
      </c>
      <c r="D134">
        <v>7.3395361899999996</v>
      </c>
      <c r="E134">
        <v>0.28775461400000002</v>
      </c>
      <c r="F134">
        <v>5.7080726290000001</v>
      </c>
      <c r="G134">
        <v>0.41744653599999998</v>
      </c>
      <c r="H134">
        <v>4.7537841800000002</v>
      </c>
      <c r="I134">
        <v>0.352219699</v>
      </c>
      <c r="J134">
        <f>SUM(L134:Q134)</f>
        <v>4.7784786536570492</v>
      </c>
      <c r="K134">
        <f>0.5*SIN(RADIANS(60))*((L134*M134)+(M134*N134)+(N134*O134)+(O134*P134)+(P134*Q134)+(Q134*L134))</f>
        <v>1.6494241696595426</v>
      </c>
      <c r="L134">
        <f>(MAX(D:D)-D134)/(MAX(D:D)-MIN(D:D))</f>
        <v>0.75145522677848542</v>
      </c>
      <c r="M134">
        <f>(MAX(E:E)-E134)/(MAX(E:E)-MIN(E:E))</f>
        <v>0.87538881964573489</v>
      </c>
      <c r="N134">
        <f>(MAX(F:F)-F134)/(MAX(F:F)-MIN(F:F))</f>
        <v>0.82590720574426268</v>
      </c>
      <c r="O134">
        <f>(MAX(G:G)-G134)/(MAX(G:G)-MIN(G:G))</f>
        <v>0.85081201062958289</v>
      </c>
      <c r="P134">
        <f>(MAX(H:H)-H134)/(MAX(H:H)-MIN(H:H))</f>
        <v>0.73989887360655227</v>
      </c>
      <c r="Q134">
        <f>(MAX(I:I)-I134)/(MAX(I:I)-MIN(I:I))</f>
        <v>0.735016517252431</v>
      </c>
    </row>
    <row r="135" spans="1:17" x14ac:dyDescent="0.6">
      <c r="A135">
        <v>60</v>
      </c>
      <c r="B135" t="s">
        <v>99</v>
      </c>
      <c r="C135" t="s">
        <v>177</v>
      </c>
      <c r="D135">
        <v>7.3469796230000002</v>
      </c>
      <c r="E135">
        <v>0.28775952199999999</v>
      </c>
      <c r="F135">
        <v>5.6367152819999999</v>
      </c>
      <c r="G135">
        <v>0.41066739000000002</v>
      </c>
      <c r="H135">
        <v>4.8701782229999999</v>
      </c>
      <c r="I135">
        <v>0.35273478600000002</v>
      </c>
      <c r="J135">
        <f>SUM(L135:Q135)</f>
        <v>4.7943856659441995</v>
      </c>
      <c r="K135">
        <f>0.5*SIN(RADIANS(60))*((L135*M135)+(M135*N135)+(N135*O135)+(O135*P135)+(P135*Q135)+(Q135*L135))</f>
        <v>1.6617925018977349</v>
      </c>
      <c r="L135">
        <f>(MAX(D:D)-D135)/(MAX(D:D)-MIN(D:D))</f>
        <v>0.74879407336154002</v>
      </c>
      <c r="M135">
        <f>(MAX(E:E)-E135)/(MAX(E:E)-MIN(E:E))</f>
        <v>0.87537091419788204</v>
      </c>
      <c r="N135">
        <f>(MAX(F:F)-F135)/(MAX(F:F)-MIN(F:F))</f>
        <v>0.85606976371757271</v>
      </c>
      <c r="O135">
        <f>(MAX(G:G)-G135)/(MAX(G:G)-MIN(G:G))</f>
        <v>0.88545046901910063</v>
      </c>
      <c r="P135">
        <f>(MAX(H:H)-H135)/(MAX(H:H)-MIN(H:H))</f>
        <v>0.6960698687775918</v>
      </c>
      <c r="Q135">
        <f>(MAX(I:I)-I135)/(MAX(I:I)-MIN(I:I))</f>
        <v>0.73263057687051214</v>
      </c>
    </row>
    <row r="136" spans="1:17" x14ac:dyDescent="0.6">
      <c r="A136">
        <v>60</v>
      </c>
      <c r="B136" t="s">
        <v>99</v>
      </c>
      <c r="C136" t="s">
        <v>171</v>
      </c>
      <c r="D136">
        <v>7.3593117389999998</v>
      </c>
      <c r="E136">
        <v>0.28778825699999999</v>
      </c>
      <c r="F136">
        <v>5.7077074919999999</v>
      </c>
      <c r="G136">
        <v>0.415354261</v>
      </c>
      <c r="H136">
        <v>4.6244506840000001</v>
      </c>
      <c r="I136">
        <v>0.33636452100000003</v>
      </c>
      <c r="J136">
        <f>SUM(L136:Q136)</f>
        <v>4.9042751707162164</v>
      </c>
      <c r="K136">
        <f>0.5*SIN(RADIANS(60))*((L136*M136)+(M136*N136)+(N136*O136)+(O136*P136)+(P136*Q136)+(Q136*L136))</f>
        <v>1.7341945436938604</v>
      </c>
      <c r="L136">
        <f>(MAX(D:D)-D136)/(MAX(D:D)-MIN(D:D))</f>
        <v>0.74438513293961883</v>
      </c>
      <c r="M136">
        <f>(MAX(E:E)-E136)/(MAX(E:E)-MIN(E:E))</f>
        <v>0.87526608268931372</v>
      </c>
      <c r="N136">
        <f>(MAX(F:F)-F136)/(MAX(F:F)-MIN(F:F))</f>
        <v>0.82606154816860622</v>
      </c>
      <c r="O136">
        <f>(MAX(G:G)-G136)/(MAX(G:G)-MIN(G:G))</f>
        <v>0.86150261686920782</v>
      </c>
      <c r="P136">
        <f>(MAX(H:H)-H136)/(MAX(H:H)-MIN(H:H))</f>
        <v>0.788600321503936</v>
      </c>
      <c r="Q136">
        <f>(MAX(I:I)-I136)/(MAX(I:I)-MIN(I:I))</f>
        <v>0.80845946854553374</v>
      </c>
    </row>
    <row r="137" spans="1:17" x14ac:dyDescent="0.6">
      <c r="A137">
        <v>10</v>
      </c>
      <c r="B137" t="s">
        <v>92</v>
      </c>
      <c r="C137" t="s">
        <v>181</v>
      </c>
      <c r="D137">
        <v>7.3240493940000002</v>
      </c>
      <c r="E137">
        <v>0.28785570399999999</v>
      </c>
      <c r="F137">
        <v>5.6368057120000001</v>
      </c>
      <c r="G137">
        <v>0.41269565499999999</v>
      </c>
      <c r="H137">
        <v>4.5382690429999997</v>
      </c>
      <c r="I137">
        <v>0.33392464999999999</v>
      </c>
      <c r="J137">
        <f>SUM(L137:Q137)</f>
        <v>5.0039443594832607</v>
      </c>
      <c r="K137">
        <f>0.5*SIN(RADIANS(60))*((L137*M137)+(M137*N137)+(N137*O137)+(O137*P137)+(P137*Q137)+(Q137*L137))</f>
        <v>1.8068070520971129</v>
      </c>
      <c r="L137">
        <f>(MAX(D:D)-D137)/(MAX(D:D)-MIN(D:D))</f>
        <v>0.75699201875242139</v>
      </c>
      <c r="M137">
        <f>(MAX(E:E)-E137)/(MAX(E:E)-MIN(E:E))</f>
        <v>0.87502002141357327</v>
      </c>
      <c r="N137">
        <f>(MAX(F:F)-F137)/(MAX(F:F)-MIN(F:F))</f>
        <v>0.856031539200656</v>
      </c>
      <c r="O137">
        <f>(MAX(G:G)-G137)/(MAX(G:G)-MIN(G:G))</f>
        <v>0.87508692576373859</v>
      </c>
      <c r="P137">
        <f>(MAX(H:H)-H137)/(MAX(H:H)-MIN(H:H))</f>
        <v>0.82105263145210716</v>
      </c>
      <c r="Q137">
        <f>(MAX(I:I)-I137)/(MAX(I:I)-MIN(I:I))</f>
        <v>0.81976122290076436</v>
      </c>
    </row>
    <row r="138" spans="1:17" x14ac:dyDescent="0.6">
      <c r="A138">
        <v>60</v>
      </c>
      <c r="B138" t="s">
        <v>92</v>
      </c>
      <c r="C138" t="s">
        <v>184</v>
      </c>
      <c r="D138">
        <v>7.3560864649999997</v>
      </c>
      <c r="E138">
        <v>0.28808767899999999</v>
      </c>
      <c r="F138">
        <v>5.6902049669999997</v>
      </c>
      <c r="G138">
        <v>0.41428189199999998</v>
      </c>
      <c r="H138">
        <v>4.7127075200000004</v>
      </c>
      <c r="I138">
        <v>0.34084819100000002</v>
      </c>
      <c r="J138">
        <f>SUM(L138:Q138)</f>
        <v>4.8632109106420112</v>
      </c>
      <c r="K138">
        <f>0.5*SIN(RADIANS(60))*((L138*M138)+(M138*N138)+(N138*O138)+(O138*P138)+(P138*Q138)+(Q138*L138))</f>
        <v>1.7060921444462465</v>
      </c>
      <c r="L138">
        <f>(MAX(D:D)-D138)/(MAX(D:D)-MIN(D:D))</f>
        <v>0.74553822304275863</v>
      </c>
      <c r="M138">
        <f>(MAX(E:E)-E138)/(MAX(E:E)-MIN(E:E))</f>
        <v>0.87417372633091706</v>
      </c>
      <c r="N138">
        <f>(MAX(F:F)-F138)/(MAX(F:F)-MIN(F:F))</f>
        <v>0.83345981824431148</v>
      </c>
      <c r="O138">
        <f>(MAX(G:G)-G138)/(MAX(G:G)-MIN(G:G))</f>
        <v>0.86698195143210244</v>
      </c>
      <c r="P138">
        <f>(MAX(H:H)-H138)/(MAX(H:H)-MIN(H:H))</f>
        <v>0.75536658211718077</v>
      </c>
      <c r="Q138">
        <f>(MAX(I:I)-I138)/(MAX(I:I)-MIN(I:I))</f>
        <v>0.78769060947474012</v>
      </c>
    </row>
    <row r="139" spans="1:17" x14ac:dyDescent="0.6">
      <c r="A139">
        <v>60</v>
      </c>
      <c r="B139" t="s">
        <v>92</v>
      </c>
      <c r="C139" t="s">
        <v>8</v>
      </c>
      <c r="D139">
        <v>7.3410529999999996</v>
      </c>
      <c r="E139">
        <v>0.28810000000000002</v>
      </c>
      <c r="F139">
        <v>5.6173570000000002</v>
      </c>
      <c r="G139">
        <v>0.40954499999999999</v>
      </c>
      <c r="H139">
        <v>4.5057980000000004</v>
      </c>
      <c r="I139">
        <v>0.330175</v>
      </c>
      <c r="J139">
        <f>SUM(L139:Q139)</f>
        <v>5.0508894175491763</v>
      </c>
      <c r="K139">
        <f>0.5*SIN(RADIANS(60))*((L139*M139)+(M139*N139)+(N139*O139)+(O139*P139)+(P139*Q139)+(Q139*L139))</f>
        <v>1.8406737143372973</v>
      </c>
      <c r="L139">
        <f>(MAX(D:D)-D139)/(MAX(D:D)-MIN(D:D))</f>
        <v>0.7509129415030813</v>
      </c>
      <c r="M139">
        <f>(MAX(E:E)-E139)/(MAX(E:E)-MIN(E:E))</f>
        <v>0.87412877665222999</v>
      </c>
      <c r="N139">
        <f>(MAX(F:F)-F139)/(MAX(F:F)-MIN(F:F))</f>
        <v>0.86425245726822664</v>
      </c>
      <c r="O139">
        <f>(MAX(G:G)-G139)/(MAX(G:G)-MIN(G:G))</f>
        <v>0.89118538892078314</v>
      </c>
      <c r="P139">
        <f>(MAX(H:H)-H139)/(MAX(H:H)-MIN(H:H))</f>
        <v>0.83327983366767377</v>
      </c>
      <c r="Q139">
        <f>(MAX(I:I)-I139)/(MAX(I:I)-MIN(I:I))</f>
        <v>0.83713001953718069</v>
      </c>
    </row>
    <row r="140" spans="1:17" x14ac:dyDescent="0.6">
      <c r="A140">
        <v>30</v>
      </c>
      <c r="B140" t="s">
        <v>6</v>
      </c>
      <c r="C140" t="s">
        <v>171</v>
      </c>
      <c r="D140">
        <v>7.3118162099999999</v>
      </c>
      <c r="E140">
        <v>0.288365702</v>
      </c>
      <c r="F140">
        <v>5.5585795280000001</v>
      </c>
      <c r="G140">
        <v>0.40722401200000002</v>
      </c>
      <c r="H140">
        <v>4.2322387700000004</v>
      </c>
      <c r="I140">
        <v>0.31374622899999999</v>
      </c>
      <c r="J140">
        <f>SUM(L140:Q140)</f>
        <v>5.2761876067724236</v>
      </c>
      <c r="K140">
        <f>0.5*SIN(RADIANS(60))*((L140*M140)+(M140*N140)+(N140*O140)+(O140*P140)+(P140*Q140)+(Q140*L140))</f>
        <v>2.0091246549236534</v>
      </c>
      <c r="L140">
        <f>(MAX(D:D)-D140)/(MAX(D:D)-MIN(D:D))</f>
        <v>0.76136558930806686</v>
      </c>
      <c r="M140">
        <f>(MAX(E:E)-E140)/(MAX(E:E)-MIN(E:E))</f>
        <v>0.87315943816294495</v>
      </c>
      <c r="N140">
        <f>(MAX(F:F)-F140)/(MAX(F:F)-MIN(F:F))</f>
        <v>0.88909753603390163</v>
      </c>
      <c r="O140">
        <f>(MAX(G:G)-G140)/(MAX(G:G)-MIN(G:G))</f>
        <v>0.90304461813056403</v>
      </c>
      <c r="P140">
        <f>(MAX(H:H)-H140)/(MAX(H:H)-MIN(H:H))</f>
        <v>0.93629050761321853</v>
      </c>
      <c r="Q140">
        <f>(MAX(I:I)-I140)/(MAX(I:I)-MIN(I:I))</f>
        <v>0.9132299175237274</v>
      </c>
    </row>
    <row r="141" spans="1:17" x14ac:dyDescent="0.6">
      <c r="A141">
        <v>5</v>
      </c>
      <c r="B141" t="s">
        <v>92</v>
      </c>
      <c r="C141" t="s">
        <v>171</v>
      </c>
      <c r="D141">
        <v>7.3180839579999999</v>
      </c>
      <c r="E141">
        <v>0.288439891</v>
      </c>
      <c r="F141">
        <v>5.6063993380000001</v>
      </c>
      <c r="G141">
        <v>0.410949332</v>
      </c>
      <c r="H141">
        <v>4.5218505860000002</v>
      </c>
      <c r="I141">
        <v>0.33376193199999998</v>
      </c>
      <c r="J141">
        <f>SUM(L141:Q141)</f>
        <v>5.032657713500166</v>
      </c>
      <c r="K141">
        <f>0.5*SIN(RADIANS(60))*((L141*M141)+(M141*N141)+(N141*O141)+(O141*P141)+(P141*Q141)+(Q141*L141))</f>
        <v>1.8282181788117569</v>
      </c>
      <c r="L141">
        <f>(MAX(D:D)-D141)/(MAX(D:D)-MIN(D:D))</f>
        <v>0.75912476319909927</v>
      </c>
      <c r="M141">
        <f>(MAX(E:E)-E141)/(MAX(E:E)-MIN(E:E))</f>
        <v>0.87288878060981556</v>
      </c>
      <c r="N141">
        <f>(MAX(F:F)-F141)/(MAX(F:F)-MIN(F:F))</f>
        <v>0.86888423141934434</v>
      </c>
      <c r="O141">
        <f>(MAX(G:G)-G141)/(MAX(G:G)-MIN(G:G))</f>
        <v>0.88400986923923797</v>
      </c>
      <c r="P141">
        <f>(MAX(H:H)-H141)/(MAX(H:H)-MIN(H:H))</f>
        <v>0.82723511822367723</v>
      </c>
      <c r="Q141">
        <f>(MAX(I:I)-I141)/(MAX(I:I)-MIN(I:I))</f>
        <v>0.82051495080899162</v>
      </c>
    </row>
    <row r="142" spans="1:17" x14ac:dyDescent="0.6">
      <c r="A142">
        <v>90</v>
      </c>
      <c r="B142" t="s">
        <v>99</v>
      </c>
      <c r="C142" t="s">
        <v>7</v>
      </c>
      <c r="D142" s="13">
        <v>7.3648809999999996</v>
      </c>
      <c r="E142">
        <v>0.28849999999999998</v>
      </c>
      <c r="F142">
        <v>5.6419259999999998</v>
      </c>
      <c r="G142">
        <v>0.41033900000000001</v>
      </c>
      <c r="H142">
        <v>4.6347659999999999</v>
      </c>
      <c r="I142">
        <v>0.33742</v>
      </c>
      <c r="J142">
        <f>SUM(L142:Q142)</f>
        <v>4.9443455107681844</v>
      </c>
      <c r="K142">
        <f>0.5*SIN(RADIANS(60))*((L142*M142)+(M142*N142)+(N142*O142)+(O142*P142)+(P142*Q142)+(Q142*L142))</f>
        <v>1.7639995989538386</v>
      </c>
      <c r="L142">
        <f>(MAX(D:D)-D142)/(MAX(D:D)-MIN(D:D))</f>
        <v>0.74239402776811947</v>
      </c>
      <c r="M142">
        <f>(MAX(E:E)-E142)/(MAX(E:E)-MIN(E:E))</f>
        <v>0.87266948994865223</v>
      </c>
      <c r="N142">
        <f>(MAX(F:F)-F142)/(MAX(F:F)-MIN(F:F))</f>
        <v>0.8538672072834389</v>
      </c>
      <c r="O142">
        <f>(MAX(G:G)-G142)/(MAX(G:G)-MIN(G:G))</f>
        <v>0.8871283976771549</v>
      </c>
      <c r="P142">
        <f>(MAX(H:H)-H142)/(MAX(H:H)-MIN(H:H))</f>
        <v>0.78471601588894635</v>
      </c>
      <c r="Q142">
        <f>(MAX(I:I)-I142)/(MAX(I:I)-MIN(I:I))</f>
        <v>0.80357037220187288</v>
      </c>
    </row>
    <row r="143" spans="1:17" x14ac:dyDescent="0.6">
      <c r="A143">
        <v>5</v>
      </c>
      <c r="B143" t="s">
        <v>99</v>
      </c>
      <c r="C143" t="s">
        <v>181</v>
      </c>
      <c r="D143">
        <v>7.3164643829999996</v>
      </c>
      <c r="E143">
        <v>0.28857901899999999</v>
      </c>
      <c r="F143">
        <v>5.5876005099999997</v>
      </c>
      <c r="G143">
        <v>0.40965368699999999</v>
      </c>
      <c r="H143">
        <v>4.7071533199999998</v>
      </c>
      <c r="I143">
        <v>0.350443748</v>
      </c>
      <c r="J143">
        <f>SUM(L143:Q143)</f>
        <v>4.9002464673967197</v>
      </c>
      <c r="K143">
        <f>0.5*SIN(RADIANS(60))*((L143*M143)+(M143*N143)+(N143*O143)+(O143*P143)+(P143*Q143)+(Q143*L143))</f>
        <v>1.7367481121173098</v>
      </c>
      <c r="L143">
        <f>(MAX(D:D)-D143)/(MAX(D:D)-MIN(D:D))</f>
        <v>0.75970378870322475</v>
      </c>
      <c r="M143">
        <f>(MAX(E:E)-E143)/(MAX(E:E)-MIN(E:E))</f>
        <v>0.87238121150857717</v>
      </c>
      <c r="N143">
        <f>(MAX(F:F)-F143)/(MAX(F:F)-MIN(F:F))</f>
        <v>0.87683044527424425</v>
      </c>
      <c r="O143">
        <f>(MAX(G:G)-G143)/(MAX(G:G)-MIN(G:G))</f>
        <v>0.89063004609043528</v>
      </c>
      <c r="P143">
        <f>(MAX(H:H)-H143)/(MAX(H:H)-MIN(H:H))</f>
        <v>0.75745805563546931</v>
      </c>
      <c r="Q143">
        <f>(MAX(I:I)-I143)/(MAX(I:I)-MIN(I:I))</f>
        <v>0.74324292018476878</v>
      </c>
    </row>
    <row r="144" spans="1:17" x14ac:dyDescent="0.6">
      <c r="A144">
        <v>90</v>
      </c>
      <c r="B144" t="s">
        <v>6</v>
      </c>
      <c r="C144" t="s">
        <v>7</v>
      </c>
      <c r="D144">
        <v>7.3646177140000004</v>
      </c>
      <c r="E144">
        <v>0.288588703</v>
      </c>
      <c r="F144">
        <v>5.6495085420000004</v>
      </c>
      <c r="G144">
        <v>0.41088423899999998</v>
      </c>
      <c r="H144">
        <v>4.745117188</v>
      </c>
      <c r="I144">
        <v>0.34456918399999997</v>
      </c>
      <c r="J144">
        <f>SUM(L144:Q144)</f>
        <v>4.8634556386259558</v>
      </c>
      <c r="K144">
        <f>0.5*SIN(RADIANS(60))*((L144*M144)+(M144*N144)+(N144*O144)+(O144*P144)+(P144*Q144)+(Q144*L144))</f>
        <v>1.7077549508555336</v>
      </c>
      <c r="L144">
        <f>(MAX(D:D)-D144)/(MAX(D:D)-MIN(D:D))</f>
        <v>0.74248815697416348</v>
      </c>
      <c r="M144">
        <f>(MAX(E:E)-E144)/(MAX(E:E)-MIN(E:E))</f>
        <v>0.87234588217748354</v>
      </c>
      <c r="N144">
        <f>(MAX(F:F)-F144)/(MAX(F:F)-MIN(F:F))</f>
        <v>0.85066208724639392</v>
      </c>
      <c r="O144">
        <f>(MAX(G:G)-G144)/(MAX(G:G)-MIN(G:G))</f>
        <v>0.88434246587780407</v>
      </c>
      <c r="P144">
        <f>(MAX(H:H)-H144)/(MAX(H:H)-MIN(H:H))</f>
        <v>0.74316249109443833</v>
      </c>
      <c r="Q144">
        <f>(MAX(I:I)-I144)/(MAX(I:I)-MIN(I:I))</f>
        <v>0.7704545552556723</v>
      </c>
    </row>
    <row r="145" spans="1:17" x14ac:dyDescent="0.6">
      <c r="A145">
        <v>5</v>
      </c>
      <c r="B145" t="s">
        <v>9</v>
      </c>
      <c r="C145" t="s">
        <v>184</v>
      </c>
      <c r="D145">
        <v>7.3245217519999999</v>
      </c>
      <c r="E145">
        <v>0.28909242499999999</v>
      </c>
      <c r="F145">
        <v>5.5709968339999998</v>
      </c>
      <c r="G145">
        <v>0.40837718299999998</v>
      </c>
      <c r="H145">
        <v>4.6185302730000002</v>
      </c>
      <c r="I145">
        <v>0.34320772100000002</v>
      </c>
      <c r="J145">
        <f>SUM(L145:Q145)</f>
        <v>4.9759232310054458</v>
      </c>
      <c r="K145">
        <f>0.5*SIN(RADIANS(60))*((L145*M145)+(M145*N145)+(N145*O145)+(O145*P145)+(P145*Q145)+(Q145*L145))</f>
        <v>1.7895620662054184</v>
      </c>
      <c r="L145">
        <f>(MAX(D:D)-D145)/(MAX(D:D)-MIN(D:D))</f>
        <v>0.75682314276391982</v>
      </c>
      <c r="M145">
        <f>(MAX(E:E)-E145)/(MAX(E:E)-MIN(E:E))</f>
        <v>0.87050819513523447</v>
      </c>
      <c r="N145">
        <f>(MAX(F:F)-F145)/(MAX(F:F)-MIN(F:F))</f>
        <v>0.88384877430377007</v>
      </c>
      <c r="O145">
        <f>(MAX(G:G)-G145)/(MAX(G:G)-MIN(G:G))</f>
        <v>0.89715242083912095</v>
      </c>
      <c r="P145">
        <f>(MAX(H:H)-H145)/(MAX(H:H)-MIN(H:H))</f>
        <v>0.79082969437921646</v>
      </c>
      <c r="Q145">
        <f>(MAX(I:I)-I145)/(MAX(I:I)-MIN(I:I))</f>
        <v>0.7767610035841841</v>
      </c>
    </row>
    <row r="146" spans="1:17" x14ac:dyDescent="0.6">
      <c r="A146">
        <v>90</v>
      </c>
      <c r="B146" s="31" t="s">
        <v>572</v>
      </c>
      <c r="C146" s="31" t="s">
        <v>167</v>
      </c>
      <c r="D146" s="31">
        <v>6.8398844529999998</v>
      </c>
      <c r="E146">
        <v>0.28932572200000001</v>
      </c>
      <c r="F146" s="31">
        <v>5.4799766630000004</v>
      </c>
      <c r="G146" s="31">
        <v>0.42762056700000001</v>
      </c>
      <c r="H146" s="31">
        <v>4.675554934</v>
      </c>
      <c r="I146" s="31">
        <v>0.36497143199999998</v>
      </c>
      <c r="J146">
        <f>SUM(L146:Q146)</f>
        <v>4.9662019234700265</v>
      </c>
      <c r="K146">
        <f>0.5*SIN(RADIANS(60))*((L146*M146)+(M146*N146)+(N146*O146)+(O146*P146)+(P146*Q146)+(Q146*L146))</f>
        <v>1.7801418404958842</v>
      </c>
      <c r="L146">
        <f>(MAX(D:D)-D146)/(MAX(D:D)-MIN(D:D))</f>
        <v>0.93008918871515078</v>
      </c>
      <c r="M146">
        <f>(MAX(E:E)-E146)/(MAX(E:E)-MIN(E:E))</f>
        <v>0.86965707711002282</v>
      </c>
      <c r="N146">
        <f>(MAX(F:F)-F146)/(MAX(F:F)-MIN(F:F))</f>
        <v>0.92232275490913185</v>
      </c>
      <c r="O146">
        <f>(MAX(G:G)-G146)/(MAX(G:G)-MIN(G:G))</f>
        <v>0.79882718105854766</v>
      </c>
      <c r="P146">
        <f>(MAX(H:H)-H146)/(MAX(H:H)-MIN(H:H))</f>
        <v>0.76935665265027831</v>
      </c>
      <c r="Q146">
        <f>(MAX(I:I)-I146)/(MAX(I:I)-MIN(I:I))</f>
        <v>0.67594906902689544</v>
      </c>
    </row>
    <row r="147" spans="1:17" x14ac:dyDescent="0.6">
      <c r="A147">
        <v>90</v>
      </c>
      <c r="B147" t="s">
        <v>99</v>
      </c>
      <c r="C147" t="s">
        <v>167</v>
      </c>
      <c r="D147">
        <v>7.3829863180000004</v>
      </c>
      <c r="E147">
        <v>0.28935656500000001</v>
      </c>
      <c r="F147" s="13">
        <v>5.6978801570000002</v>
      </c>
      <c r="G147" s="13">
        <v>0.41419384300000001</v>
      </c>
      <c r="H147">
        <v>4.5984497070000003</v>
      </c>
      <c r="I147">
        <v>0.34079479200000001</v>
      </c>
      <c r="J147">
        <f>SUM(L147:Q147)</f>
        <v>4.8894421382047488</v>
      </c>
      <c r="K147">
        <f>0.5*SIN(RADIANS(60))*((L147*M147)+(M147*N147)+(N147*O147)+(O147*P147)+(P147*Q147)+(Q147*L147))</f>
        <v>1.7248947262223249</v>
      </c>
      <c r="L147">
        <f>(MAX(D:D)-D147)/(MAX(D:D)-MIN(D:D))</f>
        <v>0.73592106981167915</v>
      </c>
      <c r="M147">
        <f>(MAX(E:E)-E147)/(MAX(E:E)-MIN(E:E))</f>
        <v>0.86954455516052676</v>
      </c>
      <c r="N147">
        <f>(MAX(F:F)-F147)/(MAX(F:F)-MIN(F:F))</f>
        <v>0.83021553614773658</v>
      </c>
      <c r="O147">
        <f>(MAX(G:G)-G147)/(MAX(G:G)-MIN(G:G))</f>
        <v>0.86743184314748045</v>
      </c>
      <c r="P147">
        <f>(MAX(H:H)-H147)/(MAX(H:H)-MIN(H:H))</f>
        <v>0.79839117434415119</v>
      </c>
      <c r="Q147">
        <f>(MAX(I:I)-I147)/(MAX(I:I)-MIN(I:I))</f>
        <v>0.7879379595931747</v>
      </c>
    </row>
    <row r="148" spans="1:17" x14ac:dyDescent="0.6">
      <c r="A148">
        <v>90</v>
      </c>
      <c r="B148" t="s">
        <v>6</v>
      </c>
      <c r="C148" t="s">
        <v>177</v>
      </c>
      <c r="D148">
        <v>7.370630877</v>
      </c>
      <c r="E148">
        <v>0.28937258900000001</v>
      </c>
      <c r="F148">
        <v>5.6304655730000004</v>
      </c>
      <c r="G148">
        <v>0.40968825199999997</v>
      </c>
      <c r="H148">
        <v>4.3602294920000002</v>
      </c>
      <c r="I148">
        <v>0.32195833000000001</v>
      </c>
      <c r="J148">
        <f>SUM(L148:Q148)</f>
        <v>5.1222746198232905</v>
      </c>
      <c r="K148">
        <f>0.5*SIN(RADIANS(60))*((L148*M148)+(M148*N148)+(N148*O148)+(O148*P148)+(P148*Q148)+(Q148*L148))</f>
        <v>1.8926943584256275</v>
      </c>
      <c r="L148">
        <f>(MAX(D:D)-D148)/(MAX(D:D)-MIN(D:D))</f>
        <v>0.74033834931631304</v>
      </c>
      <c r="M148">
        <f>(MAX(E:E)-E148)/(MAX(E:E)-MIN(E:E))</f>
        <v>0.86948609613518135</v>
      </c>
      <c r="N148">
        <f>(MAX(F:F)-F148)/(MAX(F:F)-MIN(F:F))</f>
        <v>0.85871149884302245</v>
      </c>
      <c r="O148">
        <f>(MAX(G:G)-G148)/(MAX(G:G)-MIN(G:G))</f>
        <v>0.89045343412275779</v>
      </c>
      <c r="P148">
        <f>(MAX(H:H)-H148)/(MAX(H:H)-MIN(H:H))</f>
        <v>0.88809469081699177</v>
      </c>
      <c r="Q148">
        <f>(MAX(I:I)-I148)/(MAX(I:I)-MIN(I:I))</f>
        <v>0.87519055058902362</v>
      </c>
    </row>
    <row r="149" spans="1:17" x14ac:dyDescent="0.6">
      <c r="A149">
        <v>90</v>
      </c>
      <c r="B149" t="s">
        <v>6</v>
      </c>
      <c r="C149" t="s">
        <v>171</v>
      </c>
      <c r="D149">
        <v>7.374923216</v>
      </c>
      <c r="E149">
        <v>0.289606629</v>
      </c>
      <c r="F149">
        <v>5.6479124299999999</v>
      </c>
      <c r="G149">
        <v>0.41086609000000002</v>
      </c>
      <c r="H149">
        <v>4.65625</v>
      </c>
      <c r="I149">
        <v>0.34347582799999998</v>
      </c>
      <c r="J149">
        <f>SUM(L149:Q149)</f>
        <v>4.8953531566097075</v>
      </c>
      <c r="K149">
        <f>0.5*SIN(RADIANS(60))*((L149*M149)+(M149*N149)+(N149*O149)+(O149*P149)+(P149*Q149)+(Q149*L149))</f>
        <v>1.7304572223850228</v>
      </c>
      <c r="L149">
        <f>(MAX(D:D)-D149)/(MAX(D:D)-MIN(D:D))</f>
        <v>0.73880376539562254</v>
      </c>
      <c r="M149">
        <f>(MAX(E:E)-E149)/(MAX(E:E)-MIN(E:E))</f>
        <v>0.86863226748491795</v>
      </c>
      <c r="N149">
        <f>(MAX(F:F)-F149)/(MAX(F:F)-MIN(F:F))</f>
        <v>0.85133675948066168</v>
      </c>
      <c r="O149">
        <f>(MAX(G:G)-G149)/(MAX(G:G)-MIN(G:G))</f>
        <v>0.88443519929604153</v>
      </c>
      <c r="P149">
        <f>(MAX(H:H)-H149)/(MAX(H:H)-MIN(H:H))</f>
        <v>0.77662606286836622</v>
      </c>
      <c r="Q149">
        <f>(MAX(I:I)-I149)/(MAX(I:I)-MIN(I:I))</f>
        <v>0.77551910208409769</v>
      </c>
    </row>
    <row r="150" spans="1:17" x14ac:dyDescent="0.6">
      <c r="A150">
        <v>30</v>
      </c>
      <c r="B150" t="s">
        <v>99</v>
      </c>
      <c r="C150" t="s">
        <v>171</v>
      </c>
      <c r="D150">
        <v>7.3695552690000001</v>
      </c>
      <c r="E150">
        <v>0.28993969400000003</v>
      </c>
      <c r="F150">
        <v>5.795027353</v>
      </c>
      <c r="G150">
        <v>0.42326796999999999</v>
      </c>
      <c r="H150">
        <v>5.1556396480000002</v>
      </c>
      <c r="I150">
        <v>0.37674241200000003</v>
      </c>
      <c r="J150">
        <f>SUM(L150:Q150)</f>
        <v>4.4283607067064912</v>
      </c>
      <c r="K150">
        <f>0.5*SIN(RADIANS(60))*((L150*M150)+(M150*N150)+(N150*O150)+(O150*P150)+(P150*Q150)+(Q150*L150))</f>
        <v>1.4221467369991776</v>
      </c>
      <c r="L150">
        <f>(MAX(D:D)-D150)/(MAX(D:D)-MIN(D:D))</f>
        <v>0.74072289740111374</v>
      </c>
      <c r="M150">
        <f>(MAX(E:E)-E150)/(MAX(E:E)-MIN(E:E))</f>
        <v>0.8674171741701</v>
      </c>
      <c r="N150">
        <f>(MAX(F:F)-F150)/(MAX(F:F)-MIN(F:F))</f>
        <v>0.78915167861258328</v>
      </c>
      <c r="O150">
        <f>(MAX(G:G)-G150)/(MAX(G:G)-MIN(G:G))</f>
        <v>0.82106703989487317</v>
      </c>
      <c r="P150">
        <f>(MAX(H:H)-H150)/(MAX(H:H)-MIN(H:H))</f>
        <v>0.58857733864177586</v>
      </c>
      <c r="Q150">
        <f>(MAX(I:I)-I150)/(MAX(I:I)-MIN(I:I))</f>
        <v>0.621424577986045</v>
      </c>
    </row>
    <row r="151" spans="1:17" x14ac:dyDescent="0.6">
      <c r="A151">
        <v>60</v>
      </c>
      <c r="B151" t="s">
        <v>9</v>
      </c>
      <c r="C151" t="s">
        <v>177</v>
      </c>
      <c r="D151">
        <v>7.3762618</v>
      </c>
      <c r="E151">
        <v>0.29004984900000003</v>
      </c>
      <c r="F151">
        <v>5.6494709360000002</v>
      </c>
      <c r="G151">
        <v>0.411655777</v>
      </c>
      <c r="H151">
        <v>4.8190307619999997</v>
      </c>
      <c r="I151">
        <v>0.352155361</v>
      </c>
      <c r="J151">
        <f>SUM(L151:Q151)</f>
        <v>4.7870630796556171</v>
      </c>
      <c r="K151">
        <f>0.5*SIN(RADIANS(60))*((L151*M151)+(M151*N151)+(N151*O151)+(O151*P151)+(P151*Q151)+(Q151*L151))</f>
        <v>1.6564023557483347</v>
      </c>
      <c r="L151">
        <f>(MAX(D:D)-D151)/(MAX(D:D)-MIN(D:D))</f>
        <v>0.7383251989350299</v>
      </c>
      <c r="M151">
        <f>(MAX(E:E)-E151)/(MAX(E:E)-MIN(E:E))</f>
        <v>0.86701530485301848</v>
      </c>
      <c r="N151">
        <f>(MAX(F:F)-F151)/(MAX(F:F)-MIN(F:F))</f>
        <v>0.85067798320109012</v>
      </c>
      <c r="O151">
        <f>(MAX(G:G)-G151)/(MAX(G:G)-MIN(G:G))</f>
        <v>0.88040024558797225</v>
      </c>
      <c r="P151">
        <f>(MAX(H:H)-H151)/(MAX(H:H)-MIN(H:H))</f>
        <v>0.71532980904066934</v>
      </c>
      <c r="Q151">
        <f>(MAX(I:I)-I151)/(MAX(I:I)-MIN(I:I))</f>
        <v>0.73531453803783597</v>
      </c>
    </row>
    <row r="152" spans="1:17" x14ac:dyDescent="0.6">
      <c r="A152">
        <v>90</v>
      </c>
      <c r="B152" t="s">
        <v>9</v>
      </c>
      <c r="C152" t="s">
        <v>184</v>
      </c>
      <c r="D152" s="13">
        <v>7.3784115960000003</v>
      </c>
      <c r="E152">
        <v>0.29007639699999999</v>
      </c>
      <c r="F152" s="13">
        <v>5.6676100639999998</v>
      </c>
      <c r="G152" s="13">
        <v>0.41246891800000002</v>
      </c>
      <c r="H152">
        <v>4.8538208010000004</v>
      </c>
      <c r="I152" s="13">
        <v>0.348343703</v>
      </c>
      <c r="J152">
        <f>SUM(L152:Q152)</f>
        <v>4.778931072457163</v>
      </c>
      <c r="K152">
        <f>0.5*SIN(RADIANS(60))*((L152*M152)+(M152*N152)+(N152*O152)+(O152*P152)+(P152*Q152)+(Q152*L152))</f>
        <v>1.6490634378477182</v>
      </c>
      <c r="L152">
        <f>(MAX(D:D)-D152)/(MAX(D:D)-MIN(D:D))</f>
        <v>0.73755661043948817</v>
      </c>
      <c r="M152">
        <f>(MAX(E:E)-E152)/(MAX(E:E)-MIN(E:E))</f>
        <v>0.86691845199450213</v>
      </c>
      <c r="N152">
        <f>(MAX(F:F)-F152)/(MAX(F:F)-MIN(F:F))</f>
        <v>0.84301062275556682</v>
      </c>
      <c r="O152">
        <f>(MAX(G:G)-G152)/(MAX(G:G)-MIN(G:G))</f>
        <v>0.87624545224183226</v>
      </c>
      <c r="P152">
        <f>(MAX(H:H)-H152)/(MAX(H:H)-MIN(H:H))</f>
        <v>0.70222937238575611</v>
      </c>
      <c r="Q152">
        <f>(MAX(I:I)-I152)/(MAX(I:I)-MIN(I:I))</f>
        <v>0.75297056264001738</v>
      </c>
    </row>
    <row r="153" spans="1:17" x14ac:dyDescent="0.6">
      <c r="A153">
        <v>30</v>
      </c>
      <c r="B153" t="s">
        <v>92</v>
      </c>
      <c r="C153" t="s">
        <v>8</v>
      </c>
      <c r="D153">
        <v>7.3824569999999996</v>
      </c>
      <c r="E153">
        <v>0.2903</v>
      </c>
      <c r="F153">
        <v>5.7939259999999999</v>
      </c>
      <c r="G153">
        <v>0.42299999999999999</v>
      </c>
      <c r="H153">
        <v>4.7860719999999999</v>
      </c>
      <c r="I153">
        <v>0.34620400000000001</v>
      </c>
      <c r="J153">
        <f>SUM(L153:Q153)</f>
        <v>4.7048890468780531</v>
      </c>
      <c r="K153">
        <f>0.5*SIN(RADIANS(60))*((L153*M153)+(M153*N153)+(N153*O153)+(O153*P153)+(P153*Q153)+(Q153*L153))</f>
        <v>1.5961334366841642</v>
      </c>
      <c r="L153">
        <f>(MAX(D:D)-D153)/(MAX(D:D)-MIN(D:D))</f>
        <v>0.73611030996529547</v>
      </c>
      <c r="M153">
        <f>(MAX(E:E)-E153)/(MAX(E:E)-MIN(E:E))</f>
        <v>0.86610269978255183</v>
      </c>
      <c r="N153">
        <f>(MAX(F:F)-F153)/(MAX(F:F)-MIN(F:F))</f>
        <v>0.78961721755297554</v>
      </c>
      <c r="O153">
        <f>(MAX(G:G)-G153)/(MAX(G:G)-MIN(G:G))</f>
        <v>0.8224362488917939</v>
      </c>
      <c r="P153">
        <f>(MAX(H:H)-H153)/(MAX(H:H)-MIN(H:H))</f>
        <v>0.72774066531494241</v>
      </c>
      <c r="Q153">
        <f>(MAX(I:I)-I153)/(MAX(I:I)-MIN(I:I))</f>
        <v>0.7628819053704935</v>
      </c>
    </row>
    <row r="154" spans="1:17" x14ac:dyDescent="0.6">
      <c r="A154">
        <v>60</v>
      </c>
      <c r="B154" t="s">
        <v>6</v>
      </c>
      <c r="C154" t="s">
        <v>184</v>
      </c>
      <c r="D154">
        <v>7.4011120400000001</v>
      </c>
      <c r="E154">
        <v>0.291778708</v>
      </c>
      <c r="F154">
        <v>5.6897693980000001</v>
      </c>
      <c r="G154">
        <v>0.41433295599999997</v>
      </c>
      <c r="H154">
        <v>5.0358276369999997</v>
      </c>
      <c r="I154">
        <v>0.36658699099999997</v>
      </c>
      <c r="J154">
        <f>SUM(L154:Q154)</f>
        <v>4.592672861806788</v>
      </c>
      <c r="K154">
        <f>0.5*SIN(RADIANS(60))*((L154*M154)+(M154*N154)+(N154*O154)+(O154*P154)+(P154*Q154)+(Q154*L154))</f>
        <v>1.5278160924043838</v>
      </c>
      <c r="L154">
        <f>(MAX(D:D)-D154)/(MAX(D:D)-MIN(D:D))</f>
        <v>0.72944081707951958</v>
      </c>
      <c r="M154">
        <f>(MAX(E:E)-E154)/(MAX(E:E)-MIN(E:E))</f>
        <v>0.8607080524753663</v>
      </c>
      <c r="N154">
        <f>(MAX(F:F)-F154)/(MAX(F:F)-MIN(F:F))</f>
        <v>0.8336439320849488</v>
      </c>
      <c r="O154">
        <f>(MAX(G:G)-G154)/(MAX(G:G)-MIN(G:G))</f>
        <v>0.86672103682144175</v>
      </c>
      <c r="P154">
        <f>(MAX(H:H)-H154)/(MAX(H:H)-MIN(H:H))</f>
        <v>0.63369340363392057</v>
      </c>
      <c r="Q154">
        <f>(MAX(I:I)-I154)/(MAX(I:I)-MIN(I:I))</f>
        <v>0.6684656197115908</v>
      </c>
    </row>
    <row r="155" spans="1:17" x14ac:dyDescent="0.6">
      <c r="A155">
        <v>90</v>
      </c>
      <c r="B155" s="31" t="s">
        <v>572</v>
      </c>
      <c r="C155" t="s">
        <v>174</v>
      </c>
      <c r="D155" s="31">
        <v>6.8768060269999998</v>
      </c>
      <c r="E155">
        <v>0.29199233600000002</v>
      </c>
      <c r="F155" s="31">
        <v>5.4803388420000001</v>
      </c>
      <c r="G155" s="31">
        <v>0.42755962400000003</v>
      </c>
      <c r="H155" s="31">
        <v>4.7489087970000003</v>
      </c>
      <c r="I155" s="31">
        <v>0.37088243799999998</v>
      </c>
      <c r="J155">
        <f>SUM(L155:Q155)</f>
        <v>4.8884293917963317</v>
      </c>
      <c r="K155">
        <f>0.5*SIN(RADIANS(60))*((L155*M155)+(M155*N155)+(N155*O155)+(O155*P155)+(P155*Q155)+(Q155*L155))</f>
        <v>1.7263701006039236</v>
      </c>
      <c r="L155">
        <f>(MAX(D:D)-D155)/(MAX(D:D)-MIN(D:D))</f>
        <v>0.91688910042133631</v>
      </c>
      <c r="M155">
        <f>(MAX(E:E)-E155)/(MAX(E:E)-MIN(E:E))</f>
        <v>0.85992869122558635</v>
      </c>
      <c r="N155">
        <f>(MAX(F:F)-F155)/(MAX(F:F)-MIN(F:F))</f>
        <v>0.9221696628234044</v>
      </c>
      <c r="O155">
        <f>(MAX(G:G)-G155)/(MAX(G:G)-MIN(G:G))</f>
        <v>0.79913857301995861</v>
      </c>
      <c r="P155">
        <f>(MAX(H:H)-H155)/(MAX(H:H)-MIN(H:H))</f>
        <v>0.74173473375491072</v>
      </c>
      <c r="Q155">
        <f>(MAX(I:I)-I155)/(MAX(I:I)-MIN(I:I))</f>
        <v>0.64856863055113456</v>
      </c>
    </row>
    <row r="156" spans="1:17" x14ac:dyDescent="0.6">
      <c r="A156">
        <v>90</v>
      </c>
      <c r="B156" s="31" t="s">
        <v>572</v>
      </c>
      <c r="C156" s="31" t="s">
        <v>171</v>
      </c>
      <c r="D156" s="31">
        <v>6.8675895029999996</v>
      </c>
      <c r="E156">
        <v>0.29206414200000003</v>
      </c>
      <c r="F156" s="31">
        <v>5.4476116479999996</v>
      </c>
      <c r="G156" s="31">
        <v>0.42535359499999997</v>
      </c>
      <c r="H156" s="31">
        <v>5.1657845819999997</v>
      </c>
      <c r="I156" s="31">
        <v>0.40474965099999999</v>
      </c>
      <c r="J156">
        <f>SUM(L156:Q156)</f>
        <v>4.6027137804884832</v>
      </c>
      <c r="K156">
        <f>0.5*SIN(RADIANS(60))*((L156*M156)+(M156*N156)+(N156*O156)+(O156*P156)+(P156*Q156)+(Q156*L156))</f>
        <v>1.5450371042411986</v>
      </c>
      <c r="L156">
        <f>(MAX(D:D)-D156)/(MAX(D:D)-MIN(D:D))</f>
        <v>0.92018416391353908</v>
      </c>
      <c r="M156">
        <f>(MAX(E:E)-E156)/(MAX(E:E)-MIN(E:E))</f>
        <v>0.85966672737299354</v>
      </c>
      <c r="N156">
        <f>(MAX(F:F)-F156)/(MAX(F:F)-MIN(F:F))</f>
        <v>0.93600335939187096</v>
      </c>
      <c r="O156">
        <f>(MAX(G:G)-G156)/(MAX(G:G)-MIN(G:G))</f>
        <v>0.81041041223430388</v>
      </c>
      <c r="P156">
        <f>(MAX(H:H)-H156)/(MAX(H:H)-MIN(H:H))</f>
        <v>0.58475719158085226</v>
      </c>
      <c r="Q156">
        <f>(MAX(I:I)-I156)/(MAX(I:I)-MIN(I:I))</f>
        <v>0.49169192599492345</v>
      </c>
    </row>
    <row r="157" spans="1:17" x14ac:dyDescent="0.6">
      <c r="A157">
        <v>60</v>
      </c>
      <c r="B157" t="s">
        <v>92</v>
      </c>
      <c r="C157" t="s">
        <v>167</v>
      </c>
      <c r="D157">
        <v>7.4105862169999996</v>
      </c>
      <c r="E157">
        <v>0.29231740499999997</v>
      </c>
      <c r="F157">
        <v>5.7145420419999997</v>
      </c>
      <c r="G157">
        <v>0.41594271900000002</v>
      </c>
      <c r="H157">
        <v>4.471191406</v>
      </c>
      <c r="I157">
        <v>0.33018144900000002</v>
      </c>
      <c r="J157">
        <f>SUM(L157:Q157)</f>
        <v>4.9498762044740721</v>
      </c>
      <c r="K157">
        <f>0.5*SIN(RADIANS(60))*((L157*M157)+(M157*N157)+(N157*O157)+(O157*P157)+(P157*Q157)+(Q157*L157))</f>
        <v>1.7666305875437947</v>
      </c>
      <c r="L157">
        <f>(MAX(D:D)-D157)/(MAX(D:D)-MIN(D:D))</f>
        <v>0.72605363827421676</v>
      </c>
      <c r="M157">
        <f>(MAX(E:E)-E157)/(MAX(E:E)-MIN(E:E))</f>
        <v>0.85874276905197311</v>
      </c>
      <c r="N157">
        <f>(MAX(F:F)-F157)/(MAX(F:F)-MIN(F:F))</f>
        <v>0.82317260233102518</v>
      </c>
      <c r="O157">
        <f>(MAX(G:G)-G157)/(MAX(G:G)-MIN(G:G))</f>
        <v>0.85849585496336012</v>
      </c>
      <c r="P157">
        <f>(MAX(H:H)-H157)/(MAX(H:H)-MIN(H:H))</f>
        <v>0.84631119280295097</v>
      </c>
      <c r="Q157">
        <f>(MAX(I:I)-I157)/(MAX(I:I)-MIN(I:I))</f>
        <v>0.83710014705054625</v>
      </c>
    </row>
    <row r="158" spans="1:17" x14ac:dyDescent="0.6">
      <c r="A158">
        <v>90</v>
      </c>
      <c r="B158" s="31" t="s">
        <v>571</v>
      </c>
      <c r="C158" s="31" t="s">
        <v>7</v>
      </c>
      <c r="D158" s="31">
        <v>6.876465133</v>
      </c>
      <c r="E158">
        <v>0.29271211899999999</v>
      </c>
      <c r="F158" s="31">
        <v>5.4881536310000003</v>
      </c>
      <c r="G158" s="31">
        <v>0.42857970099999998</v>
      </c>
      <c r="H158" s="31">
        <v>4.9305419920000002</v>
      </c>
      <c r="I158" s="31">
        <v>0.38606707000000001</v>
      </c>
      <c r="J158">
        <f>SUM(L158:Q158)</f>
        <v>4.7386777280698986</v>
      </c>
      <c r="K158">
        <f>0.5*SIN(RADIANS(60))*((L158*M158)+(M158*N158)+(N158*O158)+(O158*P158)+(P158*Q158)+(Q158*L158))</f>
        <v>1.6270833735165977</v>
      </c>
      <c r="L158">
        <f>(MAX(D:D)-D158)/(MAX(D:D)-MIN(D:D))</f>
        <v>0.91701097580234869</v>
      </c>
      <c r="M158">
        <f>(MAX(E:E)-E158)/(MAX(E:E)-MIN(E:E))</f>
        <v>0.85730276682218298</v>
      </c>
      <c r="N158">
        <f>(MAX(F:F)-F158)/(MAX(F:F)-MIN(F:F))</f>
        <v>0.91886637260632709</v>
      </c>
      <c r="O158">
        <f>(MAX(G:G)-G158)/(MAX(G:G)-MIN(G:G))</f>
        <v>0.79392642760833865</v>
      </c>
      <c r="P158">
        <f>(MAX(H:H)-H158)/(MAX(H:H)-MIN(H:H))</f>
        <v>0.67333946217941854</v>
      </c>
      <c r="Q158">
        <f>(MAX(I:I)-I158)/(MAX(I:I)-MIN(I:I))</f>
        <v>0.57823172305128234</v>
      </c>
    </row>
    <row r="159" spans="1:17" x14ac:dyDescent="0.6">
      <c r="A159">
        <v>60</v>
      </c>
      <c r="B159" t="s">
        <v>9</v>
      </c>
      <c r="C159" t="s">
        <v>174</v>
      </c>
      <c r="D159">
        <v>7.4022491319999997</v>
      </c>
      <c r="E159">
        <v>0.29280848900000001</v>
      </c>
      <c r="F159">
        <v>5.6577973799999999</v>
      </c>
      <c r="G159">
        <v>0.41224095599999999</v>
      </c>
      <c r="H159">
        <v>4.7761230469999996</v>
      </c>
      <c r="I159">
        <v>0.345879985</v>
      </c>
      <c r="J159">
        <f>SUM(L159:Q159)</f>
        <v>4.8064239246173344</v>
      </c>
      <c r="K159">
        <f>0.5*SIN(RADIANS(60))*((L159*M159)+(M159*N159)+(N159*O159)+(O159*P159)+(P159*Q159)+(Q159*L159))</f>
        <v>1.6680676413801581</v>
      </c>
      <c r="L159">
        <f>(MAX(D:D)-D159)/(MAX(D:D)-MIN(D:D))</f>
        <v>0.72903428742295118</v>
      </c>
      <c r="M159">
        <f>(MAX(E:E)-E159)/(MAX(E:E)-MIN(E:E))</f>
        <v>0.85695118817312343</v>
      </c>
      <c r="N159">
        <f>(MAX(F:F)-F159)/(MAX(F:F)-MIN(F:F))</f>
        <v>0.84715841779654233</v>
      </c>
      <c r="O159">
        <f>(MAX(G:G)-G159)/(MAX(G:G)-MIN(G:G))</f>
        <v>0.87741023793185757</v>
      </c>
      <c r="P159">
        <f>(MAX(H:H)-H159)/(MAX(H:H)-MIN(H:H))</f>
        <v>0.73148701433625885</v>
      </c>
      <c r="Q159">
        <f>(MAX(I:I)-I159)/(MAX(I:I)-MIN(I:I))</f>
        <v>0.76438277895660123</v>
      </c>
    </row>
    <row r="160" spans="1:17" x14ac:dyDescent="0.6">
      <c r="A160">
        <v>90</v>
      </c>
      <c r="B160" s="31" t="s">
        <v>572</v>
      </c>
      <c r="C160" s="31" t="s">
        <v>7</v>
      </c>
      <c r="D160" s="31">
        <v>6.8952972560000001</v>
      </c>
      <c r="E160">
        <v>0.29414884299999999</v>
      </c>
      <c r="F160" s="31">
        <v>5.4980383789999996</v>
      </c>
      <c r="G160" s="31">
        <v>0.42901898999999999</v>
      </c>
      <c r="H160" s="31">
        <v>4.7074220499999999</v>
      </c>
      <c r="I160" s="31">
        <v>0.36554136799999998</v>
      </c>
      <c r="J160">
        <f>SUM(L160:Q160)</f>
        <v>4.8993753544770264</v>
      </c>
      <c r="K160">
        <f>0.5*SIN(RADIANS(60))*((L160*M160)+(M160*N160)+(N160*O160)+(O160*P160)+(P160*Q160)+(Q160*L160))</f>
        <v>1.7327196280236878</v>
      </c>
      <c r="L160">
        <f>(MAX(D:D)-D160)/(MAX(D:D)-MIN(D:D))</f>
        <v>0.91027817274362821</v>
      </c>
      <c r="M160">
        <f>(MAX(E:E)-E160)/(MAX(E:E)-MIN(E:E))</f>
        <v>0.85206128624740496</v>
      </c>
      <c r="N160">
        <f>(MAX(F:F)-F160)/(MAX(F:F)-MIN(F:F))</f>
        <v>0.91468811630706282</v>
      </c>
      <c r="O160">
        <f>(MAX(G:G)-G160)/(MAX(G:G)-MIN(G:G))</f>
        <v>0.79168185377153477</v>
      </c>
      <c r="P160">
        <f>(MAX(H:H)-H160)/(MAX(H:H)-MIN(H:H))</f>
        <v>0.75735686344243158</v>
      </c>
      <c r="Q160">
        <f>(MAX(I:I)-I160)/(MAX(I:I)-MIN(I:I))</f>
        <v>0.67330906196496365</v>
      </c>
    </row>
    <row r="161" spans="1:17" x14ac:dyDescent="0.6">
      <c r="A161">
        <v>90</v>
      </c>
      <c r="B161" s="31" t="s">
        <v>572</v>
      </c>
      <c r="C161" s="31" t="s">
        <v>8</v>
      </c>
      <c r="D161" s="31">
        <v>6.8929108369999996</v>
      </c>
      <c r="E161">
        <v>0.29421686699999999</v>
      </c>
      <c r="F161" s="31">
        <v>5.5007778189999996</v>
      </c>
      <c r="G161" s="31">
        <v>0.42911144200000001</v>
      </c>
      <c r="H161" s="31">
        <v>4.5624899130000003</v>
      </c>
      <c r="I161" s="31">
        <v>0.35416063399999997</v>
      </c>
      <c r="J161">
        <f>SUM(L161:Q161)</f>
        <v>5.0056420856072723</v>
      </c>
      <c r="K161">
        <f>0.5*SIN(RADIANS(60))*((L161*M161)+(M161*N161)+(N161*O161)+(O161*P161)+(P161*Q161)+(Q161*L161))</f>
        <v>1.8058627424247604</v>
      </c>
      <c r="L161">
        <f>(MAX(D:D)-D161)/(MAX(D:D)-MIN(D:D))</f>
        <v>0.91113135797094391</v>
      </c>
      <c r="M161">
        <f>(MAX(E:E)-E161)/(MAX(E:E)-MIN(E:E))</f>
        <v>0.8518131199505945</v>
      </c>
      <c r="N161">
        <f>(MAX(F:F)-F161)/(MAX(F:F)-MIN(F:F))</f>
        <v>0.91353016241319951</v>
      </c>
      <c r="O161">
        <f>(MAX(G:G)-G161)/(MAX(G:G)-MIN(G:G))</f>
        <v>0.7912094646601292</v>
      </c>
      <c r="P161">
        <f>(MAX(H:H)-H161)/(MAX(H:H)-MIN(H:H))</f>
        <v>0.81193209056504778</v>
      </c>
      <c r="Q161">
        <f>(MAX(I:I)-I161)/(MAX(I:I)-MIN(I:I))</f>
        <v>0.72602589004735796</v>
      </c>
    </row>
    <row r="162" spans="1:17" x14ac:dyDescent="0.6">
      <c r="A162">
        <v>60</v>
      </c>
      <c r="B162" t="s">
        <v>99</v>
      </c>
      <c r="C162" t="s">
        <v>8</v>
      </c>
      <c r="D162">
        <v>7.4376990000000003</v>
      </c>
      <c r="E162">
        <v>0.29449999999999998</v>
      </c>
      <c r="F162">
        <v>5.6944710000000001</v>
      </c>
      <c r="G162">
        <v>0.41458800000000001</v>
      </c>
      <c r="H162">
        <v>4.959778</v>
      </c>
      <c r="I162">
        <v>0.34940700000000002</v>
      </c>
      <c r="J162">
        <f>SUM(L162:Q162)</f>
        <v>4.6745906878258525</v>
      </c>
      <c r="K162">
        <f>0.5*SIN(RADIANS(60))*((L162*M162)+(M162*N162)+(N162*O162)+(O162*P162)+(P162*Q162)+(Q162*L162))</f>
        <v>1.5767154294002983</v>
      </c>
      <c r="L162">
        <f>(MAX(D:D)-D162)/(MAX(D:D)-MIN(D:D))</f>
        <v>0.71636035896031103</v>
      </c>
      <c r="M162">
        <f>(MAX(E:E)-E162)/(MAX(E:E)-MIN(E:E))</f>
        <v>0.85078018939498423</v>
      </c>
      <c r="N162">
        <f>(MAX(F:F)-F162)/(MAX(F:F)-MIN(F:F))</f>
        <v>0.8316565776098388</v>
      </c>
      <c r="O162">
        <f>(MAX(G:G)-G162)/(MAX(G:G)-MIN(G:G))</f>
        <v>0.86541787400690773</v>
      </c>
      <c r="P162">
        <f>(MAX(H:H)-H162)/(MAX(H:H)-MIN(H:H))</f>
        <v>0.66233043540464176</v>
      </c>
      <c r="Q162">
        <f>(MAX(I:I)-I162)/(MAX(I:I)-MIN(I:I))</f>
        <v>0.74804525244916975</v>
      </c>
    </row>
    <row r="163" spans="1:17" x14ac:dyDescent="0.6">
      <c r="A163">
        <v>60</v>
      </c>
      <c r="B163" t="s">
        <v>99</v>
      </c>
      <c r="C163" t="s">
        <v>7</v>
      </c>
      <c r="D163">
        <v>7.4350009999999997</v>
      </c>
      <c r="E163">
        <v>0.29480000000000001</v>
      </c>
      <c r="F163">
        <v>5.7304399999999998</v>
      </c>
      <c r="G163">
        <v>0.41740500000000003</v>
      </c>
      <c r="H163">
        <v>4.920471</v>
      </c>
      <c r="I163">
        <v>0.36538900000000002</v>
      </c>
      <c r="J163">
        <f>SUM(L163:Q163)</f>
        <v>4.5856340971564862</v>
      </c>
      <c r="K163">
        <f>0.5*SIN(RADIANS(60))*((L163*M163)+(M163*N163)+(N163*O163)+(O163*P163)+(P163*Q163)+(Q163*L163))</f>
        <v>1.5216888499905448</v>
      </c>
      <c r="L163">
        <f>(MAX(D:D)-D163)/(MAX(D:D)-MIN(D:D))</f>
        <v>0.71732493967446798</v>
      </c>
      <c r="M163">
        <f>(MAX(E:E)-E163)/(MAX(E:E)-MIN(E:E))</f>
        <v>0.84968572436730083</v>
      </c>
      <c r="N163">
        <f>(MAX(F:F)-F163)/(MAX(F:F)-MIN(F:F))</f>
        <v>0.8164525783952663</v>
      </c>
      <c r="O163">
        <f>(MAX(G:G)-G163)/(MAX(G:G)-MIN(G:G))</f>
        <v>0.85102424134531995</v>
      </c>
      <c r="P163">
        <f>(MAX(H:H)-H163)/(MAX(H:H)-MIN(H:H))</f>
        <v>0.67713176585427604</v>
      </c>
      <c r="Q163">
        <f>(MAX(I:I)-I163)/(MAX(I:I)-MIN(I:I))</f>
        <v>0.67401484751985463</v>
      </c>
    </row>
    <row r="164" spans="1:17" x14ac:dyDescent="0.6">
      <c r="A164">
        <v>90</v>
      </c>
      <c r="B164" s="31" t="s">
        <v>571</v>
      </c>
      <c r="C164" s="31" t="s">
        <v>177</v>
      </c>
      <c r="D164" s="31">
        <v>6.8788207400000001</v>
      </c>
      <c r="E164">
        <v>0.29519173900000001</v>
      </c>
      <c r="F164" s="31">
        <v>5.5390920929999998</v>
      </c>
      <c r="G164" s="31">
        <v>0.43219390000000002</v>
      </c>
      <c r="H164" s="31">
        <v>4.6995849610000002</v>
      </c>
      <c r="I164" s="31">
        <v>0.36687409500000001</v>
      </c>
      <c r="J164">
        <f>SUM(L164:Q164)</f>
        <v>4.8646633594397581</v>
      </c>
      <c r="K164">
        <f>0.5*SIN(RADIANS(60))*((L164*M164)+(M164*N164)+(N164*O164)+(O164*P164)+(P164*Q164)+(Q164*L164))</f>
        <v>1.707017785235605</v>
      </c>
      <c r="L164">
        <f>(MAX(D:D)-D164)/(MAX(D:D)-MIN(D:D))</f>
        <v>0.91616880638710307</v>
      </c>
      <c r="M164">
        <f>(MAX(E:E)-E164)/(MAX(E:E)-MIN(E:E))</f>
        <v>0.84825657558236855</v>
      </c>
      <c r="N164">
        <f>(MAX(F:F)-F164)/(MAX(F:F)-MIN(F:F))</f>
        <v>0.89733482220905358</v>
      </c>
      <c r="O164">
        <f>(MAX(G:G)-G164)/(MAX(G:G)-MIN(G:G))</f>
        <v>0.77545945821825046</v>
      </c>
      <c r="P164">
        <f>(MAX(H:H)-H164)/(MAX(H:H)-MIN(H:H))</f>
        <v>0.76030797505237868</v>
      </c>
      <c r="Q164">
        <f>(MAX(I:I)-I164)/(MAX(I:I)-MIN(I:I))</f>
        <v>0.66713572199060289</v>
      </c>
    </row>
    <row r="165" spans="1:17" x14ac:dyDescent="0.6">
      <c r="A165">
        <v>90</v>
      </c>
      <c r="B165" s="31" t="s">
        <v>572</v>
      </c>
      <c r="C165" s="31" t="s">
        <v>177</v>
      </c>
      <c r="D165" s="31">
        <v>6.9219417979999998</v>
      </c>
      <c r="E165">
        <v>0.295253665</v>
      </c>
      <c r="F165" s="31">
        <v>5.5286370070000004</v>
      </c>
      <c r="G165" s="31">
        <v>0.43111237600000002</v>
      </c>
      <c r="H165" s="31">
        <v>4.6853598209999996</v>
      </c>
      <c r="I165" s="31">
        <v>0.36443366199999999</v>
      </c>
      <c r="J165">
        <f>SUM(L165:Q165)</f>
        <v>4.875627315582217</v>
      </c>
      <c r="K165">
        <f>0.5*SIN(RADIANS(60))*((L165*M165)+(M165*N165)+(N165*O165)+(O165*P165)+(P165*Q165)+(Q165*L165))</f>
        <v>1.7153255480046461</v>
      </c>
      <c r="L165">
        <f>(MAX(D:D)-D165)/(MAX(D:D)-MIN(D:D))</f>
        <v>0.90075229752096719</v>
      </c>
      <c r="M165">
        <f>(MAX(E:E)-E165)/(MAX(E:E)-MIN(E:E))</f>
        <v>0.8480306561113542</v>
      </c>
      <c r="N165">
        <f>(MAX(F:F)-F165)/(MAX(F:F)-MIN(F:F))</f>
        <v>0.9017541588414949</v>
      </c>
      <c r="O165">
        <f>(MAX(G:G)-G165)/(MAX(G:G)-MIN(G:G))</f>
        <v>0.78098557080990505</v>
      </c>
      <c r="P165">
        <f>(MAX(H:H)-H165)/(MAX(H:H)-MIN(H:H))</f>
        <v>0.76566455270603628</v>
      </c>
      <c r="Q165">
        <f>(MAX(I:I)-I165)/(MAX(I:I)-MIN(I:I))</f>
        <v>0.67844007959245911</v>
      </c>
    </row>
    <row r="166" spans="1:17" x14ac:dyDescent="0.6">
      <c r="A166">
        <v>60</v>
      </c>
      <c r="B166" t="s">
        <v>9</v>
      </c>
      <c r="C166" t="s">
        <v>167</v>
      </c>
      <c r="D166">
        <v>7.4323322310000002</v>
      </c>
      <c r="E166">
        <v>0.29545744299999999</v>
      </c>
      <c r="F166">
        <v>5.6471321799999998</v>
      </c>
      <c r="G166">
        <v>0.41171675800000002</v>
      </c>
      <c r="H166">
        <v>4.3988647460000001</v>
      </c>
      <c r="I166">
        <v>0.31071314799999999</v>
      </c>
      <c r="J166">
        <f>SUM(L166:Q166)</f>
        <v>5.0981473259247325</v>
      </c>
      <c r="K166">
        <f>0.5*SIN(RADIANS(60))*((L166*M166)+(M166*N166)+(N166*O166)+(O166*P166)+(P166*Q166)+(Q166*L166))</f>
        <v>1.8726076851343181</v>
      </c>
      <c r="L166">
        <f>(MAX(D:D)-D166)/(MAX(D:D)-MIN(D:D))</f>
        <v>0.71827906981084266</v>
      </c>
      <c r="M166">
        <f>(MAX(E:E)-E166)/(MAX(E:E)-MIN(E:E))</f>
        <v>0.84728722979665005</v>
      </c>
      <c r="N166">
        <f>(MAX(F:F)-F166)/(MAX(F:F)-MIN(F:F))</f>
        <v>0.85166656904965643</v>
      </c>
      <c r="O166">
        <f>(MAX(G:G)-G166)/(MAX(G:G)-MIN(G:G))</f>
        <v>0.88008865946325221</v>
      </c>
      <c r="P166">
        <f>(MAX(H:H)-H166)/(MAX(H:H)-MIN(H:H))</f>
        <v>0.87354631110193959</v>
      </c>
      <c r="Q166">
        <f>(MAX(I:I)-I166)/(MAX(I:I)-MIN(I:I))</f>
        <v>0.92727948670239158</v>
      </c>
    </row>
    <row r="167" spans="1:17" x14ac:dyDescent="0.6">
      <c r="A167">
        <v>90</v>
      </c>
      <c r="B167" s="31" t="s">
        <v>571</v>
      </c>
      <c r="C167" s="31" t="s">
        <v>184</v>
      </c>
      <c r="D167" s="31">
        <v>6.9008881999999998</v>
      </c>
      <c r="E167">
        <v>0.295532134</v>
      </c>
      <c r="F167" s="31">
        <v>5.5647675489999999</v>
      </c>
      <c r="G167" s="31">
        <v>0.43420373899999998</v>
      </c>
      <c r="H167" s="31">
        <v>4.99037679</v>
      </c>
      <c r="I167" s="31">
        <v>0.39044506000000001</v>
      </c>
      <c r="J167">
        <f>SUM(L167:Q167)</f>
        <v>4.6157266252507112</v>
      </c>
      <c r="K167">
        <f>0.5*SIN(RADIANS(60))*((L167*M167)+(M167*N167)+(N167*O167)+(O167*P167)+(P167*Q167)+(Q167*L167))</f>
        <v>1.5442986361091637</v>
      </c>
      <c r="L167">
        <f>(MAX(D:D)-D167)/(MAX(D:D)-MIN(D:D))</f>
        <v>0.90827931553223817</v>
      </c>
      <c r="M167">
        <f>(MAX(E:E)-E167)/(MAX(E:E)-MIN(E:E))</f>
        <v>0.84701474083870765</v>
      </c>
      <c r="N167">
        <f>(MAX(F:F)-F167)/(MAX(F:F)-MIN(F:F))</f>
        <v>0.88648187625954722</v>
      </c>
      <c r="O167">
        <f>(MAX(G:G)-G167)/(MAX(G:G)-MIN(G:G))</f>
        <v>0.76519006372945664</v>
      </c>
      <c r="P167">
        <f>(MAX(H:H)-H167)/(MAX(H:H)-MIN(H:H))</f>
        <v>0.65080824337398646</v>
      </c>
      <c r="Q167">
        <f>(MAX(I:I)-I167)/(MAX(I:I)-MIN(I:I))</f>
        <v>0.55795238551677517</v>
      </c>
    </row>
    <row r="168" spans="1:17" x14ac:dyDescent="0.6">
      <c r="A168">
        <v>30</v>
      </c>
      <c r="B168" t="s">
        <v>92</v>
      </c>
      <c r="C168" t="s">
        <v>177</v>
      </c>
      <c r="D168">
        <v>7.4298276870000004</v>
      </c>
      <c r="E168">
        <v>0.296828441</v>
      </c>
      <c r="F168">
        <v>5.6015613149999997</v>
      </c>
      <c r="G168">
        <v>0.41004964300000002</v>
      </c>
      <c r="H168">
        <v>4.3900146480000002</v>
      </c>
      <c r="I168">
        <v>0.32433594399999999</v>
      </c>
      <c r="J168">
        <f>SUM(L168:Q168)</f>
        <v>5.0620522102286012</v>
      </c>
      <c r="K168">
        <f>0.5*SIN(RADIANS(60))*((L168*M168)+(M168*N168)+(N168*O168)+(O168*P168)+(P168*Q168)+(Q168*L168))</f>
        <v>1.8497040832894351</v>
      </c>
      <c r="L168">
        <f>(MAX(D:D)-D168)/(MAX(D:D)-MIN(D:D))</f>
        <v>0.71917448672713502</v>
      </c>
      <c r="M168">
        <f>(MAX(E:E)-E168)/(MAX(E:E)-MIN(E:E))</f>
        <v>0.84228553191657041</v>
      </c>
      <c r="N168">
        <f>(MAX(F:F)-F168)/(MAX(F:F)-MIN(F:F))</f>
        <v>0.87092925068293503</v>
      </c>
      <c r="O168">
        <f>(MAX(G:G)-G168)/(MAX(G:G)-MIN(G:G))</f>
        <v>0.88860688485005479</v>
      </c>
      <c r="P168">
        <f>(MAX(H:H)-H168)/(MAX(H:H)-MIN(H:H))</f>
        <v>0.87687887845660029</v>
      </c>
      <c r="Q168">
        <f>(MAX(I:I)-I168)/(MAX(I:I)-MIN(I:I))</f>
        <v>0.86417717759530532</v>
      </c>
    </row>
    <row r="169" spans="1:17" x14ac:dyDescent="0.6">
      <c r="A169">
        <v>90</v>
      </c>
      <c r="B169" s="31" t="s">
        <v>572</v>
      </c>
      <c r="C169" s="31" t="s">
        <v>184</v>
      </c>
      <c r="D169" s="31">
        <v>6.9196035849999999</v>
      </c>
      <c r="E169">
        <v>0.297287093</v>
      </c>
      <c r="F169" s="31">
        <v>5.4852146399999997</v>
      </c>
      <c r="G169" s="31">
        <v>0.428226777</v>
      </c>
      <c r="H169" s="31">
        <v>4.7751151690000002</v>
      </c>
      <c r="I169" s="31">
        <v>0.37323129500000002</v>
      </c>
      <c r="J169">
        <f>SUM(L169:Q169)</f>
        <v>4.8275939098418306</v>
      </c>
      <c r="K169">
        <f>0.5*SIN(RADIANS(60))*((L169*M169)+(M169*N169)+(N169*O169)+(O169*P169)+(P169*Q169)+(Q169*L169))</f>
        <v>1.6833376685571775</v>
      </c>
      <c r="L169">
        <f>(MAX(D:D)-D169)/(MAX(D:D)-MIN(D:D))</f>
        <v>0.90158824828649364</v>
      </c>
      <c r="M169">
        <f>(MAX(E:E)-E169)/(MAX(E:E)-MIN(E:E))</f>
        <v>0.84061227000364691</v>
      </c>
      <c r="N169">
        <f>(MAX(F:F)-F169)/(MAX(F:F)-MIN(F:F))</f>
        <v>0.92010867616927416</v>
      </c>
      <c r="O169">
        <f>(MAX(G:G)-G169)/(MAX(G:G)-MIN(G:G))</f>
        <v>0.79572971423008432</v>
      </c>
      <c r="P169">
        <f>(MAX(H:H)-H169)/(MAX(H:H)-MIN(H:H))</f>
        <v>0.73186653796642409</v>
      </c>
      <c r="Q169">
        <f>(MAX(I:I)-I169)/(MAX(I:I)-MIN(I:I))</f>
        <v>0.63768846318590744</v>
      </c>
    </row>
    <row r="170" spans="1:17" x14ac:dyDescent="0.6">
      <c r="A170">
        <v>90</v>
      </c>
      <c r="B170" t="s">
        <v>92</v>
      </c>
      <c r="C170" t="s">
        <v>184</v>
      </c>
      <c r="D170">
        <v>7.4781059670000003</v>
      </c>
      <c r="E170">
        <v>0.29729077799999998</v>
      </c>
      <c r="F170" s="13">
        <v>5.7601468860000002</v>
      </c>
      <c r="G170" s="13">
        <v>0.41881793499999997</v>
      </c>
      <c r="H170">
        <v>4.5025024409999999</v>
      </c>
      <c r="I170" s="13">
        <v>0.32638429499999999</v>
      </c>
      <c r="J170">
        <f>SUM(L170:Q170)</f>
        <v>4.8794231192767601</v>
      </c>
      <c r="K170">
        <f>0.5*SIN(RADIANS(60))*((L170*M170)+(M170*N170)+(N170*O170)+(O170*P170)+(P170*Q170)+(Q170*L170))</f>
        <v>1.715362277196383</v>
      </c>
      <c r="L170">
        <f>(MAX(D:D)-D170)/(MAX(D:D)-MIN(D:D))</f>
        <v>0.70191418361347313</v>
      </c>
      <c r="M170">
        <f>(MAX(E:E)-E170)/(MAX(E:E)-MIN(E:E))</f>
        <v>0.84059882632489025</v>
      </c>
      <c r="N170">
        <f>(MAX(F:F)-F170)/(MAX(F:F)-MIN(F:F))</f>
        <v>0.80389555786616052</v>
      </c>
      <c r="O170">
        <f>(MAX(G:G)-G170)/(MAX(G:G)-MIN(G:G))</f>
        <v>0.84380476411255467</v>
      </c>
      <c r="P170">
        <f>(MAX(H:H)-H170)/(MAX(H:H)-MIN(H:H))</f>
        <v>0.83452079985118499</v>
      </c>
      <c r="Q170">
        <f>(MAX(I:I)-I170)/(MAX(I:I)-MIN(I:I))</f>
        <v>0.85468898750849709</v>
      </c>
    </row>
    <row r="171" spans="1:17" x14ac:dyDescent="0.6">
      <c r="A171">
        <v>90</v>
      </c>
      <c r="B171" t="s">
        <v>99</v>
      </c>
      <c r="C171" t="s">
        <v>184</v>
      </c>
      <c r="D171" s="13">
        <v>7.4856228089999997</v>
      </c>
      <c r="E171">
        <v>0.29739613100000001</v>
      </c>
      <c r="F171" s="13">
        <v>5.7703765450000004</v>
      </c>
      <c r="G171" s="13">
        <v>0.41945157399999999</v>
      </c>
      <c r="H171">
        <v>4.584960938</v>
      </c>
      <c r="I171" s="13">
        <v>0.33184570600000002</v>
      </c>
      <c r="J171">
        <f>SUM(L171:Q171)</f>
        <v>4.8124415061724894</v>
      </c>
      <c r="K171">
        <f>0.5*SIN(RADIANS(60))*((L171*M171)+(M171*N171)+(N171*O171)+(O171*P171)+(P171*Q171)+(Q171*L171))</f>
        <v>1.668441329776811</v>
      </c>
      <c r="L171">
        <f>(MAX(D:D)-D171)/(MAX(D:D)-MIN(D:D))</f>
        <v>0.69922678523520676</v>
      </c>
      <c r="M171">
        <f>(MAX(E:E)-E171)/(MAX(E:E)-MIN(E:E))</f>
        <v>0.840214475744685</v>
      </c>
      <c r="N171">
        <f>(MAX(F:F)-F171)/(MAX(F:F)-MIN(F:F))</f>
        <v>0.79957150861815951</v>
      </c>
      <c r="O171">
        <f>(MAX(G:G)-G171)/(MAX(G:G)-MIN(G:G))</f>
        <v>0.84056714714199876</v>
      </c>
      <c r="P171">
        <f>(MAX(H:H)-H171)/(MAX(H:H)-MIN(H:H))</f>
        <v>0.80347046625978424</v>
      </c>
      <c r="Q171">
        <f>(MAX(I:I)-I171)/(MAX(I:I)-MIN(I:I))</f>
        <v>0.82939112317265573</v>
      </c>
    </row>
    <row r="172" spans="1:17" x14ac:dyDescent="0.6">
      <c r="A172">
        <v>10</v>
      </c>
      <c r="B172" t="s">
        <v>9</v>
      </c>
      <c r="C172" t="s">
        <v>171</v>
      </c>
      <c r="D172">
        <v>7.4226188950000003</v>
      </c>
      <c r="E172">
        <v>0.29761907999999998</v>
      </c>
      <c r="F172">
        <v>5.6574318129999996</v>
      </c>
      <c r="G172">
        <v>0.41508323699999999</v>
      </c>
      <c r="H172">
        <v>4.7276000979999999</v>
      </c>
      <c r="I172">
        <v>0.34143272800000002</v>
      </c>
      <c r="J172">
        <f>SUM(L172:Q172)</f>
        <v>4.8060948788135534</v>
      </c>
      <c r="K172">
        <f>0.5*SIN(RADIANS(60))*((L172*M172)+(M172*N172)+(N172*O172)+(O172*P172)+(P172*Q172)+(Q172*L172))</f>
        <v>1.6672194072047481</v>
      </c>
      <c r="L172">
        <f>(MAX(D:D)-D172)/(MAX(D:D)-MIN(D:D))</f>
        <v>0.72175175201088881</v>
      </c>
      <c r="M172">
        <f>(MAX(E:E)-E172)/(MAX(E:E)-MIN(E:E))</f>
        <v>0.83940110946649515</v>
      </c>
      <c r="N172">
        <f>(MAX(F:F)-F172)/(MAX(F:F)-MIN(F:F))</f>
        <v>0.84731294198072526</v>
      </c>
      <c r="O172">
        <f>(MAX(G:G)-G172)/(MAX(G:G)-MIN(G:G))</f>
        <v>0.8628874304646903</v>
      </c>
      <c r="P172">
        <f>(MAX(H:H)-H172)/(MAX(H:H)-MIN(H:H))</f>
        <v>0.7497586759369852</v>
      </c>
      <c r="Q172">
        <f>(MAX(I:I)-I172)/(MAX(I:I)-MIN(I:I))</f>
        <v>0.78498296895376862</v>
      </c>
    </row>
    <row r="173" spans="1:17" x14ac:dyDescent="0.6">
      <c r="A173">
        <v>30</v>
      </c>
      <c r="B173" t="s">
        <v>6</v>
      </c>
      <c r="C173" t="s">
        <v>8</v>
      </c>
      <c r="D173">
        <v>7.4534726520000003</v>
      </c>
      <c r="E173">
        <v>0.29792400000000002</v>
      </c>
      <c r="F173">
        <v>5.6844968329999999</v>
      </c>
      <c r="G173">
        <v>0.41555569799999997</v>
      </c>
      <c r="H173">
        <v>4.8734130860000002</v>
      </c>
      <c r="I173">
        <v>0.35191327</v>
      </c>
      <c r="J173">
        <f>SUM(L173:Q173)</f>
        <v>4.6766433883072169</v>
      </c>
      <c r="K173">
        <f>0.5*SIN(RADIANS(60))*((L173*M173)+(M173*N173)+(N173*O173)+(O173*P173)+(P173*Q173)+(Q173*L173))</f>
        <v>1.5799567494580058</v>
      </c>
      <c r="L173">
        <f>(MAX(D:D)-D173)/(MAX(D:D)-MIN(D:D))</f>
        <v>0.71072101110596697</v>
      </c>
      <c r="M173">
        <f>(MAX(E:E)-E173)/(MAX(E:E)-MIN(E:E))</f>
        <v>0.8382886952123576</v>
      </c>
      <c r="N173">
        <f>(MAX(F:F)-F173)/(MAX(F:F)-MIN(F:F))</f>
        <v>0.83587263107904897</v>
      </c>
      <c r="O173">
        <f>(MAX(G:G)-G173)/(MAX(G:G)-MIN(G:G))</f>
        <v>0.86047336227834803</v>
      </c>
      <c r="P173">
        <f>(MAX(H:H)-H173)/(MAX(H:H)-MIN(H:H))</f>
        <v>0.69485175810462518</v>
      </c>
      <c r="Q173">
        <f>(MAX(I:I)-I173)/(MAX(I:I)-MIN(I:I))</f>
        <v>0.73643593052687006</v>
      </c>
    </row>
    <row r="174" spans="1:17" x14ac:dyDescent="0.6">
      <c r="A174">
        <v>60</v>
      </c>
      <c r="B174" t="s">
        <v>9</v>
      </c>
      <c r="C174" t="s">
        <v>7</v>
      </c>
      <c r="D174">
        <v>7.4964709120000004</v>
      </c>
      <c r="E174">
        <v>0.29857578600000001</v>
      </c>
      <c r="F174">
        <v>5.8058312159999996</v>
      </c>
      <c r="G174">
        <v>0.42238218300000002</v>
      </c>
      <c r="H174">
        <v>5.0402832030000004</v>
      </c>
      <c r="I174">
        <v>0.36676610399999998</v>
      </c>
      <c r="J174">
        <f>SUM(L174:Q174)</f>
        <v>4.4410887573846169</v>
      </c>
      <c r="K174">
        <f>0.5*SIN(RADIANS(60))*((L174*M174)+(M174*N174)+(N174*O174)+(O174*P174)+(P174*Q174)+(Q174*L174))</f>
        <v>1.4258345181221022</v>
      </c>
      <c r="L174">
        <f>(MAX(D:D)-D174)/(MAX(D:D)-MIN(D:D))</f>
        <v>0.69534840460548586</v>
      </c>
      <c r="M174">
        <f>(MAX(E:E)-E174)/(MAX(E:E)-MIN(E:E))</f>
        <v>0.83591083860391213</v>
      </c>
      <c r="N174">
        <f>(MAX(F:F)-F174)/(MAX(F:F)-MIN(F:F))</f>
        <v>0.78458491488364046</v>
      </c>
      <c r="O174">
        <f>(MAX(G:G)-G174)/(MAX(G:G)-MIN(G:G))</f>
        <v>0.82559302239200105</v>
      </c>
      <c r="P174">
        <f>(MAX(H:H)-H174)/(MAX(H:H)-MIN(H:H))</f>
        <v>0.63201562856316562</v>
      </c>
      <c r="Q174">
        <f>(MAX(I:I)-I174)/(MAX(I:I)-MIN(I:I))</f>
        <v>0.66763594833641215</v>
      </c>
    </row>
    <row r="175" spans="1:17" x14ac:dyDescent="0.6">
      <c r="A175">
        <v>90</v>
      </c>
      <c r="B175" s="31" t="s">
        <v>571</v>
      </c>
      <c r="C175" s="31" t="s">
        <v>174</v>
      </c>
      <c r="D175" s="31">
        <v>6.9563367449999998</v>
      </c>
      <c r="E175">
        <v>0.29945231</v>
      </c>
      <c r="F175" s="31">
        <v>5.5801243639999996</v>
      </c>
      <c r="G175" s="31">
        <v>0.43547230799999997</v>
      </c>
      <c r="H175" s="31">
        <v>5.1270548500000004</v>
      </c>
      <c r="I175" s="31">
        <v>0.39842523699999999</v>
      </c>
      <c r="J175">
        <f>SUM(L175:Q175)</f>
        <v>4.4801958996552882</v>
      </c>
      <c r="K175">
        <f>0.5*SIN(RADIANS(60))*((L175*M175)+(M175*N175)+(N175*O175)+(O175*P175)+(P175*Q175)+(Q175*L175))</f>
        <v>1.4593015584211424</v>
      </c>
      <c r="L175">
        <f>(MAX(D:D)-D175)/(MAX(D:D)-MIN(D:D))</f>
        <v>0.88845552119011328</v>
      </c>
      <c r="M175">
        <f>(MAX(E:E)-E175)/(MAX(E:E)-MIN(E:E))</f>
        <v>0.83271308905749497</v>
      </c>
      <c r="N175">
        <f>(MAX(F:F)-F175)/(MAX(F:F)-MIN(F:F))</f>
        <v>0.87999059200926688</v>
      </c>
      <c r="O175">
        <f>(MAX(G:G)-G175)/(MAX(G:G)-MIN(G:G))</f>
        <v>0.75870823334540349</v>
      </c>
      <c r="P175">
        <f>(MAX(H:H)-H175)/(MAX(H:H)-MIN(H:H))</f>
        <v>0.59934114765884772</v>
      </c>
      <c r="Q175">
        <f>(MAX(I:I)-I175)/(MAX(I:I)-MIN(I:I))</f>
        <v>0.52098731639416196</v>
      </c>
    </row>
    <row r="176" spans="1:17" x14ac:dyDescent="0.6">
      <c r="A176">
        <v>5</v>
      </c>
      <c r="B176" t="s">
        <v>9</v>
      </c>
      <c r="C176" t="s">
        <v>8</v>
      </c>
      <c r="D176">
        <v>7.4566945310000001</v>
      </c>
      <c r="E176">
        <v>0.29974140100000002</v>
      </c>
      <c r="F176">
        <v>5.6596484159999996</v>
      </c>
      <c r="G176">
        <v>0.414828003</v>
      </c>
      <c r="H176">
        <v>4.5623779300000002</v>
      </c>
      <c r="I176">
        <v>0.33639218500000001</v>
      </c>
      <c r="J176">
        <f>SUM(L176:Q176)</f>
        <v>4.8721006955457025</v>
      </c>
      <c r="K176">
        <f>0.5*SIN(RADIANS(60))*((L176*M176)+(M176*N176)+(N176*O176)+(O176*P176)+(P176*Q176)+(Q176*L176))</f>
        <v>1.7134565281893201</v>
      </c>
      <c r="L176">
        <f>(MAX(D:D)-D176)/(MAX(D:D)-MIN(D:D))</f>
        <v>0.70956913477285111</v>
      </c>
      <c r="M176">
        <f>(MAX(E:E)-E176)/(MAX(E:E)-MIN(E:E))</f>
        <v>0.83165842242643484</v>
      </c>
      <c r="N176">
        <f>(MAX(F:F)-F176)/(MAX(F:F)-MIN(F:F))</f>
        <v>0.84637598987555085</v>
      </c>
      <c r="O176">
        <f>(MAX(G:G)-G176)/(MAX(G:G)-MIN(G:G))</f>
        <v>0.86419156409576858</v>
      </c>
      <c r="P176">
        <f>(MAX(H:H)-H176)/(MAX(H:H)-MIN(H:H))</f>
        <v>0.81197425856025829</v>
      </c>
      <c r="Q176">
        <f>(MAX(I:I)-I176)/(MAX(I:I)-MIN(I:I))</f>
        <v>0.80833132581483891</v>
      </c>
    </row>
    <row r="177" spans="1:17" x14ac:dyDescent="0.6">
      <c r="A177">
        <v>60</v>
      </c>
      <c r="B177" t="s">
        <v>9</v>
      </c>
      <c r="C177" t="s">
        <v>184</v>
      </c>
      <c r="D177">
        <v>7.5078361109999996</v>
      </c>
      <c r="E177">
        <v>0.30042021600000002</v>
      </c>
      <c r="F177">
        <v>5.7300026629999996</v>
      </c>
      <c r="G177">
        <v>0.417504563</v>
      </c>
      <c r="H177">
        <v>4.3872680659999999</v>
      </c>
      <c r="I177">
        <v>0.31816177899999998</v>
      </c>
      <c r="J177">
        <f>SUM(L177:Q177)</f>
        <v>4.9583097906030718</v>
      </c>
      <c r="K177">
        <f>0.5*SIN(RADIANS(60))*((L177*M177)+(M177*N177)+(N177*O177)+(O177*P177)+(P177*Q177)+(Q177*L177))</f>
        <v>1.7721162853473089</v>
      </c>
      <c r="L177">
        <f>(MAX(D:D)-D177)/(MAX(D:D)-MIN(D:D))</f>
        <v>0.6912851533942358</v>
      </c>
      <c r="M177">
        <f>(MAX(E:E)-E177)/(MAX(E:E)-MIN(E:E))</f>
        <v>0.82918195816721185</v>
      </c>
      <c r="N177">
        <f>(MAX(F:F)-F177)/(MAX(F:F)-MIN(F:F))</f>
        <v>0.81663743956473189</v>
      </c>
      <c r="O177">
        <f>(MAX(G:G)-G177)/(MAX(G:G)-MIN(G:G))</f>
        <v>0.8505155181473486</v>
      </c>
      <c r="P177">
        <f>(MAX(H:H)-H177)/(MAX(H:H)-MIN(H:H))</f>
        <v>0.87791312344576311</v>
      </c>
      <c r="Q177">
        <f>(MAX(I:I)-I177)/(MAX(I:I)-MIN(I:I))</f>
        <v>0.89277659788378017</v>
      </c>
    </row>
    <row r="178" spans="1:17" x14ac:dyDescent="0.6">
      <c r="A178">
        <v>60</v>
      </c>
      <c r="B178" t="s">
        <v>99</v>
      </c>
      <c r="C178" t="s">
        <v>167</v>
      </c>
      <c r="D178">
        <v>7.5261966029999998</v>
      </c>
      <c r="E178">
        <v>0.30075816700000002</v>
      </c>
      <c r="F178">
        <v>5.8170013430000003</v>
      </c>
      <c r="G178">
        <v>0.42313114499999999</v>
      </c>
      <c r="H178">
        <v>4.5469360349999999</v>
      </c>
      <c r="I178">
        <v>0.333240543</v>
      </c>
      <c r="J178">
        <f>SUM(L178:Q178)</f>
        <v>4.7550185906922824</v>
      </c>
      <c r="K178">
        <f>0.5*SIN(RADIANS(60))*((L178*M178)+(M178*N178)+(N178*O178)+(O178*P178)+(P178*Q178)+(Q178*L178))</f>
        <v>1.6289757940051637</v>
      </c>
      <c r="L178">
        <f>(MAX(D:D)-D178)/(MAX(D:D)-MIN(D:D))</f>
        <v>0.68472096640919888</v>
      </c>
      <c r="M178">
        <f>(MAX(E:E)-E178)/(MAX(E:E)-MIN(E:E))</f>
        <v>0.82794903966530975</v>
      </c>
      <c r="N178">
        <f>(MAX(F:F)-F178)/(MAX(F:F)-MIN(F:F))</f>
        <v>0.77986333235049565</v>
      </c>
      <c r="O178">
        <f>(MAX(G:G)-G178)/(MAX(G:G)-MIN(G:G))</f>
        <v>0.82176615554589261</v>
      </c>
      <c r="P178">
        <f>(MAX(H:H)-H178)/(MAX(H:H)-MIN(H:H))</f>
        <v>0.81778901396422099</v>
      </c>
      <c r="Q178">
        <f>(MAX(I:I)-I178)/(MAX(I:I)-MIN(I:I))</f>
        <v>0.82293008275716395</v>
      </c>
    </row>
    <row r="179" spans="1:17" x14ac:dyDescent="0.6">
      <c r="A179">
        <v>90</v>
      </c>
      <c r="B179" t="s">
        <v>6</v>
      </c>
      <c r="C179" t="s">
        <v>184</v>
      </c>
      <c r="D179">
        <v>7.5520015169999999</v>
      </c>
      <c r="E179">
        <v>0.30249248899999998</v>
      </c>
      <c r="F179">
        <v>5.7659092730000001</v>
      </c>
      <c r="G179">
        <v>0.41896272099999998</v>
      </c>
      <c r="H179">
        <v>4.5360717770000001</v>
      </c>
      <c r="I179">
        <v>0.33432555000000003</v>
      </c>
      <c r="J179">
        <f>SUM(L179:Q179)</f>
        <v>4.781426150206701</v>
      </c>
      <c r="K179">
        <f>0.5*SIN(RADIANS(60))*((L179*M179)+(M179*N179)+(N179*O179)+(O179*P179)+(P179*Q179)+(Q179*L179))</f>
        <v>1.6483880320707629</v>
      </c>
      <c r="L179">
        <f>(MAX(D:D)-D179)/(MAX(D:D)-MIN(D:D))</f>
        <v>0.67549527242295948</v>
      </c>
      <c r="M179">
        <f>(MAX(E:E)-E179)/(MAX(E:E)-MIN(E:E))</f>
        <v>0.82162185707950341</v>
      </c>
      <c r="N179">
        <f>(MAX(F:F)-F179)/(MAX(F:F)-MIN(F:F))</f>
        <v>0.80145981243475961</v>
      </c>
      <c r="O179">
        <f>(MAX(G:G)-G179)/(MAX(G:G)-MIN(G:G))</f>
        <v>0.84306497124832291</v>
      </c>
      <c r="P179">
        <f>(MAX(H:H)-H179)/(MAX(H:H)-MIN(H:H))</f>
        <v>0.82188002759405998</v>
      </c>
      <c r="Q179">
        <f>(MAX(I:I)-I179)/(MAX(I:I)-MIN(I:I))</f>
        <v>0.81790420942709607</v>
      </c>
    </row>
    <row r="180" spans="1:17" x14ac:dyDescent="0.6">
      <c r="A180">
        <v>60</v>
      </c>
      <c r="B180" t="s">
        <v>6</v>
      </c>
      <c r="C180" t="s">
        <v>8</v>
      </c>
      <c r="D180">
        <v>7.5197311899999999</v>
      </c>
      <c r="E180">
        <v>0.30258052699999999</v>
      </c>
      <c r="F180">
        <v>5.7225223889999999</v>
      </c>
      <c r="G180">
        <v>0.41718175000000002</v>
      </c>
      <c r="H180">
        <v>4.8104858400000001</v>
      </c>
      <c r="I180">
        <v>0.34794145700000001</v>
      </c>
      <c r="J180">
        <f>SUM(L180:Q180)</f>
        <v>4.6536786895939999</v>
      </c>
      <c r="K180">
        <f>0.5*SIN(RADIANS(60))*((L180*M180)+(M180*N180)+(N180*O180)+(O180*P180)+(P180*Q180)+(Q180*L180))</f>
        <v>1.5629448134271264</v>
      </c>
      <c r="L180">
        <f>(MAX(D:D)-D180)/(MAX(D:D)-MIN(D:D))</f>
        <v>0.68703246110484684</v>
      </c>
      <c r="M180">
        <f>(MAX(E:E)-E180)/(MAX(E:E)-MIN(E:E))</f>
        <v>0.82130067537247942</v>
      </c>
      <c r="N180">
        <f>(MAX(F:F)-F180)/(MAX(F:F)-MIN(F:F))</f>
        <v>0.81979933119421233</v>
      </c>
      <c r="O180">
        <f>(MAX(G:G)-G180)/(MAX(G:G)-MIN(G:G))</f>
        <v>0.85216495078504284</v>
      </c>
      <c r="P180">
        <f>(MAX(H:H)-H180)/(MAX(H:H)-MIN(H:H))</f>
        <v>0.71854746020174354</v>
      </c>
      <c r="Q180">
        <f>(MAX(I:I)-I180)/(MAX(I:I)-MIN(I:I))</f>
        <v>0.75483381093567481</v>
      </c>
    </row>
    <row r="181" spans="1:17" x14ac:dyDescent="0.6">
      <c r="A181">
        <v>60</v>
      </c>
      <c r="B181" t="s">
        <v>9</v>
      </c>
      <c r="C181" t="s">
        <v>171</v>
      </c>
      <c r="D181">
        <v>7.5462677969999996</v>
      </c>
      <c r="E181">
        <v>0.30261386400000001</v>
      </c>
      <c r="F181">
        <v>5.8844521260000002</v>
      </c>
      <c r="G181">
        <v>0.42830052499999999</v>
      </c>
      <c r="H181">
        <v>4.7680053710000001</v>
      </c>
      <c r="I181">
        <v>0.34497756899999998</v>
      </c>
      <c r="J181">
        <f>SUM(L181:Q181)</f>
        <v>4.5485358454275069</v>
      </c>
      <c r="K181">
        <f>0.5*SIN(RADIANS(60))*((L181*M181)+(M181*N181)+(N181*O181)+(O181*P181)+(P181*Q181)+(Q181*L181))</f>
        <v>1.4897677282961708</v>
      </c>
      <c r="L181">
        <f>(MAX(D:D)-D181)/(MAX(D:D)-MIN(D:D))</f>
        <v>0.67754517447350626</v>
      </c>
      <c r="M181">
        <f>(MAX(E:E)-E181)/(MAX(E:E)-MIN(E:E))</f>
        <v>0.82117905477038644</v>
      </c>
      <c r="N181">
        <f>(MAX(F:F)-F181)/(MAX(F:F)-MIN(F:F))</f>
        <v>0.75135206843561586</v>
      </c>
      <c r="O181">
        <f>(MAX(G:G)-G181)/(MAX(G:G)-MIN(G:G))</f>
        <v>0.79535289434313849</v>
      </c>
      <c r="P181">
        <f>(MAX(H:H)-H181)/(MAX(H:H)-MIN(H:H))</f>
        <v>0.73454378297693501</v>
      </c>
      <c r="Q181">
        <f>(MAX(I:I)-I181)/(MAX(I:I)-MIN(I:I))</f>
        <v>0.76856287042792482</v>
      </c>
    </row>
    <row r="182" spans="1:17" x14ac:dyDescent="0.6">
      <c r="A182">
        <v>90</v>
      </c>
      <c r="B182" t="s">
        <v>92</v>
      </c>
      <c r="C182" t="s">
        <v>177</v>
      </c>
      <c r="D182">
        <v>7.567043913</v>
      </c>
      <c r="E182">
        <v>0.303448412</v>
      </c>
      <c r="F182" s="13">
        <v>5.8278214960000003</v>
      </c>
      <c r="G182" s="13">
        <v>0.42337012699999998</v>
      </c>
      <c r="H182">
        <v>4.5177001949999998</v>
      </c>
      <c r="I182" s="13">
        <v>0.33029998199999999</v>
      </c>
      <c r="J182">
        <f>SUM(L182:Q182)</f>
        <v>4.7494356155916755</v>
      </c>
      <c r="K182">
        <f>0.5*SIN(RADIANS(60))*((L182*M182)+(M182*N182)+(N182*O182)+(O182*P182)+(P182*Q182)+(Q182*L182))</f>
        <v>1.6249592989176618</v>
      </c>
      <c r="L182">
        <f>(MAX(D:D)-D182)/(MAX(D:D)-MIN(D:D))</f>
        <v>0.67011736097881247</v>
      </c>
      <c r="M182">
        <f>(MAX(E:E)-E182)/(MAX(E:E)-MIN(E:E))</f>
        <v>0.81813444277064273</v>
      </c>
      <c r="N182">
        <f>(MAX(F:F)-F182)/(MAX(F:F)-MIN(F:F))</f>
        <v>0.77528968288252165</v>
      </c>
      <c r="O182">
        <f>(MAX(G:G)-G182)/(MAX(G:G)-MIN(G:G))</f>
        <v>0.82054506249628967</v>
      </c>
      <c r="P182">
        <f>(MAX(H:H)-H182)/(MAX(H:H)-MIN(H:H))</f>
        <v>0.82879797747740291</v>
      </c>
      <c r="Q182">
        <f>(MAX(I:I)-I182)/(MAX(I:I)-MIN(I:I))</f>
        <v>0.83655108898600583</v>
      </c>
    </row>
    <row r="183" spans="1:17" x14ac:dyDescent="0.6">
      <c r="A183">
        <v>5</v>
      </c>
      <c r="B183" t="s">
        <v>9</v>
      </c>
      <c r="C183" t="s">
        <v>174</v>
      </c>
      <c r="D183">
        <v>7.5260731209999996</v>
      </c>
      <c r="E183">
        <v>0.30478380700000002</v>
      </c>
      <c r="F183">
        <v>5.8091787359999998</v>
      </c>
      <c r="G183">
        <v>0.42566166300000002</v>
      </c>
      <c r="H183">
        <v>4.993164063</v>
      </c>
      <c r="I183">
        <v>0.36733003600000003</v>
      </c>
      <c r="J183">
        <f>SUM(L183:Q183)</f>
        <v>4.4048164213242211</v>
      </c>
      <c r="K183">
        <f>0.5*SIN(RADIANS(60))*((L183*M183)+(M183*N183)+(N183*O183)+(O183*P183)+(P183*Q183)+(Q183*L183))</f>
        <v>1.4030960079334518</v>
      </c>
      <c r="L183">
        <f>(MAX(D:D)-D183)/(MAX(D:D)-MIN(D:D))</f>
        <v>0.68476511331644341</v>
      </c>
      <c r="M183">
        <f>(MAX(E:E)-E183)/(MAX(E:E)-MIN(E:E))</f>
        <v>0.81326263235183172</v>
      </c>
      <c r="N183">
        <f>(MAX(F:F)-F183)/(MAX(F:F)-MIN(F:F))</f>
        <v>0.78316992721507117</v>
      </c>
      <c r="O183">
        <f>(MAX(G:G)-G183)/(MAX(G:G)-MIN(G:G))</f>
        <v>0.80883632007001893</v>
      </c>
      <c r="P183">
        <f>(MAX(H:H)-H183)/(MAX(H:H)-MIN(H:H))</f>
        <v>0.64975867589932945</v>
      </c>
      <c r="Q183">
        <f>(MAX(I:I)-I183)/(MAX(I:I)-MIN(I:I))</f>
        <v>0.66502375247152656</v>
      </c>
    </row>
    <row r="184" spans="1:17" x14ac:dyDescent="0.6">
      <c r="A184">
        <v>60</v>
      </c>
      <c r="B184" t="s">
        <v>9</v>
      </c>
      <c r="C184" t="s">
        <v>8</v>
      </c>
      <c r="D184">
        <v>7.5538931319999998</v>
      </c>
      <c r="E184">
        <v>0.30560981799999998</v>
      </c>
      <c r="F184">
        <v>5.7484637169999999</v>
      </c>
      <c r="G184">
        <v>0.419201869</v>
      </c>
      <c r="H184">
        <v>4.5098266599999999</v>
      </c>
      <c r="I184">
        <v>0.32744125800000001</v>
      </c>
      <c r="J184">
        <f>SUM(L184:Q184)</f>
        <v>4.8173010152669571</v>
      </c>
      <c r="K184">
        <f>0.5*SIN(RADIANS(60))*((L184*M184)+(M184*N184)+(N184*O184)+(O184*P184)+(P184*Q184)+(Q184*L184))</f>
        <v>1.6729602853980394</v>
      </c>
      <c r="L184">
        <f>(MAX(D:D)-D184)/(MAX(D:D)-MIN(D:D))</f>
        <v>0.67481898800946449</v>
      </c>
      <c r="M184">
        <f>(MAX(E:E)-E184)/(MAX(E:E)-MIN(E:E))</f>
        <v>0.81024916517855927</v>
      </c>
      <c r="N184">
        <f>(MAX(F:F)-F184)/(MAX(F:F)-MIN(F:F))</f>
        <v>0.8088340018679322</v>
      </c>
      <c r="O184">
        <f>(MAX(G:G)-G184)/(MAX(G:G)-MIN(G:G))</f>
        <v>0.84184303001163363</v>
      </c>
      <c r="P184">
        <f>(MAX(H:H)-H184)/(MAX(H:H)-MIN(H:H))</f>
        <v>0.83176281308789879</v>
      </c>
      <c r="Q184">
        <f>(MAX(I:I)-I184)/(MAX(I:I)-MIN(I:I))</f>
        <v>0.84979301711146893</v>
      </c>
    </row>
    <row r="185" spans="1:17" x14ac:dyDescent="0.6">
      <c r="A185">
        <v>30</v>
      </c>
      <c r="B185" t="s">
        <v>9</v>
      </c>
      <c r="C185" t="s">
        <v>167</v>
      </c>
      <c r="D185">
        <v>7.5860740230000001</v>
      </c>
      <c r="E185">
        <v>0.30612790299999998</v>
      </c>
      <c r="F185">
        <v>5.9595176920000004</v>
      </c>
      <c r="G185">
        <v>0.43484306700000003</v>
      </c>
      <c r="H185">
        <v>4.9299926760000004</v>
      </c>
      <c r="I185">
        <v>0.35561045299999999</v>
      </c>
      <c r="J185">
        <f>SUM(L185:Q185)</f>
        <v>4.3460747656873675</v>
      </c>
      <c r="K185">
        <f>0.5*SIN(RADIANS(60))*((L185*M185)+(M185*N185)+(N185*O185)+(O185*P185)+(P185*Q185)+(Q185*L185))</f>
        <v>1.3600986705256597</v>
      </c>
      <c r="L185">
        <f>(MAX(D:D)-D185)/(MAX(D:D)-MIN(D:D))</f>
        <v>0.66331377421295556</v>
      </c>
      <c r="M185">
        <f>(MAX(E:E)-E185)/(MAX(E:E)-MIN(E:E))</f>
        <v>0.80835907879900137</v>
      </c>
      <c r="N185">
        <f>(MAX(F:F)-F185)/(MAX(F:F)-MIN(F:F))</f>
        <v>0.71962205630001441</v>
      </c>
      <c r="O185">
        <f>(MAX(G:G)-G185)/(MAX(G:G)-MIN(G:G))</f>
        <v>0.7619233784677355</v>
      </c>
      <c r="P185">
        <f>(MAX(H:H)-H185)/(MAX(H:H)-MIN(H:H))</f>
        <v>0.6735463110266281</v>
      </c>
      <c r="Q185">
        <f>(MAX(I:I)-I185)/(MAX(I:I)-MIN(I:I))</f>
        <v>0.71931016688103233</v>
      </c>
    </row>
    <row r="186" spans="1:17" x14ac:dyDescent="0.6">
      <c r="A186">
        <v>5</v>
      </c>
      <c r="B186" t="s">
        <v>9</v>
      </c>
      <c r="C186" t="s">
        <v>171</v>
      </c>
      <c r="D186">
        <v>7.555311992</v>
      </c>
      <c r="E186">
        <v>0.306399427</v>
      </c>
      <c r="F186">
        <v>5.8581225899999998</v>
      </c>
      <c r="G186">
        <v>0.42890978600000002</v>
      </c>
      <c r="H186">
        <v>4.682617188</v>
      </c>
      <c r="I186">
        <v>0.34415055300000003</v>
      </c>
      <c r="J186">
        <f>SUM(L186:Q186)</f>
        <v>4.5754925637592319</v>
      </c>
      <c r="K186">
        <f>0.5*SIN(RADIANS(60))*((L186*M186)+(M186*N186)+(N186*O186)+(O186*P186)+(P186*Q186)+(Q186*L186))</f>
        <v>1.5088432598404471</v>
      </c>
      <c r="L186">
        <f>(MAX(D:D)-D186)/(MAX(D:D)-MIN(D:D))</f>
        <v>0.67431172151869778</v>
      </c>
      <c r="M186">
        <f>(MAX(E:E)-E186)/(MAX(E:E)-MIN(E:E))</f>
        <v>0.80736850039174557</v>
      </c>
      <c r="N186">
        <f>(MAX(F:F)-F186)/(MAX(F:F)-MIN(F:F))</f>
        <v>0.76248149223566786</v>
      </c>
      <c r="O186">
        <f>(MAX(G:G)-G186)/(MAX(G:G)-MIN(G:G))</f>
        <v>0.7922398382447956</v>
      </c>
      <c r="P186">
        <f>(MAX(H:H)-H186)/(MAX(H:H)-MIN(H:H))</f>
        <v>0.76669731067115876</v>
      </c>
      <c r="Q186">
        <f>(MAX(I:I)-I186)/(MAX(I:I)-MIN(I:I))</f>
        <v>0.77239370069716651</v>
      </c>
    </row>
    <row r="187" spans="1:17" x14ac:dyDescent="0.6">
      <c r="A187">
        <v>90</v>
      </c>
      <c r="B187" t="s">
        <v>9</v>
      </c>
      <c r="C187" t="s">
        <v>7</v>
      </c>
      <c r="D187">
        <v>7.6237277749999999</v>
      </c>
      <c r="E187">
        <v>0.30664734100000002</v>
      </c>
      <c r="F187" s="13">
        <v>5.9513658500000002</v>
      </c>
      <c r="G187" s="13">
        <v>0.43191930499999998</v>
      </c>
      <c r="H187">
        <v>4.6381225590000001</v>
      </c>
      <c r="I187" s="13">
        <v>0.33464390100000002</v>
      </c>
      <c r="J187">
        <f>SUM(L187:Q187)</f>
        <v>4.5561279640678123</v>
      </c>
      <c r="K187">
        <f>0.5*SIN(RADIANS(60))*((L187*M187)+(M187*N187)+(N187*O187)+(O187*P187)+(P187*Q187)+(Q187*L187))</f>
        <v>1.4929243204258058</v>
      </c>
      <c r="L187">
        <f>(MAX(D:D)-D187)/(MAX(D:D)-MIN(D:D))</f>
        <v>0.64985191987832214</v>
      </c>
      <c r="M187">
        <f>(MAX(E:E)-E187)/(MAX(E:E)-MIN(E:E))</f>
        <v>0.80646405638216856</v>
      </c>
      <c r="N187">
        <f>(MAX(F:F)-F187)/(MAX(F:F)-MIN(F:F))</f>
        <v>0.72306781791043784</v>
      </c>
      <c r="O187">
        <f>(MAX(G:G)-G187)/(MAX(G:G)-MIN(G:G))</f>
        <v>0.77686251805520801</v>
      </c>
      <c r="P187">
        <f>(MAX(H:H)-H187)/(MAX(H:H)-MIN(H:H))</f>
        <v>0.78345207972152842</v>
      </c>
      <c r="Q187">
        <f>(MAX(I:I)-I187)/(MAX(I:I)-MIN(I:I))</f>
        <v>0.81642957212014755</v>
      </c>
    </row>
    <row r="188" spans="1:17" x14ac:dyDescent="0.6">
      <c r="A188">
        <v>90</v>
      </c>
      <c r="B188" t="s">
        <v>99</v>
      </c>
      <c r="C188" t="s">
        <v>181</v>
      </c>
      <c r="D188">
        <v>7.6098460560000003</v>
      </c>
      <c r="E188">
        <v>0.30686392699999998</v>
      </c>
      <c r="F188" s="13">
        <v>5.8823024799999999</v>
      </c>
      <c r="G188" s="13">
        <v>0.427302609</v>
      </c>
      <c r="H188">
        <v>4.6994628909999996</v>
      </c>
      <c r="I188" s="13">
        <v>0.33613069499999998</v>
      </c>
      <c r="J188">
        <f>SUM(L188:Q188)</f>
        <v>4.5830978161251279</v>
      </c>
      <c r="K188">
        <f>0.5*SIN(RADIANS(60))*((L188*M188)+(M188*N188)+(N188*O188)+(O188*P188)+(P188*Q188)+(Q188*L188))</f>
        <v>1.5112397146215146</v>
      </c>
      <c r="L188">
        <f>(MAX(D:D)-D188)/(MAX(D:D)-MIN(D:D))</f>
        <v>0.65481486962878288</v>
      </c>
      <c r="M188">
        <f>(MAX(E:E)-E188)/(MAX(E:E)-MIN(E:E))</f>
        <v>0.80567390370721592</v>
      </c>
      <c r="N188">
        <f>(MAX(F:F)-F188)/(MAX(F:F)-MIN(F:F))</f>
        <v>0.75226071799761696</v>
      </c>
      <c r="O188">
        <f>(MAX(G:G)-G188)/(MAX(G:G)-MIN(G:G))</f>
        <v>0.80045180677875116</v>
      </c>
      <c r="P188">
        <f>(MAX(H:H)-H188)/(MAX(H:H)-MIN(H:H))</f>
        <v>0.76035394137919066</v>
      </c>
      <c r="Q188">
        <f>(MAX(I:I)-I188)/(MAX(I:I)-MIN(I:I))</f>
        <v>0.80954257663357054</v>
      </c>
    </row>
    <row r="189" spans="1:17" x14ac:dyDescent="0.6">
      <c r="A189">
        <v>10</v>
      </c>
      <c r="B189" t="s">
        <v>9</v>
      </c>
      <c r="C189" t="s">
        <v>8</v>
      </c>
      <c r="D189">
        <v>7.5700877000000002</v>
      </c>
      <c r="E189">
        <v>0.30700049499999998</v>
      </c>
      <c r="F189">
        <v>5.8563513289999998</v>
      </c>
      <c r="G189">
        <v>0.42847433499999998</v>
      </c>
      <c r="H189">
        <v>4.713378906</v>
      </c>
      <c r="I189">
        <v>0.347972895</v>
      </c>
      <c r="J189">
        <f>SUM(L189:Q189)</f>
        <v>4.5417017842205931</v>
      </c>
      <c r="K189">
        <f>0.5*SIN(RADIANS(60))*((L189*M189)+(M189*N189)+(N189*O189)+(O189*P189)+(P189*Q189)+(Q189*L189))</f>
        <v>1.4870847267885712</v>
      </c>
      <c r="L189">
        <f>(MAX(D:D)-D189)/(MAX(D:D)-MIN(D:D))</f>
        <v>0.6690291555532375</v>
      </c>
      <c r="M189">
        <f>(MAX(E:E)-E189)/(MAX(E:E)-MIN(E:E))</f>
        <v>0.80517567404088031</v>
      </c>
      <c r="N189">
        <f>(MAX(F:F)-F189)/(MAX(F:F)-MIN(F:F))</f>
        <v>0.76323019947948345</v>
      </c>
      <c r="O189">
        <f>(MAX(G:G)-G189)/(MAX(G:G)-MIN(G:G))</f>
        <v>0.79446480158740174</v>
      </c>
      <c r="P189">
        <f>(MAX(H:H)-H189)/(MAX(H:H)-MIN(H:H))</f>
        <v>0.75511376694315957</v>
      </c>
      <c r="Q189">
        <f>(MAX(I:I)-I189)/(MAX(I:I)-MIN(I:I))</f>
        <v>0.75468818661643022</v>
      </c>
    </row>
    <row r="190" spans="1:17" x14ac:dyDescent="0.6">
      <c r="A190">
        <v>30</v>
      </c>
      <c r="B190" t="s">
        <v>9</v>
      </c>
      <c r="C190" t="s">
        <v>171</v>
      </c>
      <c r="D190">
        <v>7.5494601919999997</v>
      </c>
      <c r="E190">
        <v>0.30704520400000002</v>
      </c>
      <c r="F190">
        <v>5.7602390919999999</v>
      </c>
      <c r="G190">
        <v>0.42193719400000002</v>
      </c>
      <c r="H190">
        <v>4.4500122070000003</v>
      </c>
      <c r="I190">
        <v>0.32860352100000001</v>
      </c>
      <c r="J190">
        <f>SUM(L190:Q190)</f>
        <v>4.8118353646711007</v>
      </c>
      <c r="K190">
        <f>0.5*SIN(RADIANS(60))*((L190*M190)+(M190*N190)+(N190*O190)+(O190*P190)+(P190*Q190)+(Q190*L190))</f>
        <v>1.670077439109007</v>
      </c>
      <c r="L190">
        <f>(MAX(D:D)-D190)/(MAX(D:D)-MIN(D:D))</f>
        <v>0.67640383916995894</v>
      </c>
      <c r="M190">
        <f>(MAX(E:E)-E190)/(MAX(E:E)-MIN(E:E))</f>
        <v>0.80501256591780457</v>
      </c>
      <c r="N190">
        <f>(MAX(F:F)-F190)/(MAX(F:F)-MIN(F:F))</f>
        <v>0.80385658263883775</v>
      </c>
      <c r="O190">
        <f>(MAX(G:G)-G190)/(MAX(G:G)-MIN(G:G))</f>
        <v>0.82786672072513823</v>
      </c>
      <c r="P190">
        <f>(MAX(H:H)-H190)/(MAX(H:H)-MIN(H:H))</f>
        <v>0.85428637083886205</v>
      </c>
      <c r="Q190">
        <f>(MAX(I:I)-I190)/(MAX(I:I)-MIN(I:I))</f>
        <v>0.84440928538049898</v>
      </c>
    </row>
    <row r="191" spans="1:17" x14ac:dyDescent="0.6">
      <c r="A191">
        <v>30</v>
      </c>
      <c r="B191" t="s">
        <v>9</v>
      </c>
      <c r="C191" t="s">
        <v>8</v>
      </c>
      <c r="D191">
        <v>7.6305046079999999</v>
      </c>
      <c r="E191">
        <v>0.30891904799999997</v>
      </c>
      <c r="F191">
        <v>5.8908187720000003</v>
      </c>
      <c r="G191">
        <v>0.42947208599999998</v>
      </c>
      <c r="H191">
        <v>4.8965454099999999</v>
      </c>
      <c r="I191">
        <v>0.36789645500000001</v>
      </c>
      <c r="J191">
        <f>SUM(L191:Q191)</f>
        <v>4.332174254177076</v>
      </c>
      <c r="K191">
        <f>0.5*SIN(RADIANS(60))*((L191*M191)+(M191*N191)+(N191*O191)+(O191*P191)+(P191*Q191)+(Q191*L191))</f>
        <v>1.3554457983531543</v>
      </c>
      <c r="L191">
        <f>(MAX(D:D)-D191)/(MAX(D:D)-MIN(D:D))</f>
        <v>0.64742908725606085</v>
      </c>
      <c r="M191">
        <f>(MAX(E:E)-E191)/(MAX(E:E)-MIN(E:E))</f>
        <v>0.79817637683335685</v>
      </c>
      <c r="N191">
        <f>(MAX(F:F)-F191)/(MAX(F:F)-MIN(F:F))</f>
        <v>0.7486609043558955</v>
      </c>
      <c r="O191">
        <f>(MAX(G:G)-G191)/(MAX(G:G)-MIN(G:G))</f>
        <v>0.78936673222931453</v>
      </c>
      <c r="P191">
        <f>(MAX(H:H)-H191)/(MAX(H:H)-MIN(H:H))</f>
        <v>0.68614111695694147</v>
      </c>
      <c r="Q191">
        <f>(MAX(I:I)-I191)/(MAX(I:I)-MIN(I:I))</f>
        <v>0.66240003654550628</v>
      </c>
    </row>
    <row r="192" spans="1:17" x14ac:dyDescent="0.6">
      <c r="A192">
        <v>30</v>
      </c>
      <c r="B192" t="s">
        <v>9</v>
      </c>
      <c r="C192" t="s">
        <v>181</v>
      </c>
      <c r="D192">
        <v>7.6559406939999999</v>
      </c>
      <c r="E192">
        <v>0.31150548900000002</v>
      </c>
      <c r="F192">
        <v>6.1104576330000002</v>
      </c>
      <c r="G192">
        <v>0.44575702</v>
      </c>
      <c r="H192">
        <v>4.8057861329999998</v>
      </c>
      <c r="I192">
        <v>0.35668302200000002</v>
      </c>
      <c r="J192">
        <f>SUM(L192:Q192)</f>
        <v>4.2237128341433934</v>
      </c>
      <c r="K192">
        <f>0.5*SIN(RADIANS(60))*((L192*M192)+(M192*N192)+(N192*O192)+(O192*P192)+(P192*Q192)+(Q192*L192))</f>
        <v>1.2830449206720393</v>
      </c>
      <c r="L192">
        <f>(MAX(D:D)-D192)/(MAX(D:D)-MIN(D:D))</f>
        <v>0.63833525552913983</v>
      </c>
      <c r="M192">
        <f>(MAX(E:E)-E192)/(MAX(E:E)-MIN(E:E))</f>
        <v>0.78874047943113501</v>
      </c>
      <c r="N192">
        <f>(MAX(F:F)-F192)/(MAX(F:F)-MIN(F:F))</f>
        <v>0.65582015064760157</v>
      </c>
      <c r="O192">
        <f>(MAX(G:G)-G192)/(MAX(G:G)-MIN(G:G))</f>
        <v>0.70615787247986439</v>
      </c>
      <c r="P192">
        <f>(MAX(H:H)-H192)/(MAX(H:H)-MIN(H:H))</f>
        <v>0.72031716830267889</v>
      </c>
      <c r="Q192">
        <f>(MAX(I:I)-I192)/(MAX(I:I)-MIN(I:I))</f>
        <v>0.71434190775297368</v>
      </c>
    </row>
    <row r="193" spans="1:17" x14ac:dyDescent="0.6">
      <c r="A193">
        <v>90</v>
      </c>
      <c r="B193" t="s">
        <v>9</v>
      </c>
      <c r="C193" t="s">
        <v>171</v>
      </c>
      <c r="D193">
        <v>7.6994646800000002</v>
      </c>
      <c r="E193">
        <v>0.31297444299999999</v>
      </c>
      <c r="F193">
        <v>6.0165756430000004</v>
      </c>
      <c r="G193">
        <v>0.43660273199999999</v>
      </c>
      <c r="H193">
        <v>4.694824219</v>
      </c>
      <c r="I193">
        <v>0.34256580199999997</v>
      </c>
      <c r="J193">
        <f>SUM(L193:Q193)</f>
        <v>4.3964272977986516</v>
      </c>
      <c r="K193">
        <f>0.5*SIN(RADIANS(60))*((L193*M193)+(M193*N193)+(N193*O193)+(O193*P193)+(P193*Q193)+(Q193*L193))</f>
        <v>1.3899826132940929</v>
      </c>
      <c r="L193">
        <f>(MAX(D:D)-D193)/(MAX(D:D)-MIN(D:D))</f>
        <v>0.6227746930759045</v>
      </c>
      <c r="M193">
        <f>(MAX(E:E)-E193)/(MAX(E:E)-MIN(E:E))</f>
        <v>0.78338141683021634</v>
      </c>
      <c r="N193">
        <f>(MAX(F:F)-F193)/(MAX(F:F)-MIN(F:F))</f>
        <v>0.69550381441980857</v>
      </c>
      <c r="O193">
        <f>(MAX(G:G)-G193)/(MAX(G:G)-MIN(G:G))</f>
        <v>0.75293226323257323</v>
      </c>
      <c r="P193">
        <f>(MAX(H:H)-H193)/(MAX(H:H)-MIN(H:H))</f>
        <v>0.7621006663167198</v>
      </c>
      <c r="Q193">
        <f>(MAX(I:I)-I193)/(MAX(I:I)-MIN(I:I))</f>
        <v>0.77973444392342983</v>
      </c>
    </row>
    <row r="194" spans="1:17" x14ac:dyDescent="0.6">
      <c r="A194">
        <v>60</v>
      </c>
      <c r="B194" t="s">
        <v>6</v>
      </c>
      <c r="C194" t="s">
        <v>7</v>
      </c>
      <c r="D194">
        <v>7.6476130290000004</v>
      </c>
      <c r="E194">
        <v>0.31321900499999999</v>
      </c>
      <c r="F194">
        <v>5.8081255829999998</v>
      </c>
      <c r="G194">
        <v>0.42361236699999999</v>
      </c>
      <c r="H194">
        <v>4.7575073239999996</v>
      </c>
      <c r="I194">
        <v>0.349641074</v>
      </c>
      <c r="J194">
        <f>SUM(L194:Q194)</f>
        <v>4.5121820460020512</v>
      </c>
      <c r="K194">
        <f>0.5*SIN(RADIANS(60))*((L194*M194)+(M194*N194)+(N194*O194)+(O194*P194)+(P194*Q194)+(Q194*L194))</f>
        <v>1.4690959678624931</v>
      </c>
      <c r="L194">
        <f>(MAX(D:D)-D194)/(MAX(D:D)-MIN(D:D))</f>
        <v>0.64131253686826428</v>
      </c>
      <c r="M194">
        <f>(MAX(E:E)-E194)/(MAX(E:E)-MIN(E:E))</f>
        <v>0.78248920164321534</v>
      </c>
      <c r="N194">
        <f>(MAX(F:F)-F194)/(MAX(F:F)-MIN(F:F))</f>
        <v>0.78361509214556191</v>
      </c>
      <c r="O194">
        <f>(MAX(G:G)-G194)/(MAX(G:G)-MIN(G:G))</f>
        <v>0.81930732249772986</v>
      </c>
      <c r="P194">
        <f>(MAX(H:H)-H194)/(MAX(H:H)-MIN(H:H))</f>
        <v>0.73849689724978207</v>
      </c>
      <c r="Q194">
        <f>(MAX(I:I)-I194)/(MAX(I:I)-MIN(I:I))</f>
        <v>0.74696099559749773</v>
      </c>
    </row>
    <row r="195" spans="1:17" x14ac:dyDescent="0.6">
      <c r="A195">
        <v>90</v>
      </c>
      <c r="B195" s="31" t="s">
        <v>9</v>
      </c>
      <c r="C195" s="31" t="s">
        <v>174</v>
      </c>
      <c r="D195" s="31">
        <v>7.698632269</v>
      </c>
      <c r="E195">
        <v>0.31373632299999998</v>
      </c>
      <c r="F195" s="31">
        <v>5.9821116830000003</v>
      </c>
      <c r="G195" s="31">
        <v>0.43451663099999999</v>
      </c>
      <c r="H195" s="31">
        <v>4.9730224610000002</v>
      </c>
      <c r="I195" s="31">
        <v>0.35725420099999999</v>
      </c>
      <c r="J195">
        <f>SUM(L195:Q195)</f>
        <v>4.2463764502719741</v>
      </c>
      <c r="K195">
        <f>0.5*SIN(RADIANS(60))*((L195*M195)+(M195*N195)+(N195*O195)+(O195*P195)+(P195*Q195)+(Q195*L195))</f>
        <v>1.2973352778904841</v>
      </c>
      <c r="L195">
        <f>(MAX(D:D)-D195)/(MAX(D:D)-MIN(D:D))</f>
        <v>0.62307229411254361</v>
      </c>
      <c r="M195">
        <f>(MAX(E:E)-E195)/(MAX(E:E)-MIN(E:E))</f>
        <v>0.78060191344591168</v>
      </c>
      <c r="N195">
        <f>(MAX(F:F)-F195)/(MAX(F:F)-MIN(F:F))</f>
        <v>0.71007163728869749</v>
      </c>
      <c r="O195">
        <f>(MAX(G:G)-G195)/(MAX(G:G)-MIN(G:G))</f>
        <v>0.76359132304406452</v>
      </c>
      <c r="P195">
        <f>(MAX(H:H)-H195)/(MAX(H:H)-MIN(H:H))</f>
        <v>0.65734313940422706</v>
      </c>
      <c r="Q195">
        <f>(MAX(I:I)-I195)/(MAX(I:I)-MIN(I:I))</f>
        <v>0.71169614297653028</v>
      </c>
    </row>
    <row r="196" spans="1:17" x14ac:dyDescent="0.6">
      <c r="A196">
        <v>90</v>
      </c>
      <c r="B196" t="s">
        <v>9</v>
      </c>
      <c r="C196" t="s">
        <v>167</v>
      </c>
      <c r="D196">
        <v>7.6604377880000003</v>
      </c>
      <c r="E196">
        <v>0.31437827899999998</v>
      </c>
      <c r="F196">
        <v>5.7231328259999996</v>
      </c>
      <c r="G196">
        <v>0.417059393</v>
      </c>
      <c r="H196">
        <v>4.6436157229999999</v>
      </c>
      <c r="I196">
        <v>0.33006569200000002</v>
      </c>
      <c r="J196">
        <f>SUM(L196:Q196)</f>
        <v>4.7063387655847473</v>
      </c>
      <c r="K196">
        <f>0.5*SIN(RADIANS(60))*((L196*M196)+(M196*N196)+(N196*O196)+(O196*P196)+(P196*Q196)+(Q196*L196))</f>
        <v>1.5962883106600887</v>
      </c>
      <c r="L196">
        <f>(MAX(D:D)-D196)/(MAX(D:D)-MIN(D:D))</f>
        <v>0.63672746822663784</v>
      </c>
      <c r="M196">
        <f>(MAX(E:E)-E196)/(MAX(E:E)-MIN(E:E))</f>
        <v>0.77825991880820655</v>
      </c>
      <c r="N196">
        <f>(MAX(F:F)-F196)/(MAX(F:F)-MIN(F:F))</f>
        <v>0.81954130112196844</v>
      </c>
      <c r="O196">
        <f>(MAX(G:G)-G196)/(MAX(G:G)-MIN(G:G))</f>
        <v>0.8527901413109833</v>
      </c>
      <c r="P196">
        <f>(MAX(H:H)-H196)/(MAX(H:H)-MIN(H:H))</f>
        <v>0.7813835897432031</v>
      </c>
      <c r="Q196">
        <f>(MAX(I:I)-I196)/(MAX(I:I)-MIN(I:I))</f>
        <v>0.83763634637374751</v>
      </c>
    </row>
    <row r="197" spans="1:17" x14ac:dyDescent="0.6">
      <c r="A197">
        <v>10</v>
      </c>
      <c r="B197" t="s">
        <v>9</v>
      </c>
      <c r="C197" t="s">
        <v>181</v>
      </c>
      <c r="D197">
        <v>7.6736323930000001</v>
      </c>
      <c r="E197">
        <v>0.31451542700000001</v>
      </c>
      <c r="F197">
        <v>6.0577279150000001</v>
      </c>
      <c r="G197">
        <v>0.442869919</v>
      </c>
      <c r="H197">
        <v>4.7322387700000004</v>
      </c>
      <c r="I197">
        <v>0.35045555499999997</v>
      </c>
      <c r="J197">
        <f>SUM(L197:Q197)</f>
        <v>4.2999884769756518</v>
      </c>
      <c r="K197">
        <f>0.5*SIN(RADIANS(60))*((L197*M197)+(M197*N197)+(N197*O197)+(O197*P197)+(P197*Q197)+(Q197*L197))</f>
        <v>1.3305086596293276</v>
      </c>
      <c r="L197">
        <f>(MAX(D:D)-D197)/(MAX(D:D)-MIN(D:D))</f>
        <v>0.63201017337344434</v>
      </c>
      <c r="M197">
        <f>(MAX(E:E)-E197)/(MAX(E:E)-MIN(E:E))</f>
        <v>0.77775957317615074</v>
      </c>
      <c r="N197">
        <f>(MAX(F:F)-F197)/(MAX(F:F)-MIN(F:F))</f>
        <v>0.67810886012122162</v>
      </c>
      <c r="O197">
        <f>(MAX(G:G)-G197)/(MAX(G:G)-MIN(G:G))</f>
        <v>0.72090969046030551</v>
      </c>
      <c r="P197">
        <f>(MAX(H:H)-H197)/(MAX(H:H)-MIN(H:H))</f>
        <v>0.74801195099945561</v>
      </c>
      <c r="Q197">
        <f>(MAX(I:I)-I197)/(MAX(I:I)-MIN(I:I))</f>
        <v>0.74318822884507418</v>
      </c>
    </row>
    <row r="198" spans="1:17" x14ac:dyDescent="0.6">
      <c r="A198">
        <v>60</v>
      </c>
      <c r="B198" t="s">
        <v>99</v>
      </c>
      <c r="C198" t="s">
        <v>184</v>
      </c>
      <c r="D198">
        <v>7.7454439849999996</v>
      </c>
      <c r="E198">
        <v>0.317733767</v>
      </c>
      <c r="F198">
        <v>6.0763272370000001</v>
      </c>
      <c r="G198">
        <v>0.44181479699999998</v>
      </c>
      <c r="H198">
        <v>4.8731079099999999</v>
      </c>
      <c r="I198">
        <v>0.35573152899999999</v>
      </c>
      <c r="J198">
        <f>SUM(L198:Q198)</f>
        <v>4.1826185647282248</v>
      </c>
      <c r="K198">
        <f>0.5*SIN(RADIANS(60))*((L198*M198)+(M198*N198)+(N198*O198)+(O198*P198)+(P198*Q198)+(Q198*L198))</f>
        <v>1.2577948605504954</v>
      </c>
      <c r="L198">
        <f>(MAX(D:D)-D198)/(MAX(D:D)-MIN(D:D))</f>
        <v>0.60633631247793174</v>
      </c>
      <c r="M198">
        <f>(MAX(E:E)-E198)/(MAX(E:E)-MIN(E:E))</f>
        <v>0.76601837125216876</v>
      </c>
      <c r="N198">
        <f>(MAX(F:F)-F198)/(MAX(F:F)-MIN(F:F))</f>
        <v>0.67024697691402702</v>
      </c>
      <c r="O198">
        <f>(MAX(G:G)-G198)/(MAX(G:G)-MIN(G:G))</f>
        <v>0.72630090042876849</v>
      </c>
      <c r="P198">
        <f>(MAX(H:H)-H198)/(MAX(H:H)-MIN(H:H))</f>
        <v>0.69496667429821168</v>
      </c>
      <c r="Q198">
        <f>(MAX(I:I)-I198)/(MAX(I:I)-MIN(I:I))</f>
        <v>0.71874932935711655</v>
      </c>
    </row>
    <row r="199" spans="1:17" x14ac:dyDescent="0.6">
      <c r="A199">
        <v>90</v>
      </c>
      <c r="B199" t="s">
        <v>9</v>
      </c>
      <c r="C199" t="s">
        <v>177</v>
      </c>
      <c r="D199">
        <v>7.7585138059999998</v>
      </c>
      <c r="E199">
        <v>0.32037516700000002</v>
      </c>
      <c r="F199" s="13">
        <v>6.0094596129999998</v>
      </c>
      <c r="G199" s="13">
        <v>0.43744283499999997</v>
      </c>
      <c r="H199">
        <v>4.6333618159999999</v>
      </c>
      <c r="I199">
        <v>0.32960342399999998</v>
      </c>
      <c r="J199">
        <f>SUM(L199:Q199)</f>
        <v>4.4302194431512767</v>
      </c>
      <c r="K199">
        <f>0.5*SIN(RADIANS(60))*((L199*M199)+(M199*N199)+(N199*O199)+(O199*P199)+(P199*Q199)+(Q199*L199))</f>
        <v>1.4111550061277618</v>
      </c>
      <c r="L199">
        <f>(MAX(D:D)-D199)/(MAX(D:D)-MIN(D:D))</f>
        <v>0.60166363001904322</v>
      </c>
      <c r="M199">
        <f>(MAX(E:E)-E199)/(MAX(E:E)-MIN(E:E))</f>
        <v>0.75638197150509234</v>
      </c>
      <c r="N199">
        <f>(MAX(F:F)-F199)/(MAX(F:F)-MIN(F:F))</f>
        <v>0.69851174109363556</v>
      </c>
      <c r="O199">
        <f>(MAX(G:G)-G199)/(MAX(G:G)-MIN(G:G))</f>
        <v>0.74863970590921591</v>
      </c>
      <c r="P199">
        <f>(MAX(H:H)-H199)/(MAX(H:H)-MIN(H:H))</f>
        <v>0.78524477136242665</v>
      </c>
      <c r="Q199">
        <f>(MAX(I:I)-I199)/(MAX(I:I)-MIN(I:I))</f>
        <v>0.83977762326186345</v>
      </c>
    </row>
    <row r="200" spans="1:17" x14ac:dyDescent="0.6">
      <c r="A200">
        <v>20</v>
      </c>
      <c r="B200" t="s">
        <v>99</v>
      </c>
      <c r="C200" t="s">
        <v>181</v>
      </c>
      <c r="D200">
        <v>7.7886830170000003</v>
      </c>
      <c r="E200">
        <v>0.321408215</v>
      </c>
      <c r="F200">
        <v>6.1441819930000001</v>
      </c>
      <c r="G200">
        <v>0.44815480099999999</v>
      </c>
      <c r="H200">
        <v>5.1013183590000004</v>
      </c>
      <c r="I200">
        <v>0.37490279900000001</v>
      </c>
      <c r="J200">
        <f>SUM(L200:Q200)</f>
        <v>3.9179403106704975</v>
      </c>
      <c r="K200">
        <f>0.5*SIN(RADIANS(60))*((L200*M200)+(M200*N200)+(N200*O200)+(O200*P200)+(P200*Q200)+(Q200*L200))</f>
        <v>1.1047142391932447</v>
      </c>
      <c r="L200">
        <f>(MAX(D:D)-D200)/(MAX(D:D)-MIN(D:D))</f>
        <v>0.59087762590787707</v>
      </c>
      <c r="M200">
        <f>(MAX(E:E)-E200)/(MAX(E:E)-MIN(E:E))</f>
        <v>0.75261318847869807</v>
      </c>
      <c r="N200">
        <f>(MAX(F:F)-F200)/(MAX(F:F)-MIN(F:F))</f>
        <v>0.64156495470242769</v>
      </c>
      <c r="O200">
        <f>(MAX(G:G)-G200)/(MAX(G:G)-MIN(G:G))</f>
        <v>0.69390626477062256</v>
      </c>
      <c r="P200">
        <f>(MAX(H:H)-H200)/(MAX(H:H)-MIN(H:H))</f>
        <v>0.60903240641441392</v>
      </c>
      <c r="Q200">
        <f>(MAX(I:I)-I200)/(MAX(I:I)-MIN(I:I))</f>
        <v>0.62994587039645877</v>
      </c>
    </row>
    <row r="201" spans="1:17" x14ac:dyDescent="0.6">
      <c r="A201">
        <v>60</v>
      </c>
      <c r="B201" t="s">
        <v>6</v>
      </c>
      <c r="C201" t="s">
        <v>167</v>
      </c>
      <c r="D201">
        <v>7.7816613529999996</v>
      </c>
      <c r="E201">
        <v>0.32546652799999998</v>
      </c>
      <c r="F201">
        <v>5.9491840710000004</v>
      </c>
      <c r="G201">
        <v>0.43443104399999999</v>
      </c>
      <c r="H201">
        <v>4.474609375</v>
      </c>
      <c r="I201">
        <v>0.32742282499999997</v>
      </c>
      <c r="J201">
        <f>SUM(L201:Q201)</f>
        <v>4.5141167908504318</v>
      </c>
      <c r="K201">
        <f>0.5*SIN(RADIANS(60))*((L201*M201)+(M201*N201)+(N201*O201)+(O201*P201)+(P201*Q201)+(Q201*L201))</f>
        <v>1.4693067824090755</v>
      </c>
      <c r="L201">
        <f>(MAX(D:D)-D201)/(MAX(D:D)-MIN(D:D))</f>
        <v>0.5933879897609865</v>
      </c>
      <c r="M201">
        <f>(MAX(E:E)-E201)/(MAX(E:E)-MIN(E:E))</f>
        <v>0.73780758297905524</v>
      </c>
      <c r="N201">
        <f>(MAX(F:F)-F201)/(MAX(F:F)-MIN(F:F))</f>
        <v>0.72399005000480721</v>
      </c>
      <c r="O201">
        <f>(MAX(G:G)-G201)/(MAX(G:G)-MIN(G:G))</f>
        <v>0.76402863502085094</v>
      </c>
      <c r="P201">
        <f>(MAX(H:H)-H201)/(MAX(H:H)-MIN(H:H))</f>
        <v>0.84502413226320972</v>
      </c>
      <c r="Q201">
        <f>(MAX(I:I)-I201)/(MAX(I:I)-MIN(I:I))</f>
        <v>0.84987840082152177</v>
      </c>
    </row>
    <row r="202" spans="1:17" x14ac:dyDescent="0.6">
      <c r="A202">
        <v>5</v>
      </c>
      <c r="B202" t="s">
        <v>9</v>
      </c>
      <c r="C202" t="s">
        <v>181</v>
      </c>
      <c r="D202">
        <v>7.815356467</v>
      </c>
      <c r="E202">
        <v>0.326656057</v>
      </c>
      <c r="F202">
        <v>6.0984082239999999</v>
      </c>
      <c r="G202">
        <v>0.44620880000000002</v>
      </c>
      <c r="H202">
        <v>4.8770751949999998</v>
      </c>
      <c r="I202">
        <v>0.35800665100000001</v>
      </c>
      <c r="J202">
        <f>SUM(L202:Q202)</f>
        <v>4.0812556929995507</v>
      </c>
      <c r="K202">
        <f>0.5*SIN(RADIANS(60))*((L202*M202)+(M202*N202)+(N202*O202)+(O202*P202)+(P202*Q202)+(Q202*L202))</f>
        <v>1.1982652734328441</v>
      </c>
      <c r="L202">
        <f>(MAX(D:D)-D202)/(MAX(D:D)-MIN(D:D))</f>
        <v>0.58134141558540697</v>
      </c>
      <c r="M202">
        <f>(MAX(E:E)-E202)/(MAX(E:E)-MIN(E:E))</f>
        <v>0.73346792334600441</v>
      </c>
      <c r="N202">
        <f>(MAX(F:F)-F202)/(MAX(F:F)-MIN(F:F))</f>
        <v>0.66091340330883963</v>
      </c>
      <c r="O202">
        <f>(MAX(G:G)-G202)/(MAX(G:G)-MIN(G:G))</f>
        <v>0.7038494751196045</v>
      </c>
      <c r="P202">
        <f>(MAX(H:H)-H202)/(MAX(H:H)-MIN(H:H))</f>
        <v>0.69347276491126086</v>
      </c>
      <c r="Q202">
        <f>(MAX(I:I)-I202)/(MAX(I:I)-MIN(I:I))</f>
        <v>0.70821071072843467</v>
      </c>
    </row>
    <row r="203" spans="1:17" x14ac:dyDescent="0.6">
      <c r="A203">
        <v>60</v>
      </c>
      <c r="B203" t="s">
        <v>9</v>
      </c>
      <c r="C203" t="s">
        <v>181</v>
      </c>
      <c r="D203">
        <v>7.9026667240000004</v>
      </c>
      <c r="E203">
        <v>0.33001757199999998</v>
      </c>
      <c r="F203">
        <v>6.269101923</v>
      </c>
      <c r="G203">
        <v>0.45541081700000002</v>
      </c>
      <c r="H203">
        <v>4.9424438479999999</v>
      </c>
      <c r="I203">
        <v>0.35711145100000002</v>
      </c>
      <c r="J203">
        <f>SUM(L203:Q203)</f>
        <v>3.8981388654699654</v>
      </c>
      <c r="K203">
        <f>0.5*SIN(RADIANS(60))*((L203*M203)+(M203*N203)+(N203*O203)+(O203*P203)+(P203*Q203)+(Q203*L203))</f>
        <v>1.0893591588685305</v>
      </c>
      <c r="L203">
        <f>(MAX(D:D)-D203)/(MAX(D:D)-MIN(D:D))</f>
        <v>0.55012651934735279</v>
      </c>
      <c r="M203">
        <f>(MAX(E:E)-E203)/(MAX(E:E)-MIN(E:E))</f>
        <v>0.72120438798756059</v>
      </c>
      <c r="N203">
        <f>(MAX(F:F)-F203)/(MAX(F:F)-MIN(F:F))</f>
        <v>0.58876163746801846</v>
      </c>
      <c r="O203">
        <f>(MAX(G:G)-G203)/(MAX(G:G)-MIN(G:G))</f>
        <v>0.65683121014137036</v>
      </c>
      <c r="P203">
        <f>(MAX(H:H)-H203)/(MAX(H:H)-MIN(H:H))</f>
        <v>0.66885773364200896</v>
      </c>
      <c r="Q203">
        <f>(MAX(I:I)-I203)/(MAX(I:I)-MIN(I:I))</f>
        <v>0.7123573768836543</v>
      </c>
    </row>
    <row r="204" spans="1:17" x14ac:dyDescent="0.6">
      <c r="A204">
        <v>10</v>
      </c>
      <c r="B204" t="s">
        <v>9</v>
      </c>
      <c r="C204" t="s">
        <v>177</v>
      </c>
      <c r="D204" s="13">
        <v>7.9042877310000002</v>
      </c>
      <c r="E204">
        <v>0.33355741999999999</v>
      </c>
      <c r="F204">
        <v>6.1869263779999999</v>
      </c>
      <c r="G204">
        <v>0.45222766399999997</v>
      </c>
      <c r="H204">
        <v>5.0326538090000001</v>
      </c>
      <c r="I204">
        <v>0.371239449</v>
      </c>
      <c r="J204">
        <f>SUM(L204:Q204)</f>
        <v>3.8362334263685391</v>
      </c>
      <c r="K204">
        <f>0.5*SIN(RADIANS(60))*((L204*M204)+(M204*N204)+(N204*O204)+(O204*P204)+(P204*Q204)+(Q204*L204))</f>
        <v>1.0583257241813111</v>
      </c>
      <c r="L204">
        <f>(MAX(D:D)-D204)/(MAX(D:D)-MIN(D:D))</f>
        <v>0.549546981878964</v>
      </c>
      <c r="M204">
        <f>(MAX(E:E)-E204)/(MAX(E:E)-MIN(E:E))</f>
        <v>0.7082902551898439</v>
      </c>
      <c r="N204">
        <f>(MAX(F:F)-F204)/(MAX(F:F)-MIN(F:F))</f>
        <v>0.62349701853607919</v>
      </c>
      <c r="O204">
        <f>(MAX(G:G)-G204)/(MAX(G:G)-MIN(G:G))</f>
        <v>0.6730957238040014</v>
      </c>
      <c r="P204">
        <f>(MAX(H:H)-H204)/(MAX(H:H)-MIN(H:H))</f>
        <v>0.63488853114348109</v>
      </c>
      <c r="Q204">
        <f>(MAX(I:I)-I204)/(MAX(I:I)-MIN(I:I))</f>
        <v>0.64691491581616889</v>
      </c>
    </row>
    <row r="205" spans="1:17" x14ac:dyDescent="0.6">
      <c r="A205">
        <v>90</v>
      </c>
      <c r="B205" t="s">
        <v>92</v>
      </c>
      <c r="C205" t="s">
        <v>8</v>
      </c>
      <c r="D205">
        <v>7.8758290000000004</v>
      </c>
      <c r="E205">
        <v>0.33429999999999999</v>
      </c>
      <c r="F205">
        <v>5.987158</v>
      </c>
      <c r="G205">
        <v>0.43723400000000001</v>
      </c>
      <c r="H205">
        <v>4.4137570000000004</v>
      </c>
      <c r="I205">
        <v>0.31723600000000002</v>
      </c>
      <c r="J205">
        <f>SUM(L205:Q205)</f>
        <v>4.4879513928420955</v>
      </c>
      <c r="K205">
        <f>0.5*SIN(RADIANS(60))*((L205*M205)+(M205*N205)+(N205*O205)+(O205*P205)+(P205*Q205)+(Q205*L205))</f>
        <v>1.4534445604851305</v>
      </c>
      <c r="L205">
        <f>(MAX(D:D)-D205)/(MAX(D:D)-MIN(D:D))</f>
        <v>0.55972146040823567</v>
      </c>
      <c r="M205">
        <f>(MAX(E:E)-E205)/(MAX(E:E)-MIN(E:E))</f>
        <v>0.70558116238898672</v>
      </c>
      <c r="N205">
        <f>(MAX(F:F)-F205)/(MAX(F:F)-MIN(F:F))</f>
        <v>0.70793857271352212</v>
      </c>
      <c r="O205">
        <f>(MAX(G:G)-G205)/(MAX(G:G)-MIN(G:G))</f>
        <v>0.74970676103057987</v>
      </c>
      <c r="P205">
        <f>(MAX(H:H)-H205)/(MAX(H:H)-MIN(H:H))</f>
        <v>0.86793852692624851</v>
      </c>
      <c r="Q205">
        <f>(MAX(I:I)-I205)/(MAX(I:I)-MIN(I:I))</f>
        <v>0.8970649093745231</v>
      </c>
    </row>
    <row r="206" spans="1:17" x14ac:dyDescent="0.6">
      <c r="A206">
        <v>5</v>
      </c>
      <c r="B206" t="s">
        <v>9</v>
      </c>
      <c r="C206" t="s">
        <v>7</v>
      </c>
      <c r="D206">
        <v>7.9057553230000002</v>
      </c>
      <c r="E206">
        <v>0.33435530600000002</v>
      </c>
      <c r="F206">
        <v>6.2034996659999999</v>
      </c>
      <c r="G206">
        <v>0.45389565399999998</v>
      </c>
      <c r="H206">
        <v>4.7145996090000004</v>
      </c>
      <c r="I206">
        <v>0.349579321</v>
      </c>
      <c r="J206">
        <f>SUM(L206:Q206)</f>
        <v>4.037367393889296</v>
      </c>
      <c r="K206">
        <f>0.5*SIN(RADIANS(60))*((L206*M206)+(M206*N206)+(N206*O206)+(O206*P206)+(P206*Q206)+(Q206*L206))</f>
        <v>1.1723923585437956</v>
      </c>
      <c r="L206">
        <f>(MAX(D:D)-D206)/(MAX(D:D)-MIN(D:D))</f>
        <v>0.54902229287249604</v>
      </c>
      <c r="M206">
        <f>(MAX(E:E)-E206)/(MAX(E:E)-MIN(E:E))</f>
        <v>0.70537939411291639</v>
      </c>
      <c r="N206">
        <f>(MAX(F:F)-F206)/(MAX(F:F)-MIN(F:F))</f>
        <v>0.61649153443213178</v>
      </c>
      <c r="O206">
        <f>(MAX(G:G)-G206)/(MAX(G:G)-MIN(G:G))</f>
        <v>0.66457302755153358</v>
      </c>
      <c r="P206">
        <f>(MAX(H:H)-H206)/(MAX(H:H)-MIN(H:H))</f>
        <v>0.75465410254537113</v>
      </c>
      <c r="Q206">
        <f>(MAX(I:I)-I206)/(MAX(I:I)-MIN(I:I))</f>
        <v>0.74724704237484718</v>
      </c>
    </row>
    <row r="207" spans="1:17" x14ac:dyDescent="0.6">
      <c r="A207">
        <v>5</v>
      </c>
      <c r="B207" t="s">
        <v>92</v>
      </c>
      <c r="C207" t="s">
        <v>7</v>
      </c>
      <c r="D207">
        <v>7.942977</v>
      </c>
      <c r="E207">
        <v>0.3372</v>
      </c>
      <c r="F207">
        <v>6.1162039999999998</v>
      </c>
      <c r="G207">
        <v>0.44723200000000002</v>
      </c>
      <c r="H207">
        <v>5.09314</v>
      </c>
      <c r="I207">
        <v>0.36770399999999998</v>
      </c>
      <c r="J207">
        <f>SUM(L207:Q207)</f>
        <v>3.8581323310578806</v>
      </c>
      <c r="K207">
        <f>0.5*SIN(RADIANS(60))*((L207*M207)+(M207*N207)+(N207*O207)+(O207*P207)+(P207*Q207)+(Q207*L207))</f>
        <v>1.0703562018848631</v>
      </c>
      <c r="L207">
        <f>(MAX(D:D)-D207)/(MAX(D:D)-MIN(D:D))</f>
        <v>0.53571491267132032</v>
      </c>
      <c r="M207">
        <f>(MAX(E:E)-E207)/(MAX(E:E)-MIN(E:E))</f>
        <v>0.69500133378804718</v>
      </c>
      <c r="N207">
        <f>(MAX(F:F)-F207)/(MAX(F:F)-MIN(F:F))</f>
        <v>0.65339117682696057</v>
      </c>
      <c r="O207">
        <f>(MAX(G:G)-G207)/(MAX(G:G)-MIN(G:G))</f>
        <v>0.69862137254972989</v>
      </c>
      <c r="P207">
        <f>(MAX(H:H)-H207)/(MAX(H:H)-MIN(H:H))</f>
        <v>0.61211202567039247</v>
      </c>
      <c r="Q207">
        <f>(MAX(I:I)-I207)/(MAX(I:I)-MIN(I:I))</f>
        <v>0.66329150955143001</v>
      </c>
    </row>
    <row r="208" spans="1:17" x14ac:dyDescent="0.6">
      <c r="A208">
        <v>5</v>
      </c>
      <c r="B208" t="s">
        <v>9</v>
      </c>
      <c r="C208" t="s">
        <v>167</v>
      </c>
      <c r="D208">
        <v>8.4645931989999994</v>
      </c>
      <c r="E208">
        <v>0.38259774000000002</v>
      </c>
      <c r="F208">
        <v>6.6893971099999998</v>
      </c>
      <c r="G208">
        <v>0.48920847099999998</v>
      </c>
      <c r="H208">
        <v>5.6036376949999998</v>
      </c>
      <c r="I208">
        <v>0.41343295099999999</v>
      </c>
      <c r="J208">
        <f>SUM(L208:Q208)</f>
        <v>2.645203261262854</v>
      </c>
      <c r="K208">
        <f>0.5*SIN(RADIANS(60))*((L208*M208)+(M208*N208)+(N208*O208)+(O208*P208)+(P208*Q208)+(Q208*L208))</f>
        <v>0.49885117684954944</v>
      </c>
      <c r="L208">
        <f>(MAX(D:D)-D208)/(MAX(D:D)-MIN(D:D))</f>
        <v>0.34922828340995948</v>
      </c>
      <c r="M208">
        <f>(MAX(E:E)-E208)/(MAX(E:E)-MIN(E:E))</f>
        <v>0.5293805379018347</v>
      </c>
      <c r="N208">
        <f>(MAX(F:F)-F208)/(MAX(F:F)-MIN(F:F))</f>
        <v>0.41110399635937905</v>
      </c>
      <c r="O208">
        <f>(MAX(G:G)-G208)/(MAX(G:G)-MIN(G:G))</f>
        <v>0.4841400434749023</v>
      </c>
      <c r="P208">
        <f>(MAX(H:H)-H208)/(MAX(H:H)-MIN(H:H))</f>
        <v>0.4198804873318866</v>
      </c>
      <c r="Q208">
        <f>(MAX(I:I)-I208)/(MAX(I:I)-MIN(I:I))</f>
        <v>0.45146991278489201</v>
      </c>
    </row>
    <row r="209" spans="1:17" x14ac:dyDescent="0.6">
      <c r="A209">
        <v>20</v>
      </c>
      <c r="B209" t="s">
        <v>9</v>
      </c>
      <c r="C209" t="s">
        <v>174</v>
      </c>
      <c r="D209">
        <v>8.5861351730000006</v>
      </c>
      <c r="E209">
        <v>0.38921599699999998</v>
      </c>
      <c r="F209">
        <v>6.9375333430000001</v>
      </c>
      <c r="G209">
        <v>0.505550685</v>
      </c>
      <c r="H209">
        <v>6.6693725590000001</v>
      </c>
      <c r="I209">
        <v>0.48618920999999998</v>
      </c>
      <c r="J209">
        <f>SUM(L209:Q209)</f>
        <v>1.6508919157358783</v>
      </c>
      <c r="K209">
        <f>0.5*SIN(RADIANS(60))*((L209*M209)+(M209*N209)+(N209*O209)+(O209*P209)+(P209*Q209)+(Q209*L209))</f>
        <v>0.20630711662482479</v>
      </c>
      <c r="L209">
        <f>(MAX(D:D)-D209)/(MAX(D:D)-MIN(D:D))</f>
        <v>0.30577496833177453</v>
      </c>
      <c r="M209">
        <f>(MAX(E:E)-E209)/(MAX(E:E)-MIN(E:E))</f>
        <v>0.505235701799432</v>
      </c>
      <c r="N209">
        <f>(MAX(F:F)-F209)/(MAX(F:F)-MIN(F:F))</f>
        <v>0.30621748042512981</v>
      </c>
      <c r="O209">
        <f>(MAX(G:G)-G209)/(MAX(G:G)-MIN(G:G))</f>
        <v>0.40063850808510587</v>
      </c>
      <c r="P209">
        <f>(MAX(H:H)-H209)/(MAX(H:H)-MIN(H:H))</f>
        <v>1.8570443478116625E-2</v>
      </c>
      <c r="Q209">
        <f>(MAX(I:I)-I209)/(MAX(I:I)-MIN(I:I))</f>
        <v>0.1144548136163194</v>
      </c>
    </row>
    <row r="210" spans="1:17" x14ac:dyDescent="0.6">
      <c r="A210">
        <v>60</v>
      </c>
      <c r="B210" t="s">
        <v>571</v>
      </c>
      <c r="C210" t="s">
        <v>171</v>
      </c>
      <c r="D210">
        <v>8.3733628670000009</v>
      </c>
      <c r="E210">
        <v>0.42406739100000002</v>
      </c>
      <c r="F210">
        <v>6.8153431649999998</v>
      </c>
      <c r="G210">
        <v>0.52688132200000004</v>
      </c>
      <c r="H210">
        <v>5.7342834470000001</v>
      </c>
      <c r="I210">
        <v>0.44148436299999999</v>
      </c>
      <c r="J210">
        <f>SUM(L210:Q210)</f>
        <v>2.1016677427921349</v>
      </c>
      <c r="K210">
        <f>0.5*SIN(RADIANS(60))*((L210*M210)+(M210*N210)+(N210*O210)+(O210*P210)+(P210*Q210)+(Q210*L210))</f>
        <v>0.31788393592577424</v>
      </c>
      <c r="L210">
        <f>(MAX(D:D)-D210)/(MAX(D:D)-MIN(D:D))</f>
        <v>0.38184467288116647</v>
      </c>
      <c r="M210">
        <f>(MAX(E:E)-E210)/(MAX(E:E)-MIN(E:E))</f>
        <v>0.37809026213604852</v>
      </c>
      <c r="N210">
        <f>(MAX(F:F)-F210)/(MAX(F:F)-MIN(F:F))</f>
        <v>0.35786693885712662</v>
      </c>
      <c r="O210">
        <f>(MAX(G:G)-G210)/(MAX(G:G)-MIN(G:G))</f>
        <v>0.29164832227904541</v>
      </c>
      <c r="P210">
        <f>(MAX(H:H)-H210)/(MAX(H:H)-MIN(H:H))</f>
        <v>0.37068490010332716</v>
      </c>
      <c r="Q210">
        <f>(MAX(I:I)-I210)/(MAX(I:I)-MIN(I:I))</f>
        <v>0.3215326465354208</v>
      </c>
    </row>
    <row r="211" spans="1:17" x14ac:dyDescent="0.6">
      <c r="A211">
        <v>60</v>
      </c>
      <c r="B211" t="s">
        <v>571</v>
      </c>
      <c r="C211" t="s">
        <v>8</v>
      </c>
      <c r="D211">
        <v>8.4910679990000002</v>
      </c>
      <c r="E211">
        <v>0.43617525400000001</v>
      </c>
      <c r="F211">
        <v>7.0045661509999997</v>
      </c>
      <c r="G211">
        <v>0.54139347199999999</v>
      </c>
      <c r="H211">
        <v>5.8939666749999997</v>
      </c>
      <c r="I211">
        <v>0.455862508</v>
      </c>
      <c r="J211">
        <f>SUM(L211:Q211)</f>
        <v>1.7345482721857375</v>
      </c>
      <c r="K211">
        <f>0.5*SIN(RADIANS(60))*((L211*M211)+(M211*N211)+(N211*O211)+(O211*P211)+(P211*Q211)+(Q211*L211))</f>
        <v>0.21651224691112975</v>
      </c>
      <c r="L211">
        <f>(MAX(D:D)-D211)/(MAX(D:D)-MIN(D:D))</f>
        <v>0.33976309382835901</v>
      </c>
      <c r="M211">
        <f>(MAX(E:E)-E211)/(MAX(E:E)-MIN(E:E))</f>
        <v>0.33391815342444253</v>
      </c>
      <c r="N211">
        <f>(MAX(F:F)-F211)/(MAX(F:F)-MIN(F:F))</f>
        <v>0.2778828934145765</v>
      </c>
      <c r="O211">
        <f>(MAX(G:G)-G211)/(MAX(G:G)-MIN(G:G))</f>
        <v>0.21749761009237181</v>
      </c>
      <c r="P211">
        <f>(MAX(H:H)-H211)/(MAX(H:H)-MIN(H:H))</f>
        <v>0.31055504473679452</v>
      </c>
      <c r="Q211">
        <f>(MAX(I:I)-I211)/(MAX(I:I)-MIN(I:I))</f>
        <v>0.25493147668919325</v>
      </c>
    </row>
    <row r="212" spans="1:17" x14ac:dyDescent="0.6">
      <c r="A212">
        <v>60</v>
      </c>
      <c r="B212" t="s">
        <v>572</v>
      </c>
      <c r="C212" t="s">
        <v>174</v>
      </c>
      <c r="D212">
        <v>8.4760792719999998</v>
      </c>
      <c r="E212">
        <v>0.43623954700000001</v>
      </c>
      <c r="F212">
        <v>6.946278146</v>
      </c>
      <c r="G212">
        <v>0.53697066400000004</v>
      </c>
      <c r="H212">
        <v>5.9590922219999998</v>
      </c>
      <c r="I212">
        <v>0.45954905600000001</v>
      </c>
      <c r="J212">
        <f>SUM(L212:Q212)</f>
        <v>1.7453092407293005</v>
      </c>
      <c r="K212">
        <f>0.5*SIN(RADIANS(60))*((L212*M212)+(M212*N212)+(N212*O212)+(O212*P212)+(P212*Q212)+(Q212*L212))</f>
        <v>0.21977128488110198</v>
      </c>
      <c r="L212">
        <f>(MAX(D:D)-D212)/(MAX(D:D)-MIN(D:D))</f>
        <v>0.3451218176956537</v>
      </c>
      <c r="M212">
        <f>(MAX(E:E)-E212)/(MAX(E:E)-MIN(E:E))</f>
        <v>0.33368359862435976</v>
      </c>
      <c r="N212">
        <f>(MAX(F:F)-F212)/(MAX(F:F)-MIN(F:F))</f>
        <v>0.30252107580049215</v>
      </c>
      <c r="O212">
        <f>(MAX(G:G)-G212)/(MAX(G:G)-MIN(G:G))</f>
        <v>0.24009621629923397</v>
      </c>
      <c r="P212">
        <f>(MAX(H:H)-H212)/(MAX(H:H)-MIN(H:H))</f>
        <v>0.28603155676111097</v>
      </c>
      <c r="Q212">
        <f>(MAX(I:I)-I212)/(MAX(I:I)-MIN(I:I))</f>
        <v>0.23785497554845006</v>
      </c>
    </row>
    <row r="213" spans="1:17" x14ac:dyDescent="0.6">
      <c r="A213">
        <v>60</v>
      </c>
      <c r="B213" t="s">
        <v>572</v>
      </c>
      <c r="C213" t="s">
        <v>171</v>
      </c>
      <c r="D213">
        <v>8.4815684119999997</v>
      </c>
      <c r="E213">
        <v>0.43630181800000001</v>
      </c>
      <c r="F213">
        <v>6.9511124080000002</v>
      </c>
      <c r="G213">
        <v>0.53735257199999997</v>
      </c>
      <c r="H213">
        <v>6.0092837399999999</v>
      </c>
      <c r="I213">
        <v>0.46238890700000002</v>
      </c>
      <c r="J213">
        <f>SUM(L213:Q213)</f>
        <v>1.7070703110242236</v>
      </c>
      <c r="K213">
        <f>0.5*SIN(RADIANS(60))*((L213*M213)+(M213*N213)+(N213*O213)+(O213*P213)+(P213*Q213)+(Q213*L213))</f>
        <v>0.21084720315359201</v>
      </c>
      <c r="L213">
        <f>(MAX(D:D)-D213)/(MAX(D:D)-MIN(D:D))</f>
        <v>0.34315935713920215</v>
      </c>
      <c r="M213">
        <f>(MAX(E:E)-E213)/(MAX(E:E)-MIN(E:E))</f>
        <v>0.3334564205185635</v>
      </c>
      <c r="N213">
        <f>(MAX(F:F)-F213)/(MAX(F:F)-MIN(F:F))</f>
        <v>0.30047764630145019</v>
      </c>
      <c r="O213">
        <f>(MAX(G:G)-G213)/(MAX(G:G)-MIN(G:G))</f>
        <v>0.23814483416841373</v>
      </c>
      <c r="P213">
        <f>(MAX(H:H)-H213)/(MAX(H:H)-MIN(H:H))</f>
        <v>0.2671315836345235</v>
      </c>
      <c r="Q213">
        <f>(MAX(I:I)-I213)/(MAX(I:I)-MIN(I:I))</f>
        <v>0.22470046926207032</v>
      </c>
    </row>
    <row r="214" spans="1:17" x14ac:dyDescent="0.6">
      <c r="A214">
        <v>60</v>
      </c>
      <c r="B214" t="s">
        <v>572</v>
      </c>
      <c r="C214" t="s">
        <v>177</v>
      </c>
      <c r="D214">
        <v>8.4765213129999992</v>
      </c>
      <c r="E214">
        <v>0.43711011399999999</v>
      </c>
      <c r="F214">
        <v>6.9670593030000001</v>
      </c>
      <c r="G214">
        <v>0.53858790700000003</v>
      </c>
      <c r="H214">
        <v>5.9330102790000003</v>
      </c>
      <c r="I214">
        <v>0.45893439400000002</v>
      </c>
      <c r="J214">
        <f>SUM(L214:Q214)</f>
        <v>1.7375961701589655</v>
      </c>
      <c r="K214">
        <f>0.5*SIN(RADIANS(60))*((L214*M214)+(M214*N214)+(N214*O214)+(O214*P214)+(P214*Q214)+(Q214*L214))</f>
        <v>0.21738435266390391</v>
      </c>
      <c r="L214">
        <f>(MAX(D:D)-D214)/(MAX(D:D)-MIN(D:D))</f>
        <v>0.34496378054833493</v>
      </c>
      <c r="M214">
        <f>(MAX(E:E)-E214)/(MAX(E:E)-MIN(E:E))</f>
        <v>0.33050758150517562</v>
      </c>
      <c r="N214">
        <f>(MAX(F:F)-F214)/(MAX(F:F)-MIN(F:F))</f>
        <v>0.29373693682787932</v>
      </c>
      <c r="O214">
        <f>(MAX(G:G)-G214)/(MAX(G:G)-MIN(G:G))</f>
        <v>0.23183281492666602</v>
      </c>
      <c r="P214">
        <f>(MAX(H:H)-H214)/(MAX(H:H)-MIN(H:H))</f>
        <v>0.2958528979245556</v>
      </c>
      <c r="Q214">
        <f>(MAX(I:I)-I214)/(MAX(I:I)-MIN(I:I))</f>
        <v>0.24070215842635406</v>
      </c>
    </row>
    <row r="215" spans="1:17" x14ac:dyDescent="0.6">
      <c r="A215">
        <v>60</v>
      </c>
      <c r="B215" t="s">
        <v>571</v>
      </c>
      <c r="C215" t="s">
        <v>7</v>
      </c>
      <c r="D215">
        <v>8.5044983110000008</v>
      </c>
      <c r="E215">
        <v>0.43721995200000002</v>
      </c>
      <c r="F215">
        <v>7.050907177</v>
      </c>
      <c r="G215">
        <v>0.54488486599999997</v>
      </c>
      <c r="H215">
        <v>5.8164520260000003</v>
      </c>
      <c r="I215">
        <v>0.45347783400000002</v>
      </c>
      <c r="J215">
        <f>SUM(L215:Q215)</f>
        <v>1.7287424751052456</v>
      </c>
      <c r="K215">
        <f>0.5*SIN(RADIANS(60))*((L215*M215)+(M215*N215)+(N215*O215)+(O215*P215)+(P215*Q215)+(Q215*L215))</f>
        <v>0.21421035498588559</v>
      </c>
      <c r="L215">
        <f>(MAX(D:D)-D215)/(MAX(D:D)-MIN(D:D))</f>
        <v>0.3349615297289118</v>
      </c>
      <c r="M215">
        <f>(MAX(E:E)-E215)/(MAX(E:E)-MIN(E:E))</f>
        <v>0.33010686867280653</v>
      </c>
      <c r="N215">
        <f>(MAX(F:F)-F215)/(MAX(F:F)-MIN(F:F))</f>
        <v>0.2582946668053715</v>
      </c>
      <c r="O215">
        <f>(MAX(G:G)-G215)/(MAX(G:G)-MIN(G:G))</f>
        <v>0.19965812031144489</v>
      </c>
      <c r="P215">
        <f>(MAX(H:H)-H215)/(MAX(H:H)-MIN(H:H))</f>
        <v>0.33974373719707923</v>
      </c>
      <c r="Q215">
        <f>(MAX(I:I)-I215)/(MAX(I:I)-MIN(I:I))</f>
        <v>0.26597755238963172</v>
      </c>
    </row>
    <row r="216" spans="1:17" x14ac:dyDescent="0.6">
      <c r="A216">
        <v>60</v>
      </c>
      <c r="B216" t="s">
        <v>572</v>
      </c>
      <c r="C216" t="s">
        <v>167</v>
      </c>
      <c r="D216">
        <v>8.4891391330000001</v>
      </c>
      <c r="E216">
        <v>0.43847721699999997</v>
      </c>
      <c r="F216">
        <v>6.907061927</v>
      </c>
      <c r="G216">
        <v>0.53404495500000004</v>
      </c>
      <c r="H216">
        <v>5.7722415629999997</v>
      </c>
      <c r="I216">
        <v>0.449853699</v>
      </c>
      <c r="J216">
        <f>SUM(L216:Q216)</f>
        <v>1.8792722105363548</v>
      </c>
      <c r="K216">
        <f>0.5*SIN(RADIANS(60))*((L216*M216)+(M216*N216)+(N216*O216)+(O216*P216)+(P216*Q216)+(Q216*L216))</f>
        <v>0.25288822968716534</v>
      </c>
      <c r="L216">
        <f>(MAX(D:D)-D216)/(MAX(D:D)-MIN(D:D))</f>
        <v>0.34045269610552459</v>
      </c>
      <c r="M216">
        <f>(MAX(E:E)-E216)/(MAX(E:E)-MIN(E:E))</f>
        <v>0.32552009342937216</v>
      </c>
      <c r="N216">
        <f>(MAX(F:F)-F216)/(MAX(F:F)-MIN(F:F))</f>
        <v>0.31909766572166059</v>
      </c>
      <c r="O216">
        <f>(MAX(G:G)-G216)/(MAX(G:G)-MIN(G:G))</f>
        <v>0.25504530420150628</v>
      </c>
      <c r="P216">
        <f>(MAX(H:H)-H216)/(MAX(H:H)-MIN(H:H))</f>
        <v>0.35639150151881183</v>
      </c>
      <c r="Q216">
        <f>(MAX(I:I)-I216)/(MAX(I:I)-MIN(I:I))</f>
        <v>0.28276494955947939</v>
      </c>
    </row>
    <row r="217" spans="1:17" x14ac:dyDescent="0.6">
      <c r="A217">
        <v>60</v>
      </c>
      <c r="B217" t="s">
        <v>571</v>
      </c>
      <c r="C217" t="s">
        <v>181</v>
      </c>
      <c r="D217">
        <v>8.5354316590000003</v>
      </c>
      <c r="E217">
        <v>0.43982762199999997</v>
      </c>
      <c r="F217">
        <v>7.0328606410000001</v>
      </c>
      <c r="G217">
        <v>0.54343428000000005</v>
      </c>
      <c r="H217">
        <v>6.0405578609999999</v>
      </c>
      <c r="I217">
        <v>0.46286930500000001</v>
      </c>
      <c r="J217">
        <f>SUM(L217:Q217)</f>
        <v>1.5953190265544412</v>
      </c>
      <c r="K217">
        <f>0.5*SIN(RADIANS(60))*((L217*M217)+(M217*N217)+(N217*O217)+(O217*P217)+(P217*Q217)+(Q217*L217))</f>
        <v>0.18442252779756443</v>
      </c>
      <c r="L217">
        <f>(MAX(D:D)-D217)/(MAX(D:D)-MIN(D:D))</f>
        <v>0.32390233369292254</v>
      </c>
      <c r="M217">
        <f>(MAX(E:E)-E217)/(MAX(E:E)-MIN(E:E))</f>
        <v>0.32059352327700946</v>
      </c>
      <c r="N217">
        <f>(MAX(F:F)-F217)/(MAX(F:F)-MIN(F:F))</f>
        <v>0.26592288886241383</v>
      </c>
      <c r="O217">
        <f>(MAX(G:G)-G217)/(MAX(G:G)-MIN(G:G))</f>
        <v>0.2070699776163937</v>
      </c>
      <c r="P217">
        <f>(MAX(H:H)-H217)/(MAX(H:H)-MIN(H:H))</f>
        <v>0.25535509091203518</v>
      </c>
      <c r="Q217">
        <f>(MAX(I:I)-I217)/(MAX(I:I)-MIN(I:I))</f>
        <v>0.22247521219366634</v>
      </c>
    </row>
    <row r="218" spans="1:17" x14ac:dyDescent="0.6">
      <c r="A218">
        <v>60</v>
      </c>
      <c r="B218" t="s">
        <v>571</v>
      </c>
      <c r="C218" t="s">
        <v>184</v>
      </c>
      <c r="D218">
        <v>8.5278545220000002</v>
      </c>
      <c r="E218">
        <v>0.44053020100000001</v>
      </c>
      <c r="F218">
        <v>6.991601127</v>
      </c>
      <c r="G218">
        <v>0.54052593999999998</v>
      </c>
      <c r="H218">
        <v>5.8873291019999998</v>
      </c>
      <c r="I218">
        <v>0.45386954899999998</v>
      </c>
      <c r="J218">
        <f>SUM(L218:Q218)</f>
        <v>1.7271526978967906</v>
      </c>
      <c r="K218">
        <f>0.5*SIN(RADIANS(60))*((L218*M218)+(M218*N218)+(N218*O218)+(O218*P218)+(P218*Q218)+(Q218*L218))</f>
        <v>0.21448402439155997</v>
      </c>
      <c r="L218">
        <f>(MAX(D:D)-D218)/(MAX(D:D)-MIN(D:D))</f>
        <v>0.32661128855531091</v>
      </c>
      <c r="M218">
        <f>(MAX(E:E)-E218)/(MAX(E:E)-MIN(E:E))</f>
        <v>0.3180303627947268</v>
      </c>
      <c r="N218">
        <f>(MAX(F:F)-F218)/(MAX(F:F)-MIN(F:F))</f>
        <v>0.2833631740649396</v>
      </c>
      <c r="O218">
        <f>(MAX(G:G)-G218)/(MAX(G:G)-MIN(G:G))</f>
        <v>0.2219303175578218</v>
      </c>
      <c r="P218">
        <f>(MAX(H:H)-H218)/(MAX(H:H)-MIN(H:H))</f>
        <v>0.31305447006451148</v>
      </c>
      <c r="Q218">
        <f>(MAX(I:I)-I218)/(MAX(I:I)-MIN(I:I))</f>
        <v>0.26416308485948009</v>
      </c>
    </row>
    <row r="219" spans="1:17" x14ac:dyDescent="0.6">
      <c r="A219">
        <v>60</v>
      </c>
      <c r="B219" t="s">
        <v>572</v>
      </c>
      <c r="C219" t="s">
        <v>7</v>
      </c>
      <c r="D219">
        <v>8.5214545289999997</v>
      </c>
      <c r="E219">
        <v>0.44156213100000002</v>
      </c>
      <c r="F219">
        <v>6.9810933259999999</v>
      </c>
      <c r="G219">
        <v>0.53967759000000004</v>
      </c>
      <c r="H219">
        <v>5.9853119350000004</v>
      </c>
      <c r="I219">
        <v>0.46360902700000001</v>
      </c>
      <c r="J219">
        <f>SUM(L219:Q219)</f>
        <v>1.6524419343656067</v>
      </c>
      <c r="K219">
        <f>0.5*SIN(RADIANS(60))*((L219*M219)+(M219*N219)+(N219*O219)+(O219*P219)+(P219*Q219)+(Q219*L219))</f>
        <v>0.19656663787687689</v>
      </c>
      <c r="L219">
        <f>(MAX(D:D)-D219)/(MAX(D:D)-MIN(D:D))</f>
        <v>0.32889939449250094</v>
      </c>
      <c r="M219">
        <f>(MAX(E:E)-E219)/(MAX(E:E)-MIN(E:E))</f>
        <v>0.31426565847466897</v>
      </c>
      <c r="N219">
        <f>(MAX(F:F)-F219)/(MAX(F:F)-MIN(F:F))</f>
        <v>0.28780479318559593</v>
      </c>
      <c r="O219">
        <f>(MAX(G:G)-G219)/(MAX(G:G)-MIN(G:G))</f>
        <v>0.22626501342876859</v>
      </c>
      <c r="P219">
        <f>(MAX(H:H)-H219)/(MAX(H:H)-MIN(H:H))</f>
        <v>0.27615833732417649</v>
      </c>
      <c r="Q219">
        <f>(MAX(I:I)-I219)/(MAX(I:I)-MIN(I:I))</f>
        <v>0.21904873745989567</v>
      </c>
    </row>
    <row r="220" spans="1:17" x14ac:dyDescent="0.6">
      <c r="A220">
        <v>60</v>
      </c>
      <c r="B220" t="s">
        <v>571</v>
      </c>
      <c r="C220" t="s">
        <v>167</v>
      </c>
      <c r="D220">
        <v>8.5499302739999994</v>
      </c>
      <c r="E220">
        <v>0.441644437</v>
      </c>
      <c r="F220">
        <v>7.0942754219999999</v>
      </c>
      <c r="G220">
        <v>0.54811602500000001</v>
      </c>
      <c r="H220">
        <v>6.2659454349999999</v>
      </c>
      <c r="I220">
        <v>0.48582402400000002</v>
      </c>
      <c r="J220">
        <f>SUM(L220:Q220)</f>
        <v>1.3424257578434169</v>
      </c>
      <c r="K220">
        <f>0.5*SIN(RADIANS(60))*((L220*M220)+(M220*N220)+(N220*O220)+(O220*P220)+(P220*Q220)+(Q220*L220))</f>
        <v>0.13310746991808631</v>
      </c>
      <c r="L220">
        <f>(MAX(D:D)-D220)/(MAX(D:D)-MIN(D:D))</f>
        <v>0.31871883316994887</v>
      </c>
      <c r="M220">
        <f>(MAX(E:E)-E220)/(MAX(E:E)-MIN(E:E))</f>
        <v>0.31396538834610732</v>
      </c>
      <c r="N220">
        <f>(MAX(F:F)-F220)/(MAX(F:F)-MIN(F:F))</f>
        <v>0.23996302670090958</v>
      </c>
      <c r="O220">
        <f>(MAX(G:G)-G220)/(MAX(G:G)-MIN(G:G))</f>
        <v>0.18314831707495796</v>
      </c>
      <c r="P220">
        <f>(MAX(H:H)-H220)/(MAX(H:H)-MIN(H:H))</f>
        <v>0.17048379668923982</v>
      </c>
      <c r="Q220">
        <f>(MAX(I:I)-I220)/(MAX(I:I)-MIN(I:I))</f>
        <v>0.11614639586225321</v>
      </c>
    </row>
    <row r="221" spans="1:17" x14ac:dyDescent="0.6">
      <c r="A221">
        <v>60</v>
      </c>
      <c r="B221" t="s">
        <v>571</v>
      </c>
      <c r="C221" t="s">
        <v>174</v>
      </c>
      <c r="D221">
        <v>8.5367527410000008</v>
      </c>
      <c r="E221">
        <v>0.44259576499999997</v>
      </c>
      <c r="F221">
        <v>7.0295701920000004</v>
      </c>
      <c r="G221">
        <v>0.543422721</v>
      </c>
      <c r="H221">
        <v>6.1252746580000004</v>
      </c>
      <c r="I221">
        <v>0.47489904100000002</v>
      </c>
      <c r="J221">
        <f>SUM(L221:Q221)</f>
        <v>1.4985740668082561</v>
      </c>
      <c r="K221">
        <f>0.5*SIN(RADIANS(60))*((L221*M221)+(M221*N221)+(N221*O221)+(O221*P221)+(P221*Q221)+(Q221*L221))</f>
        <v>0.16292938927288697</v>
      </c>
      <c r="L221">
        <f>(MAX(D:D)-D221)/(MAX(D:D)-MIN(D:D))</f>
        <v>0.32343002449387875</v>
      </c>
      <c r="M221">
        <f>(MAX(E:E)-E221)/(MAX(E:E)-MIN(E:E))</f>
        <v>0.31049473759325413</v>
      </c>
      <c r="N221">
        <f>(MAX(F:F)-F221)/(MAX(F:F)-MIN(F:F))</f>
        <v>0.26731375277332564</v>
      </c>
      <c r="O221">
        <f>(MAX(G:G)-G221)/(MAX(G:G)-MIN(G:G))</f>
        <v>0.20712903902922153</v>
      </c>
      <c r="P221">
        <f>(MAX(H:H)-H221)/(MAX(H:H)-MIN(H:H))</f>
        <v>0.22345437839183266</v>
      </c>
      <c r="Q221">
        <f>(MAX(I:I)-I221)/(MAX(I:I)-MIN(I:I))</f>
        <v>0.16675213452674351</v>
      </c>
    </row>
    <row r="222" spans="1:17" x14ac:dyDescent="0.6">
      <c r="A222">
        <v>5</v>
      </c>
      <c r="B222" t="s">
        <v>569</v>
      </c>
      <c r="D222">
        <v>8.6211544730000007</v>
      </c>
      <c r="E222">
        <v>0.44398070099999998</v>
      </c>
      <c r="F222">
        <v>6.9252069399999998</v>
      </c>
      <c r="G222">
        <v>0.52845462600000004</v>
      </c>
      <c r="H222">
        <v>5.8337707520000004</v>
      </c>
      <c r="I222">
        <v>0.44207933500000002</v>
      </c>
      <c r="J222">
        <f>SUM(L222:Q222)</f>
        <v>1.8457333313531716</v>
      </c>
      <c r="K222">
        <f>0.5*SIN(RADIANS(60))*((L222*M222)+(M222*N222)+(N222*O222)+(O222*P222)+(P222*Q222)+(Q222*L222))</f>
        <v>0.24561814022773112</v>
      </c>
      <c r="L222">
        <f>(MAX(D:D)-D222)/(MAX(D:D)-MIN(D:D))</f>
        <v>0.29325497522455818</v>
      </c>
      <c r="M222">
        <f>(MAX(E:E)-E222)/(MAX(E:E)-MIN(E:E))</f>
        <v>0.30544219086798835</v>
      </c>
      <c r="N222">
        <f>(MAX(F:F)-F222)/(MAX(F:F)-MIN(F:F))</f>
        <v>0.3114278177025217</v>
      </c>
      <c r="O222">
        <f>(MAX(G:G)-G222)/(MAX(G:G)-MIN(G:G))</f>
        <v>0.2836094298967215</v>
      </c>
      <c r="P222">
        <f>(MAX(H:H)-H222)/(MAX(H:H)-MIN(H:H))</f>
        <v>0.33322224772974068</v>
      </c>
      <c r="Q222">
        <f>(MAX(I:I)-I222)/(MAX(I:I)-MIN(I:I))</f>
        <v>0.31877666993164111</v>
      </c>
    </row>
    <row r="223" spans="1:17" x14ac:dyDescent="0.6">
      <c r="A223">
        <v>10</v>
      </c>
      <c r="B223" t="s">
        <v>569</v>
      </c>
      <c r="D223">
        <v>8.6211544730000007</v>
      </c>
      <c r="E223">
        <v>0.44398070099999998</v>
      </c>
      <c r="F223">
        <v>6.9252069399999998</v>
      </c>
      <c r="G223">
        <v>0.52845462600000004</v>
      </c>
      <c r="H223">
        <v>5.8337707520000004</v>
      </c>
      <c r="I223">
        <v>0.44207933500000002</v>
      </c>
      <c r="J223">
        <f>SUM(L223:Q223)</f>
        <v>1.8457333313531716</v>
      </c>
      <c r="K223">
        <f>0.5*SIN(RADIANS(60))*((L223*M223)+(M223*N223)+(N223*O223)+(O223*P223)+(P223*Q223)+(Q223*L223))</f>
        <v>0.24561814022773112</v>
      </c>
      <c r="L223">
        <f>(MAX(D:D)-D223)/(MAX(D:D)-MIN(D:D))</f>
        <v>0.29325497522455818</v>
      </c>
      <c r="M223">
        <f>(MAX(E:E)-E223)/(MAX(E:E)-MIN(E:E))</f>
        <v>0.30544219086798835</v>
      </c>
      <c r="N223">
        <f>(MAX(F:F)-F223)/(MAX(F:F)-MIN(F:F))</f>
        <v>0.3114278177025217</v>
      </c>
      <c r="O223">
        <f>(MAX(G:G)-G223)/(MAX(G:G)-MIN(G:G))</f>
        <v>0.2836094298967215</v>
      </c>
      <c r="P223">
        <f>(MAX(H:H)-H223)/(MAX(H:H)-MIN(H:H))</f>
        <v>0.33322224772974068</v>
      </c>
      <c r="Q223">
        <f>(MAX(I:I)-I223)/(MAX(I:I)-MIN(I:I))</f>
        <v>0.31877666993164111</v>
      </c>
    </row>
    <row r="224" spans="1:17" x14ac:dyDescent="0.6">
      <c r="A224">
        <v>20</v>
      </c>
      <c r="B224" t="s">
        <v>569</v>
      </c>
      <c r="D224">
        <v>8.6211544730000007</v>
      </c>
      <c r="E224">
        <v>0.44398070099999998</v>
      </c>
      <c r="F224">
        <v>6.9252069399999998</v>
      </c>
      <c r="G224">
        <v>0.52845462600000004</v>
      </c>
      <c r="H224">
        <v>5.8337707520000004</v>
      </c>
      <c r="I224">
        <v>0.44207933500000002</v>
      </c>
      <c r="J224">
        <f>SUM(L224:Q224)</f>
        <v>1.8457333313531716</v>
      </c>
      <c r="K224">
        <f>0.5*SIN(RADIANS(60))*((L224*M224)+(M224*N224)+(N224*O224)+(O224*P224)+(P224*Q224)+(Q224*L224))</f>
        <v>0.24561814022773112</v>
      </c>
      <c r="L224">
        <f>(MAX(D:D)-D224)/(MAX(D:D)-MIN(D:D))</f>
        <v>0.29325497522455818</v>
      </c>
      <c r="M224">
        <f>(MAX(E:E)-E224)/(MAX(E:E)-MIN(E:E))</f>
        <v>0.30544219086798835</v>
      </c>
      <c r="N224">
        <f>(MAX(F:F)-F224)/(MAX(F:F)-MIN(F:F))</f>
        <v>0.3114278177025217</v>
      </c>
      <c r="O224">
        <f>(MAX(G:G)-G224)/(MAX(G:G)-MIN(G:G))</f>
        <v>0.2836094298967215</v>
      </c>
      <c r="P224">
        <f>(MAX(H:H)-H224)/(MAX(H:H)-MIN(H:H))</f>
        <v>0.33322224772974068</v>
      </c>
      <c r="Q224">
        <f>(MAX(I:I)-I224)/(MAX(I:I)-MIN(I:I))</f>
        <v>0.31877666993164111</v>
      </c>
    </row>
    <row r="225" spans="1:17" x14ac:dyDescent="0.6">
      <c r="A225">
        <v>30</v>
      </c>
      <c r="B225" t="s">
        <v>569</v>
      </c>
      <c r="D225">
        <v>8.6211544730000007</v>
      </c>
      <c r="E225">
        <v>0.44398070099999998</v>
      </c>
      <c r="F225">
        <v>6.9252069399999998</v>
      </c>
      <c r="G225">
        <v>0.52845462600000004</v>
      </c>
      <c r="H225">
        <v>5.8337707520000004</v>
      </c>
      <c r="I225">
        <v>0.44207933500000002</v>
      </c>
      <c r="J225">
        <f>SUM(L225:Q225)</f>
        <v>1.8457333313531716</v>
      </c>
      <c r="K225">
        <f>0.5*SIN(RADIANS(60))*((L225*M225)+(M225*N225)+(N225*O225)+(O225*P225)+(P225*Q225)+(Q225*L225))</f>
        <v>0.24561814022773112</v>
      </c>
      <c r="L225">
        <f>(MAX(D:D)-D225)/(MAX(D:D)-MIN(D:D))</f>
        <v>0.29325497522455818</v>
      </c>
      <c r="M225">
        <f>(MAX(E:E)-E225)/(MAX(E:E)-MIN(E:E))</f>
        <v>0.30544219086798835</v>
      </c>
      <c r="N225">
        <f>(MAX(F:F)-F225)/(MAX(F:F)-MIN(F:F))</f>
        <v>0.3114278177025217</v>
      </c>
      <c r="O225">
        <f>(MAX(G:G)-G225)/(MAX(G:G)-MIN(G:G))</f>
        <v>0.2836094298967215</v>
      </c>
      <c r="P225">
        <f>(MAX(H:H)-H225)/(MAX(H:H)-MIN(H:H))</f>
        <v>0.33322224772974068</v>
      </c>
      <c r="Q225">
        <f>(MAX(I:I)-I225)/(MAX(I:I)-MIN(I:I))</f>
        <v>0.31877666993164111</v>
      </c>
    </row>
    <row r="226" spans="1:17" x14ac:dyDescent="0.6">
      <c r="A226">
        <v>60</v>
      </c>
      <c r="B226" t="s">
        <v>569</v>
      </c>
      <c r="D226">
        <v>8.6211544730000007</v>
      </c>
      <c r="E226">
        <v>0.44398070099999998</v>
      </c>
      <c r="F226">
        <v>6.9252069399999998</v>
      </c>
      <c r="G226">
        <v>0.52845462600000004</v>
      </c>
      <c r="H226">
        <v>5.8337707520000004</v>
      </c>
      <c r="I226">
        <v>0.44207933500000002</v>
      </c>
      <c r="J226">
        <f>SUM(L226:Q226)</f>
        <v>1.8457333313531716</v>
      </c>
      <c r="K226">
        <f>0.5*SIN(RADIANS(60))*((L226*M226)+(M226*N226)+(N226*O226)+(O226*P226)+(P226*Q226)+(Q226*L226))</f>
        <v>0.24561814022773112</v>
      </c>
      <c r="L226">
        <f>(MAX(D:D)-D226)/(MAX(D:D)-MIN(D:D))</f>
        <v>0.29325497522455818</v>
      </c>
      <c r="M226">
        <f>(MAX(E:E)-E226)/(MAX(E:E)-MIN(E:E))</f>
        <v>0.30544219086798835</v>
      </c>
      <c r="N226">
        <f>(MAX(F:F)-F226)/(MAX(F:F)-MIN(F:F))</f>
        <v>0.3114278177025217</v>
      </c>
      <c r="O226">
        <f>(MAX(G:G)-G226)/(MAX(G:G)-MIN(G:G))</f>
        <v>0.2836094298967215</v>
      </c>
      <c r="P226">
        <f>(MAX(H:H)-H226)/(MAX(H:H)-MIN(H:H))</f>
        <v>0.33322224772974068</v>
      </c>
      <c r="Q226">
        <f>(MAX(I:I)-I226)/(MAX(I:I)-MIN(I:I))</f>
        <v>0.31877666993164111</v>
      </c>
    </row>
    <row r="227" spans="1:17" x14ac:dyDescent="0.6">
      <c r="A227">
        <v>90</v>
      </c>
      <c r="B227" s="31" t="s">
        <v>569</v>
      </c>
      <c r="C227" s="31"/>
      <c r="D227" s="31">
        <v>8.6211544730000007</v>
      </c>
      <c r="E227">
        <v>0.44398070099999998</v>
      </c>
      <c r="F227" s="31">
        <v>6.9252069399999998</v>
      </c>
      <c r="G227" s="31">
        <v>0.52845462600000004</v>
      </c>
      <c r="H227" s="31">
        <v>5.8337707520000004</v>
      </c>
      <c r="I227" s="31">
        <v>0.44207933500000002</v>
      </c>
      <c r="J227">
        <f>SUM(L227:Q227)</f>
        <v>1.8457333313531716</v>
      </c>
      <c r="K227">
        <f>0.5*SIN(RADIANS(60))*((L227*M227)+(M227*N227)+(N227*O227)+(O227*P227)+(P227*Q227)+(Q227*L227))</f>
        <v>0.24561814022773112</v>
      </c>
      <c r="L227">
        <f>(MAX(D:D)-D227)/(MAX(D:D)-MIN(D:D))</f>
        <v>0.29325497522455818</v>
      </c>
      <c r="M227">
        <f>(MAX(E:E)-E227)/(MAX(E:E)-MIN(E:E))</f>
        <v>0.30544219086798835</v>
      </c>
      <c r="N227">
        <f>(MAX(F:F)-F227)/(MAX(F:F)-MIN(F:F))</f>
        <v>0.3114278177025217</v>
      </c>
      <c r="O227">
        <f>(MAX(G:G)-G227)/(MAX(G:G)-MIN(G:G))</f>
        <v>0.2836094298967215</v>
      </c>
      <c r="P227">
        <f>(MAX(H:H)-H227)/(MAX(H:H)-MIN(H:H))</f>
        <v>0.33322224772974068</v>
      </c>
      <c r="Q227">
        <f>(MAX(I:I)-I227)/(MAX(I:I)-MIN(I:I))</f>
        <v>0.31877666993164111</v>
      </c>
    </row>
    <row r="228" spans="1:17" x14ac:dyDescent="0.6">
      <c r="A228">
        <v>60</v>
      </c>
      <c r="B228" t="s">
        <v>571</v>
      </c>
      <c r="C228" t="s">
        <v>177</v>
      </c>
      <c r="D228">
        <v>8.5811851459999993</v>
      </c>
      <c r="E228">
        <v>0.44500924800000002</v>
      </c>
      <c r="F228">
        <v>7.0363292480000004</v>
      </c>
      <c r="G228">
        <v>0.54396308599999998</v>
      </c>
      <c r="H228">
        <v>6.2994842530000001</v>
      </c>
      <c r="I228">
        <v>0.49087982699999999</v>
      </c>
      <c r="J228">
        <f>SUM(L228:Q228)</f>
        <v>1.3286411137789693</v>
      </c>
      <c r="K228">
        <f>0.5*SIN(RADIANS(60))*((L228*M228)+(M228*N228)+(N228*O228)+(O228*P228)+(P228*Q228)+(Q228*L228))</f>
        <v>0.13078245784508383</v>
      </c>
      <c r="L228">
        <f>(MAX(D:D)-D228)/(MAX(D:D)-MIN(D:D))</f>
        <v>0.30754468685614689</v>
      </c>
      <c r="M228">
        <f>(MAX(E:E)-E228)/(MAX(E:E)-MIN(E:E))</f>
        <v>0.30168982846522591</v>
      </c>
      <c r="N228">
        <f>(MAX(F:F)-F228)/(MAX(F:F)-MIN(F:F))</f>
        <v>0.26445671804577547</v>
      </c>
      <c r="O228">
        <f>(MAX(G:G)-G228)/(MAX(G:G)-MIN(G:G))</f>
        <v>0.2043680112290161</v>
      </c>
      <c r="P228">
        <f>(MAX(H:H)-H228)/(MAX(H:H)-MIN(H:H))</f>
        <v>0.15785451620209634</v>
      </c>
      <c r="Q228">
        <f>(MAX(I:I)-I228)/(MAX(I:I)-MIN(I:I))</f>
        <v>9.2727352980708722E-2</v>
      </c>
    </row>
    <row r="229" spans="1:17" x14ac:dyDescent="0.6">
      <c r="A229">
        <v>60</v>
      </c>
      <c r="B229" t="s">
        <v>572</v>
      </c>
      <c r="C229" t="s">
        <v>8</v>
      </c>
      <c r="D229">
        <v>8.5712513619999999</v>
      </c>
      <c r="E229">
        <v>0.44562223899999998</v>
      </c>
      <c r="F229">
        <v>7.0642358820000002</v>
      </c>
      <c r="G229">
        <v>0.54595722099999999</v>
      </c>
      <c r="H229">
        <v>5.990755568</v>
      </c>
      <c r="I229">
        <v>0.46308892499999998</v>
      </c>
      <c r="J229">
        <f>SUM(L229:Q229)</f>
        <v>1.5529556103145612</v>
      </c>
      <c r="K229">
        <f>0.5*SIN(RADIANS(60))*((L229*M229)+(M229*N229)+(N229*O229)+(O229*P229)+(P229*Q229)+(Q229*L229))</f>
        <v>0.17351018132712887</v>
      </c>
      <c r="L229">
        <f>(MAX(D:D)-D229)/(MAX(D:D)-MIN(D:D))</f>
        <v>0.31109618295140196</v>
      </c>
      <c r="M229">
        <f>(MAX(E:E)-E229)/(MAX(E:E)-MIN(E:E))</f>
        <v>0.29945350442594387</v>
      </c>
      <c r="N229">
        <f>(MAX(F:F)-F229)/(MAX(F:F)-MIN(F:F))</f>
        <v>0.25266065917793479</v>
      </c>
      <c r="O229">
        <f>(MAX(G:G)-G229)/(MAX(G:G)-MIN(G:G))</f>
        <v>0.19417885728240078</v>
      </c>
      <c r="P229">
        <f>(MAX(H:H)-H229)/(MAX(H:H)-MIN(H:H))</f>
        <v>0.27410849859622655</v>
      </c>
      <c r="Q229">
        <f>(MAX(I:I)-I229)/(MAX(I:I)-MIN(I:I))</f>
        <v>0.22145790788065328</v>
      </c>
    </row>
    <row r="230" spans="1:17" x14ac:dyDescent="0.6">
      <c r="A230">
        <v>60</v>
      </c>
      <c r="B230" t="s">
        <v>572</v>
      </c>
      <c r="C230" t="s">
        <v>181</v>
      </c>
      <c r="D230">
        <v>8.5793349140000004</v>
      </c>
      <c r="E230">
        <v>0.44821035999999997</v>
      </c>
      <c r="F230">
        <v>7.022806213</v>
      </c>
      <c r="G230">
        <v>0.54292686599999995</v>
      </c>
      <c r="H230">
        <v>6.085442756</v>
      </c>
      <c r="I230">
        <v>0.47104501300000001</v>
      </c>
      <c r="J230">
        <f>SUM(L230:Q230)</f>
        <v>1.5011109489988785</v>
      </c>
      <c r="K230">
        <f>0.5*SIN(RADIANS(60))*((L230*M230)+(M230*N230)+(N230*O230)+(O230*P230)+(P230*Q230)+(Q230*L230))</f>
        <v>0.16250631066156035</v>
      </c>
      <c r="L230">
        <f>(MAX(D:D)-D230)/(MAX(D:D)-MIN(D:D))</f>
        <v>0.30820617614595952</v>
      </c>
      <c r="M230">
        <f>(MAX(E:E)-E230)/(MAX(E:E)-MIN(E:E))</f>
        <v>0.29001147801956723</v>
      </c>
      <c r="N230">
        <f>(MAX(F:F)-F230)/(MAX(F:F)-MIN(F:F))</f>
        <v>0.27017286843968813</v>
      </c>
      <c r="O230">
        <f>(MAX(G:G)-G230)/(MAX(G:G)-MIN(G:G))</f>
        <v>0.2096626402799891</v>
      </c>
      <c r="P230">
        <f>(MAX(H:H)-H230)/(MAX(H:H)-MIN(H:H))</f>
        <v>0.23845336442331455</v>
      </c>
      <c r="Q230">
        <f>(MAX(I:I)-I230)/(MAX(I:I)-MIN(I:I))</f>
        <v>0.18460442169036004</v>
      </c>
    </row>
    <row r="231" spans="1:17" x14ac:dyDescent="0.6">
      <c r="A231">
        <v>60</v>
      </c>
      <c r="B231" t="s">
        <v>572</v>
      </c>
      <c r="C231" t="s">
        <v>184</v>
      </c>
      <c r="D231">
        <v>8.622761315</v>
      </c>
      <c r="E231">
        <v>0.45056264800000001</v>
      </c>
      <c r="F231">
        <v>7.0936165219999996</v>
      </c>
      <c r="G231">
        <v>0.54825041100000005</v>
      </c>
      <c r="H231">
        <v>5.9562742929999999</v>
      </c>
      <c r="I231">
        <v>0.46159380900000002</v>
      </c>
      <c r="J231">
        <f>SUM(L231:Q231)</f>
        <v>1.5122896488640682</v>
      </c>
      <c r="K231">
        <f>0.5*SIN(RADIANS(60))*((L231*M231)+(M231*N231)+(N231*O231)+(O231*P231)+(P231*Q231)+(Q231*L231))</f>
        <v>0.16394251936998569</v>
      </c>
      <c r="L231">
        <f>(MAX(D:D)-D231)/(MAX(D:D)-MIN(D:D))</f>
        <v>0.2926805019836774</v>
      </c>
      <c r="M231">
        <f>(MAX(E:E)-E231)/(MAX(E:E)-MIN(E:E))</f>
        <v>0.28142982151610269</v>
      </c>
      <c r="N231">
        <f>(MAX(F:F)-F231)/(MAX(F:F)-MIN(F:F))</f>
        <v>0.24024154195244526</v>
      </c>
      <c r="O231">
        <f>(MAX(G:G)-G231)/(MAX(G:G)-MIN(G:G))</f>
        <v>0.18246166364263253</v>
      </c>
      <c r="P231">
        <f>(MAX(H:H)-H231)/(MAX(H:H)-MIN(H:H))</f>
        <v>0.28709266797063104</v>
      </c>
      <c r="Q231">
        <f>(MAX(I:I)-I231)/(MAX(I:I)-MIN(I:I))</f>
        <v>0.22838345179857941</v>
      </c>
    </row>
    <row r="232" spans="1:17" x14ac:dyDescent="0.6">
      <c r="A232">
        <v>20</v>
      </c>
      <c r="B232" t="s">
        <v>572</v>
      </c>
      <c r="C232" t="s">
        <v>177</v>
      </c>
      <c r="D232">
        <v>8.670015179</v>
      </c>
      <c r="E232">
        <v>0.45144667900000002</v>
      </c>
      <c r="F232">
        <v>6.9676337610000001</v>
      </c>
      <c r="G232">
        <v>0.53145289500000004</v>
      </c>
      <c r="H232">
        <v>6.0508406829999997</v>
      </c>
      <c r="I232">
        <v>0.45679348600000003</v>
      </c>
      <c r="J232">
        <f>SUM(L232:Q232)</f>
        <v>1.6178769409964089</v>
      </c>
      <c r="K232">
        <f>0.5*SIN(RADIANS(60))*((L232*M232)+(M232*N232)+(N232*O232)+(O232*P232)+(P232*Q232)+(Q232*L232))</f>
        <v>0.18911050435945057</v>
      </c>
      <c r="L232">
        <f>(MAX(D:D)-D232)/(MAX(D:D)-MIN(D:D))</f>
        <v>0.27578644494743343</v>
      </c>
      <c r="M232">
        <f>(MAX(E:E)-E232)/(MAX(E:E)-MIN(E:E))</f>
        <v>0.27820468480647603</v>
      </c>
      <c r="N232">
        <f>(MAX(F:F)-F232)/(MAX(F:F)-MIN(F:F))</f>
        <v>0.29349411498182287</v>
      </c>
      <c r="O232">
        <f>(MAX(G:G)-G232)/(MAX(G:G)-MIN(G:G))</f>
        <v>0.26828959226568633</v>
      </c>
      <c r="P232">
        <f>(MAX(H:H)-H232)/(MAX(H:H)-MIN(H:H))</f>
        <v>0.25148302114388277</v>
      </c>
      <c r="Q232">
        <f>(MAX(I:I)-I232)/(MAX(I:I)-MIN(I:I))</f>
        <v>0.25061908285110751</v>
      </c>
    </row>
    <row r="233" spans="1:17" x14ac:dyDescent="0.6">
      <c r="A233">
        <v>20</v>
      </c>
      <c r="B233" t="s">
        <v>571</v>
      </c>
      <c r="C233" t="s">
        <v>8</v>
      </c>
      <c r="D233">
        <v>8.7243652409999992</v>
      </c>
      <c r="E233">
        <v>0.455523609</v>
      </c>
      <c r="F233">
        <v>7.0578289959999996</v>
      </c>
      <c r="G233">
        <v>0.53861267300000004</v>
      </c>
      <c r="H233">
        <v>6.0333557129999997</v>
      </c>
      <c r="I233">
        <v>0.46012029100000001</v>
      </c>
      <c r="J233">
        <f>SUM(L233:Q233)</f>
        <v>1.500037703833268</v>
      </c>
      <c r="K233">
        <f>0.5*SIN(RADIANS(60))*((L233*M233)+(M233*N233)+(N233*O233)+(O233*P233)+(P233*Q233)+(Q233*L233))</f>
        <v>0.16225680146386981</v>
      </c>
      <c r="L233">
        <f>(MAX(D:D)-D233)/(MAX(D:D)-MIN(D:D))</f>
        <v>0.25635537689019727</v>
      </c>
      <c r="M233">
        <f>(MAX(E:E)-E233)/(MAX(E:E)-MIN(E:E))</f>
        <v>0.26333116045543187</v>
      </c>
      <c r="N233">
        <f>(MAX(F:F)-F233)/(MAX(F:F)-MIN(F:F))</f>
        <v>0.25536883259704191</v>
      </c>
      <c r="O233">
        <f>(MAX(G:G)-G233)/(MAX(G:G)-MIN(G:G))</f>
        <v>0.23170627154487794</v>
      </c>
      <c r="P233">
        <f>(MAX(H:H)-H233)/(MAX(H:H)-MIN(H:H))</f>
        <v>0.25806711097195262</v>
      </c>
      <c r="Q233">
        <f>(MAX(I:I)-I233)/(MAX(I:I)-MIN(I:I))</f>
        <v>0.23520895137376618</v>
      </c>
    </row>
    <row r="234" spans="1:17" x14ac:dyDescent="0.6">
      <c r="A234">
        <v>10</v>
      </c>
      <c r="B234" t="s">
        <v>572</v>
      </c>
      <c r="C234" t="s">
        <v>8</v>
      </c>
      <c r="D234">
        <v>8.7375697520000006</v>
      </c>
      <c r="E234">
        <v>0.455679263</v>
      </c>
      <c r="F234">
        <v>7.070641277</v>
      </c>
      <c r="G234">
        <v>0.539068463</v>
      </c>
      <c r="H234">
        <v>6.0185448780000002</v>
      </c>
      <c r="I234">
        <v>0.45897838499999999</v>
      </c>
      <c r="J234">
        <f>SUM(L234:Q234)</f>
        <v>1.4978709657009941</v>
      </c>
      <c r="K234">
        <f>0.5*SIN(RADIANS(60))*((L234*M234)+(M234*N234)+(N234*O234)+(O234*P234)+(P234*Q234)+(Q234*L234))</f>
        <v>0.16174330408186968</v>
      </c>
      <c r="L234">
        <f>(MAX(D:D)-D234)/(MAX(D:D)-MIN(D:D))</f>
        <v>0.25163454047415867</v>
      </c>
      <c r="M234">
        <f>(MAX(E:E)-E234)/(MAX(E:E)-MIN(E:E))</f>
        <v>0.2627633009240351</v>
      </c>
      <c r="N234">
        <f>(MAX(F:F)-F234)/(MAX(F:F)-MIN(F:F))</f>
        <v>0.24995311600050352</v>
      </c>
      <c r="O234">
        <f>(MAX(G:G)-G234)/(MAX(G:G)-MIN(G:G))</f>
        <v>0.22937738484596973</v>
      </c>
      <c r="P234">
        <f>(MAX(H:H)-H234)/(MAX(H:H)-MIN(H:H))</f>
        <v>0.26364423624404165</v>
      </c>
      <c r="Q234">
        <f>(MAX(I:I)-I234)/(MAX(I:I)-MIN(I:I))</f>
        <v>0.24049838721228556</v>
      </c>
    </row>
    <row r="235" spans="1:17" x14ac:dyDescent="0.6">
      <c r="A235">
        <v>10</v>
      </c>
      <c r="B235" t="s">
        <v>572</v>
      </c>
      <c r="C235" t="s">
        <v>184</v>
      </c>
      <c r="D235">
        <v>8.7546266619999997</v>
      </c>
      <c r="E235">
        <v>0.45755299199999999</v>
      </c>
      <c r="F235">
        <v>7.1063465920000004</v>
      </c>
      <c r="G235">
        <v>0.54180819000000002</v>
      </c>
      <c r="H235">
        <v>6.0701141779999999</v>
      </c>
      <c r="I235">
        <v>0.46117703900000001</v>
      </c>
      <c r="J235">
        <f>SUM(L235:Q235)</f>
        <v>1.4262425229084541</v>
      </c>
      <c r="K235">
        <f>0.5*SIN(RADIANS(60))*((L235*M235)+(M235*N235)+(N235*O235)+(O235*P235)+(P235*Q235)+(Q235*L235))</f>
        <v>0.14676129111672073</v>
      </c>
      <c r="L235">
        <f>(MAX(D:D)-D235)/(MAX(D:D)-MIN(D:D))</f>
        <v>0.24553640614165068</v>
      </c>
      <c r="M235">
        <f>(MAX(E:E)-E235)/(MAX(E:E)-MIN(E:E))</f>
        <v>0.25592753138451452</v>
      </c>
      <c r="N235">
        <f>(MAX(F:F)-F235)/(MAX(F:F)-MIN(F:F))</f>
        <v>0.23486057572370755</v>
      </c>
      <c r="O235">
        <f>(MAX(G:G)-G235)/(MAX(G:G)-MIN(G:G))</f>
        <v>0.21537858327300766</v>
      </c>
      <c r="P235">
        <f>(MAX(H:H)-H235)/(MAX(H:H)-MIN(H:H))</f>
        <v>0.24422544950487754</v>
      </c>
      <c r="Q235">
        <f>(MAX(I:I)-I235)/(MAX(I:I)-MIN(I:I))</f>
        <v>0.23031397688069624</v>
      </c>
    </row>
    <row r="236" spans="1:17" x14ac:dyDescent="0.6">
      <c r="A236">
        <v>20</v>
      </c>
      <c r="B236" t="s">
        <v>571</v>
      </c>
      <c r="C236" t="s">
        <v>184</v>
      </c>
      <c r="D236">
        <v>8.7556812379999993</v>
      </c>
      <c r="E236">
        <v>0.458783477</v>
      </c>
      <c r="F236">
        <v>7.1033722859999999</v>
      </c>
      <c r="G236">
        <v>0.54198011899999998</v>
      </c>
      <c r="H236">
        <v>6.0565795900000001</v>
      </c>
      <c r="I236">
        <v>0.46277180499999998</v>
      </c>
      <c r="J236">
        <f>SUM(L236:Q236)</f>
        <v>1.419464579131299</v>
      </c>
      <c r="K236">
        <f>0.5*SIN(RADIANS(60))*((L236*M236)+(M236*N236)+(N236*O236)+(O236*P236)+(P236*Q236)+(Q236*L236))</f>
        <v>0.14522018424605632</v>
      </c>
      <c r="L236">
        <f>(MAX(D:D)-D236)/(MAX(D:D)-MIN(D:D))</f>
        <v>0.24515937735321028</v>
      </c>
      <c r="M236">
        <f>(MAX(E:E)-E236)/(MAX(E:E)-MIN(E:E))</f>
        <v>0.25143845538588444</v>
      </c>
      <c r="N236">
        <f>(MAX(F:F)-F236)/(MAX(F:F)-MIN(F:F))</f>
        <v>0.23611780684183445</v>
      </c>
      <c r="O236">
        <f>(MAX(G:G)-G236)/(MAX(G:G)-MIN(G:G))</f>
        <v>0.21450010160106106</v>
      </c>
      <c r="P236">
        <f>(MAX(H:H)-H236)/(MAX(H:H)-MIN(H:H))</f>
        <v>0.24932199489088136</v>
      </c>
      <c r="Q236">
        <f>(MAX(I:I)-I236)/(MAX(I:I)-MIN(I:I))</f>
        <v>0.22292684305842733</v>
      </c>
    </row>
    <row r="237" spans="1:17" x14ac:dyDescent="0.6">
      <c r="A237">
        <v>20</v>
      </c>
      <c r="B237" t="s">
        <v>572</v>
      </c>
      <c r="C237" t="s">
        <v>167</v>
      </c>
      <c r="D237" s="13">
        <v>8.7683134799999998</v>
      </c>
      <c r="E237">
        <v>0.458940866</v>
      </c>
      <c r="F237">
        <v>7.1334171460000002</v>
      </c>
      <c r="G237">
        <v>0.54400456900000005</v>
      </c>
      <c r="H237">
        <v>6.2265105299999997</v>
      </c>
      <c r="I237">
        <v>0.47565642499999999</v>
      </c>
      <c r="J237">
        <f>SUM(L237:Q237)</f>
        <v>1.2676585180518931</v>
      </c>
      <c r="K237">
        <f>0.5*SIN(RADIANS(60))*((L237*M237)+(M237*N237)+(N237*O237)+(O237*P237)+(P237*Q237)+(Q237*L237))</f>
        <v>0.11665509548618611</v>
      </c>
      <c r="L237">
        <f>(MAX(D:D)-D237)/(MAX(D:D)-MIN(D:D))</f>
        <v>0.24064313680103777</v>
      </c>
      <c r="M237">
        <f>(MAX(E:E)-E237)/(MAX(E:E)-MIN(E:E))</f>
        <v>0.2508642661984109</v>
      </c>
      <c r="N237">
        <f>(MAX(F:F)-F237)/(MAX(F:F)-MIN(F:F))</f>
        <v>0.22341792561516846</v>
      </c>
      <c r="O237">
        <f>(MAX(G:G)-G237)/(MAX(G:G)-MIN(G:G))</f>
        <v>0.20415605131999887</v>
      </c>
      <c r="P237">
        <f>(MAX(H:H)-H237)/(MAX(H:H)-MIN(H:H))</f>
        <v>0.18533329067644164</v>
      </c>
      <c r="Q237">
        <f>(MAX(I:I)-I237)/(MAX(I:I)-MIN(I:I))</f>
        <v>0.16324384744083545</v>
      </c>
    </row>
    <row r="238" spans="1:17" x14ac:dyDescent="0.6">
      <c r="A238">
        <v>10</v>
      </c>
      <c r="B238" t="s">
        <v>572</v>
      </c>
      <c r="C238" t="s">
        <v>167</v>
      </c>
      <c r="D238">
        <v>8.7786137400000008</v>
      </c>
      <c r="E238">
        <v>0.459388764</v>
      </c>
      <c r="F238">
        <v>7.1284641290000001</v>
      </c>
      <c r="G238">
        <v>0.54342142699999996</v>
      </c>
      <c r="H238">
        <v>6.1432643230000004</v>
      </c>
      <c r="I238">
        <v>0.47157645999999998</v>
      </c>
      <c r="J238">
        <f>SUM(L238:Q238)</f>
        <v>1.3176610019047406</v>
      </c>
      <c r="K238">
        <f>0.5*SIN(RADIANS(60))*((L238*M238)+(M238*N238)+(N238*O238)+(O238*P238)+(P238*Q238)+(Q238*L238))</f>
        <v>0.12534986168994031</v>
      </c>
      <c r="L238">
        <f>(MAX(D:D)-D238)/(MAX(D:D)-MIN(D:D))</f>
        <v>0.23696061932631529</v>
      </c>
      <c r="M238">
        <f>(MAX(E:E)-E238)/(MAX(E:E)-MIN(E:E))</f>
        <v>0.24923023720851309</v>
      </c>
      <c r="N238">
        <f>(MAX(F:F)-F238)/(MAX(F:F)-MIN(F:F))</f>
        <v>0.22551155253217381</v>
      </c>
      <c r="O238">
        <f>(MAX(G:G)-G238)/(MAX(G:G)-MIN(G:G))</f>
        <v>0.20713565080084548</v>
      </c>
      <c r="P238">
        <f>(MAX(H:H)-H238)/(MAX(H:H)-MIN(H:H))</f>
        <v>0.21668024207150241</v>
      </c>
      <c r="Q238">
        <f>(MAX(I:I)-I238)/(MAX(I:I)-MIN(I:I))</f>
        <v>0.18214269996539026</v>
      </c>
    </row>
    <row r="239" spans="1:17" x14ac:dyDescent="0.6">
      <c r="A239">
        <v>20</v>
      </c>
      <c r="B239" t="s">
        <v>571</v>
      </c>
      <c r="C239" t="s">
        <v>181</v>
      </c>
      <c r="D239" s="13">
        <v>8.7464410580000003</v>
      </c>
      <c r="E239">
        <v>0.459950786</v>
      </c>
      <c r="F239">
        <v>7.0797503930000003</v>
      </c>
      <c r="G239" s="13">
        <v>0.540190579</v>
      </c>
      <c r="H239">
        <v>6.0434722900000004</v>
      </c>
      <c r="I239">
        <v>0.45915010099999998</v>
      </c>
      <c r="J239">
        <f>SUM(L239:Q239)</f>
        <v>1.459349961119953</v>
      </c>
      <c r="K239">
        <f>0.5*SIN(RADIANS(60))*((L239*M239)+(M239*N239)+(N239*O239)+(O239*P239)+(P239*Q239)+(Q239*L239))</f>
        <v>0.15356916506414353</v>
      </c>
      <c r="L239">
        <f>(MAX(D:D)-D239)/(MAX(D:D)-MIN(D:D))</f>
        <v>0.24846289826623327</v>
      </c>
      <c r="M239">
        <f>(MAX(E:E)-E239)/(MAX(E:E)-MIN(E:E))</f>
        <v>0.2471798591292175</v>
      </c>
      <c r="N239">
        <f>(MAX(F:F)-F239)/(MAX(F:F)-MIN(F:F))</f>
        <v>0.24610271725409813</v>
      </c>
      <c r="O239">
        <f>(MAX(G:G)-G239)/(MAX(G:G)-MIN(G:G))</f>
        <v>0.22364386496393554</v>
      </c>
      <c r="P239">
        <f>(MAX(H:H)-H239)/(MAX(H:H)-MIN(H:H))</f>
        <v>0.25425764194108841</v>
      </c>
      <c r="Q239">
        <f>(MAX(I:I)-I239)/(MAX(I:I)-MIN(I:I))</f>
        <v>0.2397029795653802</v>
      </c>
    </row>
    <row r="240" spans="1:17" x14ac:dyDescent="0.6">
      <c r="A240">
        <v>20</v>
      </c>
      <c r="B240" t="s">
        <v>572</v>
      </c>
      <c r="C240" t="s">
        <v>184</v>
      </c>
      <c r="D240">
        <v>8.7645078109999996</v>
      </c>
      <c r="E240">
        <v>0.46031836799999998</v>
      </c>
      <c r="F240">
        <v>7.14536807</v>
      </c>
      <c r="G240">
        <v>0.54504289500000003</v>
      </c>
      <c r="H240">
        <v>6.0385921749999998</v>
      </c>
      <c r="I240">
        <v>0.46345282500000001</v>
      </c>
      <c r="J240">
        <f>SUM(L240:Q240)</f>
        <v>1.3809270985866597</v>
      </c>
      <c r="K240">
        <f>0.5*SIN(RADIANS(60))*((L240*M240)+(M240*N240)+(N240*O240)+(O240*P240)+(P240*Q240)+(Q240*L240))</f>
        <v>0.13726164528774987</v>
      </c>
      <c r="L240">
        <f>(MAX(D:D)-D240)/(MAX(D:D)-MIN(D:D))</f>
        <v>0.24200372795072805</v>
      </c>
      <c r="M240">
        <f>(MAX(E:E)-E240)/(MAX(E:E)-MIN(E:E))</f>
        <v>0.24583884031653119</v>
      </c>
      <c r="N240">
        <f>(MAX(F:F)-F240)/(MAX(F:F)-MIN(F:F))</f>
        <v>0.21836630229760576</v>
      </c>
      <c r="O240">
        <f>(MAX(G:G)-G240)/(MAX(G:G)-MIN(G:G))</f>
        <v>0.19885066153406511</v>
      </c>
      <c r="P240">
        <f>(MAX(H:H)-H240)/(MAX(H:H)-MIN(H:H))</f>
        <v>0.25609528395770698</v>
      </c>
      <c r="Q240">
        <f>(MAX(I:I)-I240)/(MAX(I:I)-MIN(I:I))</f>
        <v>0.21977228253002259</v>
      </c>
    </row>
    <row r="241" spans="1:17" x14ac:dyDescent="0.6">
      <c r="A241">
        <v>20</v>
      </c>
      <c r="B241" t="s">
        <v>571</v>
      </c>
      <c r="C241" t="s">
        <v>171</v>
      </c>
      <c r="D241" s="13">
        <v>8.7619688240000002</v>
      </c>
      <c r="E241">
        <v>0.46103213999999998</v>
      </c>
      <c r="F241" s="13">
        <v>7.1166244860000001</v>
      </c>
      <c r="G241" s="13">
        <v>0.54288278199999995</v>
      </c>
      <c r="H241">
        <v>6.1295166019999998</v>
      </c>
      <c r="I241" s="13">
        <v>0.467201219</v>
      </c>
      <c r="J241">
        <f>SUM(L241:Q241)</f>
        <v>1.3508166800254087</v>
      </c>
      <c r="K241">
        <f>0.5*SIN(RADIANS(60))*((L241*M241)+(M241*N241)+(N241*O241)+(O241*P241)+(P241*Q241)+(Q241*L241))</f>
        <v>0.13171172955682267</v>
      </c>
      <c r="L241">
        <f>(MAX(D:D)-D241)/(MAX(D:D)-MIN(D:D))</f>
        <v>0.24291145882311282</v>
      </c>
      <c r="M241">
        <f>(MAX(E:E)-E241)/(MAX(E:E)-MIN(E:E))</f>
        <v>0.24323484534406575</v>
      </c>
      <c r="N241">
        <f>(MAX(F:F)-F241)/(MAX(F:F)-MIN(F:F))</f>
        <v>0.23051613767139986</v>
      </c>
      <c r="O241">
        <f>(MAX(G:G)-G241)/(MAX(G:G)-MIN(G:G))</f>
        <v>0.20988789015654338</v>
      </c>
      <c r="P241">
        <f>(MAX(H:H)-H241)/(MAX(H:H)-MIN(H:H))</f>
        <v>0.22185704420472005</v>
      </c>
      <c r="Q241">
        <f>(MAX(I:I)-I241)/(MAX(I:I)-MIN(I:I))</f>
        <v>0.20240930382556668</v>
      </c>
    </row>
    <row r="242" spans="1:17" x14ac:dyDescent="0.6">
      <c r="A242">
        <v>20</v>
      </c>
      <c r="B242" t="s">
        <v>571</v>
      </c>
      <c r="C242" t="s">
        <v>167</v>
      </c>
      <c r="D242">
        <v>8.7992406550000002</v>
      </c>
      <c r="E242">
        <v>0.46267243299999999</v>
      </c>
      <c r="F242">
        <v>7.1397418830000001</v>
      </c>
      <c r="G242">
        <v>0.54488651799999999</v>
      </c>
      <c r="H242">
        <v>6.0853881840000001</v>
      </c>
      <c r="I242">
        <v>0.45796710400000001</v>
      </c>
      <c r="J242">
        <f>SUM(L242:Q242)</f>
        <v>1.3708876717156351</v>
      </c>
      <c r="K242">
        <f>0.5*SIN(RADIANS(60))*((L242*M242)+(M242*N242)+(N242*O242)+(O242*P242)+(P242*Q242)+(Q242*L242))</f>
        <v>0.13565608781604835</v>
      </c>
      <c r="L242">
        <f>(MAX(D:D)-D242)/(MAX(D:D)-MIN(D:D))</f>
        <v>0.22958614771714178</v>
      </c>
      <c r="M242">
        <f>(MAX(E:E)-E242)/(MAX(E:E)-MIN(E:E))</f>
        <v>0.23725070093188608</v>
      </c>
      <c r="N242">
        <f>(MAX(F:F)-F242)/(MAX(F:F)-MIN(F:F))</f>
        <v>0.2207444763566298</v>
      </c>
      <c r="O242">
        <f>(MAX(G:G)-G242)/(MAX(G:G)-MIN(G:G))</f>
        <v>0.1996496793170689</v>
      </c>
      <c r="P242">
        <f>(MAX(H:H)-H242)/(MAX(H:H)-MIN(H:H))</f>
        <v>0.23847391389809752</v>
      </c>
      <c r="Q242">
        <f>(MAX(I:I)-I242)/(MAX(I:I)-MIN(I:I))</f>
        <v>0.24518275349481095</v>
      </c>
    </row>
    <row r="243" spans="1:17" x14ac:dyDescent="0.6">
      <c r="A243">
        <v>5</v>
      </c>
      <c r="B243" t="s">
        <v>572</v>
      </c>
      <c r="C243" t="s">
        <v>184</v>
      </c>
      <c r="D243">
        <v>8.8213149909999995</v>
      </c>
      <c r="E243">
        <v>0.46396061700000002</v>
      </c>
      <c r="F243">
        <v>7.1617222480000002</v>
      </c>
      <c r="G243">
        <v>0.54613020499999998</v>
      </c>
      <c r="H243">
        <v>6.0617649220000001</v>
      </c>
      <c r="I243">
        <v>0.46026925699999999</v>
      </c>
      <c r="J243">
        <f>SUM(L243:Q243)</f>
        <v>1.3408820909771619</v>
      </c>
      <c r="K243">
        <f>0.5*SIN(RADIANS(60))*((L243*M243)+(M243*N243)+(N243*O243)+(O243*P243)+(P243*Q243)+(Q243*L243))</f>
        <v>0.12965327935328125</v>
      </c>
      <c r="L243">
        <f>(MAX(D:D)-D243)/(MAX(D:D)-MIN(D:D))</f>
        <v>0.22169419857577208</v>
      </c>
      <c r="M243">
        <f>(MAX(E:E)-E243)/(MAX(E:E)-MIN(E:E))</f>
        <v>0.23255112647448162</v>
      </c>
      <c r="N243">
        <f>(MAX(F:F)-F243)/(MAX(F:F)-MIN(F:F))</f>
        <v>0.21145343539924924</v>
      </c>
      <c r="O243">
        <f>(MAX(G:G)-G243)/(MAX(G:G)-MIN(G:G))</f>
        <v>0.19329498502385201</v>
      </c>
      <c r="P243">
        <f>(MAX(H:H)-H243)/(MAX(H:H)-MIN(H:H))</f>
        <v>0.24736942124183506</v>
      </c>
      <c r="Q243">
        <f>(MAX(I:I)-I243)/(MAX(I:I)-MIN(I:I))</f>
        <v>0.23451892426197177</v>
      </c>
    </row>
    <row r="244" spans="1:17" x14ac:dyDescent="0.6">
      <c r="A244">
        <v>20</v>
      </c>
      <c r="B244" t="s">
        <v>572</v>
      </c>
      <c r="C244" t="s">
        <v>8</v>
      </c>
      <c r="D244">
        <v>8.8142353609999997</v>
      </c>
      <c r="E244">
        <v>0.46452645199999998</v>
      </c>
      <c r="F244">
        <v>7.203232549</v>
      </c>
      <c r="G244">
        <v>0.54929060600000001</v>
      </c>
      <c r="H244">
        <v>6.1949852270000001</v>
      </c>
      <c r="I244">
        <v>0.47585349799999999</v>
      </c>
      <c r="J244">
        <f>SUM(L244:Q244)</f>
        <v>1.1853013424091532</v>
      </c>
      <c r="K244">
        <f>0.5*SIN(RADIANS(60))*((L244*M244)+(M244*N244)+(N244*O244)+(O244*P244)+(P244*Q244)+(Q244*L244))</f>
        <v>0.10135495165913903</v>
      </c>
      <c r="L244">
        <f>(MAX(D:D)-D244)/(MAX(D:D)-MIN(D:D))</f>
        <v>0.22422528625604093</v>
      </c>
      <c r="M244">
        <f>(MAX(E:E)-E244)/(MAX(E:E)-MIN(E:E))</f>
        <v>0.23048683774468431</v>
      </c>
      <c r="N244">
        <f>(MAX(F:F)-F244)/(MAX(F:F)-MIN(F:F))</f>
        <v>0.19390714320873326</v>
      </c>
      <c r="O244">
        <f>(MAX(G:G)-G244)/(MAX(G:G)-MIN(G:G))</f>
        <v>0.17714672408763796</v>
      </c>
      <c r="P244">
        <f>(MAX(H:H)-H244)/(MAX(H:H)-MIN(H:H))</f>
        <v>0.19720436776774453</v>
      </c>
      <c r="Q244">
        <f>(MAX(I:I)-I244)/(MAX(I:I)-MIN(I:I))</f>
        <v>0.16233098334431223</v>
      </c>
    </row>
    <row r="245" spans="1:17" x14ac:dyDescent="0.6">
      <c r="A245">
        <v>20</v>
      </c>
      <c r="B245" t="s">
        <v>572</v>
      </c>
      <c r="C245" t="s">
        <v>174</v>
      </c>
      <c r="D245">
        <v>8.8057263359999993</v>
      </c>
      <c r="E245">
        <v>0.46477906000000002</v>
      </c>
      <c r="F245">
        <v>7.192400879</v>
      </c>
      <c r="G245">
        <v>0.54856460900000004</v>
      </c>
      <c r="H245">
        <v>6.3155711720000003</v>
      </c>
      <c r="I245">
        <v>0.48427843300000001</v>
      </c>
      <c r="J245">
        <f>SUM(L245:Q245)</f>
        <v>1.1112772046536421</v>
      </c>
      <c r="K245">
        <f>0.5*SIN(RADIANS(60))*((L245*M245)+(M245*N245)+(N245*O245)+(O245*P245)+(P245*Q245)+(Q245*L245))</f>
        <v>8.9992902739267661E-2</v>
      </c>
      <c r="L245">
        <f>(MAX(D:D)-D245)/(MAX(D:D)-MIN(D:D))</f>
        <v>0.22726740686807875</v>
      </c>
      <c r="M245">
        <f>(MAX(E:E)-E245)/(MAX(E:E)-MIN(E:E))</f>
        <v>0.22956526900564067</v>
      </c>
      <c r="N245">
        <f>(MAX(F:F)-F245)/(MAX(F:F)-MIN(F:F))</f>
        <v>0.1984856608815212</v>
      </c>
      <c r="O245">
        <f>(MAX(G:G)-G245)/(MAX(G:G)-MIN(G:G))</f>
        <v>0.18085624987088764</v>
      </c>
      <c r="P245">
        <f>(MAX(H:H)-H245)/(MAX(H:H)-MIN(H:H))</f>
        <v>0.15179687242273124</v>
      </c>
      <c r="Q245">
        <f>(MAX(I:I)-I245)/(MAX(I:I)-MIN(I:I))</f>
        <v>0.12330574560478268</v>
      </c>
    </row>
    <row r="246" spans="1:17" x14ac:dyDescent="0.6">
      <c r="A246">
        <v>10</v>
      </c>
      <c r="B246" t="s">
        <v>571</v>
      </c>
      <c r="C246" t="s">
        <v>177</v>
      </c>
      <c r="D246">
        <v>8.832915989</v>
      </c>
      <c r="E246">
        <v>0.46488507400000001</v>
      </c>
      <c r="F246" s="13">
        <v>7.1605576739999997</v>
      </c>
      <c r="G246" s="13">
        <v>0.54602441700000004</v>
      </c>
      <c r="H246">
        <v>6.2272491460000001</v>
      </c>
      <c r="I246" s="13">
        <v>0.470602295</v>
      </c>
      <c r="J246">
        <f>SUM(L246:Q246)</f>
        <v>1.2242166654717719</v>
      </c>
      <c r="K246">
        <f>0.5*SIN(RADIANS(60))*((L246*M246)+(M246*N246)+(N246*O246)+(O246*P246)+(P246*Q246)+(Q246*L246))</f>
        <v>0.10848309490018722</v>
      </c>
      <c r="L246">
        <f>(MAX(D:D)-D246)/(MAX(D:D)-MIN(D:D))</f>
        <v>0.21754664522670925</v>
      </c>
      <c r="M246">
        <f>(MAX(E:E)-E246)/(MAX(E:E)-MIN(E:E))</f>
        <v>0.22917850695415795</v>
      </c>
      <c r="N246">
        <f>(MAX(F:F)-F246)/(MAX(F:F)-MIN(F:F))</f>
        <v>0.21194569768569926</v>
      </c>
      <c r="O246">
        <f>(MAX(G:G)-G246)/(MAX(G:G)-MIN(G:G))</f>
        <v>0.19383551523755566</v>
      </c>
      <c r="P246">
        <f>(MAX(H:H)-H246)/(MAX(H:H)-MIN(H:H))</f>
        <v>0.1850551595676978</v>
      </c>
      <c r="Q246">
        <f>(MAX(I:I)-I246)/(MAX(I:I)-MIN(I:I))</f>
        <v>0.18665514079995188</v>
      </c>
    </row>
    <row r="247" spans="1:17" x14ac:dyDescent="0.6">
      <c r="A247">
        <v>10</v>
      </c>
      <c r="B247" t="s">
        <v>571</v>
      </c>
      <c r="C247" t="s">
        <v>167</v>
      </c>
      <c r="D247">
        <v>8.8441499179999994</v>
      </c>
      <c r="E247">
        <v>0.46534006300000003</v>
      </c>
      <c r="F247">
        <v>7.1797454050000002</v>
      </c>
      <c r="G247">
        <v>0.54736779700000004</v>
      </c>
      <c r="H247">
        <v>5.9304199219999996</v>
      </c>
      <c r="I247">
        <v>0.44901758000000003</v>
      </c>
      <c r="J247">
        <f>SUM(L247:Q247)</f>
        <v>1.41532172402756</v>
      </c>
      <c r="K247">
        <f>0.5*SIN(RADIANS(60))*((L247*M247)+(M247*N247)+(N247*O247)+(O247*P247)+(P247*Q247)+(Q247*L247))</f>
        <v>0.14499703459443622</v>
      </c>
      <c r="L247">
        <f>(MAX(D:D)-D247)/(MAX(D:D)-MIN(D:D))</f>
        <v>0.21353032526466115</v>
      </c>
      <c r="M247">
        <f>(MAX(E:E)-E247)/(MAX(E:E)-MIN(E:E))</f>
        <v>0.22751860845922242</v>
      </c>
      <c r="N247">
        <f>(MAX(F:F)-F247)/(MAX(F:F)-MIN(F:F))</f>
        <v>0.20383509558240365</v>
      </c>
      <c r="O247">
        <f>(MAX(G:G)-G247)/(MAX(G:G)-MIN(G:G))</f>
        <v>0.1869714335034684</v>
      </c>
      <c r="P247">
        <f>(MAX(H:H)-H247)/(MAX(H:H)-MIN(H:H))</f>
        <v>0.29682831527870462</v>
      </c>
      <c r="Q247">
        <f>(MAX(I:I)-I247)/(MAX(I:I)-MIN(I:I))</f>
        <v>0.28663794593909969</v>
      </c>
    </row>
    <row r="248" spans="1:17" x14ac:dyDescent="0.6">
      <c r="A248">
        <v>10</v>
      </c>
      <c r="B248" t="s">
        <v>572</v>
      </c>
      <c r="C248" t="s">
        <v>171</v>
      </c>
      <c r="D248">
        <v>8.8627020529999996</v>
      </c>
      <c r="E248">
        <v>0.46680387499999998</v>
      </c>
      <c r="F248">
        <v>7.1943175830000001</v>
      </c>
      <c r="G248">
        <v>0.54824348899999997</v>
      </c>
      <c r="H248">
        <v>6.1477320110000004</v>
      </c>
      <c r="I248">
        <v>0.46646756299999997</v>
      </c>
      <c r="J248">
        <f>SUM(L248:Q248)</f>
        <v>1.2300540174920527</v>
      </c>
      <c r="K248">
        <f>0.5*SIN(RADIANS(60))*((L248*M248)+(M248*N248)+(N248*O248)+(O248*P248)+(P248*Q248)+(Q248*L248))</f>
        <v>0.10913148589794414</v>
      </c>
      <c r="L248">
        <f>(MAX(D:D)-D248)/(MAX(D:D)-MIN(D:D))</f>
        <v>0.20689762265997891</v>
      </c>
      <c r="M248">
        <f>(MAX(E:E)-E248)/(MAX(E:E)-MIN(E:E))</f>
        <v>0.22217830498887828</v>
      </c>
      <c r="N248">
        <f>(MAX(F:F)-F248)/(MAX(F:F)-MIN(F:F))</f>
        <v>0.19767547527417684</v>
      </c>
      <c r="O248">
        <f>(MAX(G:G)-G248)/(MAX(G:G)-MIN(G:G))</f>
        <v>0.18249703202221529</v>
      </c>
      <c r="P248">
        <f>(MAX(H:H)-H248)/(MAX(H:H)-MIN(H:H))</f>
        <v>0.21499790237542113</v>
      </c>
      <c r="Q248">
        <f>(MAX(I:I)-I248)/(MAX(I:I)-MIN(I:I))</f>
        <v>0.20580768017138221</v>
      </c>
    </row>
    <row r="249" spans="1:17" x14ac:dyDescent="0.6">
      <c r="A249">
        <v>5</v>
      </c>
      <c r="B249" t="s">
        <v>572</v>
      </c>
      <c r="C249" t="s">
        <v>167</v>
      </c>
      <c r="D249">
        <v>8.8549239790000005</v>
      </c>
      <c r="E249">
        <v>0.467803356</v>
      </c>
      <c r="F249">
        <v>7.1679530119999999</v>
      </c>
      <c r="G249">
        <v>0.54679461799999995</v>
      </c>
      <c r="H249">
        <v>6.2397036019999996</v>
      </c>
      <c r="I249">
        <v>0.474482126</v>
      </c>
      <c r="J249">
        <f>SUM(L249:Q249)</f>
        <v>1.1759789090980803</v>
      </c>
      <c r="K249">
        <f>0.5*SIN(RADIANS(60))*((L249*M249)+(M249*N249)+(N249*O249)+(O249*P249)+(P249*Q249)+(Q249*L249))</f>
        <v>0.10009322273037535</v>
      </c>
      <c r="L249">
        <f>(MAX(D:D)-D249)/(MAX(D:D)-MIN(D:D))</f>
        <v>0.20967841590448713</v>
      </c>
      <c r="M249">
        <f>(MAX(E:E)-E249)/(MAX(E:E)-MIN(E:E))</f>
        <v>0.21853198165443141</v>
      </c>
      <c r="N249">
        <f>(MAX(F:F)-F249)/(MAX(F:F)-MIN(F:F))</f>
        <v>0.20881970827416424</v>
      </c>
      <c r="O249">
        <f>(MAX(G:G)-G249)/(MAX(G:G)-MIN(G:G))</f>
        <v>0.18990012643046078</v>
      </c>
      <c r="P249">
        <f>(MAX(H:H)-H249)/(MAX(H:H)-MIN(H:H))</f>
        <v>0.18036534556951875</v>
      </c>
      <c r="Q249">
        <f>(MAX(I:I)-I249)/(MAX(I:I)-MIN(I:I))</f>
        <v>0.16868333126501822</v>
      </c>
    </row>
    <row r="250" spans="1:17" x14ac:dyDescent="0.6">
      <c r="A250">
        <v>10</v>
      </c>
      <c r="B250" t="s">
        <v>572</v>
      </c>
      <c r="C250" t="s">
        <v>181</v>
      </c>
      <c r="D250">
        <v>8.8719059720000004</v>
      </c>
      <c r="E250">
        <v>0.467819084</v>
      </c>
      <c r="F250">
        <v>7.204008784</v>
      </c>
      <c r="G250">
        <v>0.54894206599999995</v>
      </c>
      <c r="H250">
        <v>6.1036284500000004</v>
      </c>
      <c r="I250">
        <v>0.46982194300000002</v>
      </c>
      <c r="J250">
        <f>SUM(L250:Q250)</f>
        <v>1.2164635395444097</v>
      </c>
      <c r="K250">
        <f>0.5*SIN(RADIANS(60))*((L250*M250)+(M250*N250)+(N250*O250)+(O250*P250)+(P250*Q250)+(Q250*L250))</f>
        <v>0.10637394792182465</v>
      </c>
      <c r="L250">
        <f>(MAX(D:D)-D250)/(MAX(D:D)-MIN(D:D))</f>
        <v>0.20360706566885148</v>
      </c>
      <c r="M250">
        <f>(MAX(E:E)-E250)/(MAX(E:E)-MIN(E:E))</f>
        <v>0.21847460250124676</v>
      </c>
      <c r="N250">
        <f>(MAX(F:F)-F250)/(MAX(F:F)-MIN(F:F))</f>
        <v>0.1935790307694015</v>
      </c>
      <c r="O250">
        <f>(MAX(G:G)-G250)/(MAX(G:G)-MIN(G:G))</f>
        <v>0.17892761039501129</v>
      </c>
      <c r="P250">
        <f>(MAX(H:H)-H250)/(MAX(H:H)-MIN(H:H))</f>
        <v>0.23160541198863521</v>
      </c>
      <c r="Q250">
        <f>(MAX(I:I)-I250)/(MAX(I:I)-MIN(I:I))</f>
        <v>0.19026981822126335</v>
      </c>
    </row>
    <row r="251" spans="1:17" x14ac:dyDescent="0.6">
      <c r="A251">
        <v>10</v>
      </c>
      <c r="B251" t="s">
        <v>572</v>
      </c>
      <c r="C251" t="s">
        <v>7</v>
      </c>
      <c r="D251">
        <v>8.8967624240000003</v>
      </c>
      <c r="E251">
        <v>0.46913967000000001</v>
      </c>
      <c r="F251">
        <v>7.2311503269999999</v>
      </c>
      <c r="G251">
        <v>0.55074725800000002</v>
      </c>
      <c r="H251">
        <v>6.1222732339999997</v>
      </c>
      <c r="I251">
        <v>0.46703848100000001</v>
      </c>
      <c r="J251">
        <f>SUM(L251:Q251)</f>
        <v>1.1879352377566621</v>
      </c>
      <c r="K251">
        <f>0.5*SIN(RADIANS(60))*((L251*M251)+(M251*N251)+(N251*O251)+(O251*P251)+(P251*Q251)+(Q251*L251))</f>
        <v>0.10163499960145937</v>
      </c>
      <c r="L251">
        <f>(MAX(D:D)-D251)/(MAX(D:D)-MIN(D:D))</f>
        <v>0.19472046291808687</v>
      </c>
      <c r="M251">
        <f>(MAX(E:E)-E251)/(MAX(E:E)-MIN(E:E))</f>
        <v>0.21365681852441903</v>
      </c>
      <c r="N251">
        <f>(MAX(F:F)-F251)/(MAX(F:F)-MIN(F:F))</f>
        <v>0.18210637380217173</v>
      </c>
      <c r="O251">
        <f>(MAX(G:G)-G251)/(MAX(G:G)-MIN(G:G))</f>
        <v>0.16970387218711713</v>
      </c>
      <c r="P251">
        <f>(MAX(H:H)-H251)/(MAX(H:H)-MIN(H:H))</f>
        <v>0.22458458594884476</v>
      </c>
      <c r="Q251">
        <f>(MAX(I:I)-I251)/(MAX(I:I)-MIN(I:I))</f>
        <v>0.2031631243760226</v>
      </c>
    </row>
    <row r="252" spans="1:17" x14ac:dyDescent="0.6">
      <c r="A252">
        <v>20</v>
      </c>
      <c r="B252" t="s">
        <v>572</v>
      </c>
      <c r="C252" t="s">
        <v>7</v>
      </c>
      <c r="D252">
        <v>8.8620488769999994</v>
      </c>
      <c r="E252">
        <v>0.46986672099999999</v>
      </c>
      <c r="F252">
        <v>7.225846948</v>
      </c>
      <c r="G252">
        <v>0.55106571299999996</v>
      </c>
      <c r="H252">
        <v>6.3760977900000002</v>
      </c>
      <c r="I252">
        <v>0.49124622800000001</v>
      </c>
      <c r="J252">
        <f>SUM(L252:Q252)</f>
        <v>0.99059561442954747</v>
      </c>
      <c r="K252">
        <f>0.5*SIN(RADIANS(60))*((L252*M252)+(M252*N252)+(N252*O252)+(O252*P252)+(P252*Q252)+(Q252*L252))</f>
        <v>7.1823708416488358E-2</v>
      </c>
      <c r="L252">
        <f>(MAX(D:D)-D252)/(MAX(D:D)-MIN(D:D))</f>
        <v>0.20713114414721026</v>
      </c>
      <c r="M252">
        <f>(MAX(E:E)-E252)/(MAX(E:E)-MIN(E:E))</f>
        <v>0.21100437888161164</v>
      </c>
      <c r="N252">
        <f>(MAX(F:F)-F252)/(MAX(F:F)-MIN(F:F))</f>
        <v>0.18434809779090033</v>
      </c>
      <c r="O252">
        <f>(MAX(G:G)-G252)/(MAX(G:G)-MIN(G:G))</f>
        <v>0.16807670701521615</v>
      </c>
      <c r="P252">
        <f>(MAX(H:H)-H252)/(MAX(H:H)-MIN(H:H))</f>
        <v>0.12900514387522607</v>
      </c>
      <c r="Q252">
        <f>(MAX(I:I)-I252)/(MAX(I:I)-MIN(I:I))</f>
        <v>9.1030142719383034E-2</v>
      </c>
    </row>
    <row r="253" spans="1:17" x14ac:dyDescent="0.6">
      <c r="A253">
        <v>10</v>
      </c>
      <c r="B253" t="s">
        <v>572</v>
      </c>
      <c r="C253" t="s">
        <v>177</v>
      </c>
      <c r="D253">
        <v>8.9115754890000005</v>
      </c>
      <c r="E253">
        <v>0.47051156300000002</v>
      </c>
      <c r="F253">
        <v>7.213926624</v>
      </c>
      <c r="G253">
        <v>0.54966122399999995</v>
      </c>
      <c r="H253">
        <v>6.2851549960000002</v>
      </c>
      <c r="I253">
        <v>0.47831397199999998</v>
      </c>
      <c r="J253">
        <f>SUM(L253:Q253)</f>
        <v>1.076900305601288</v>
      </c>
      <c r="K253">
        <f>0.5*SIN(RADIANS(60))*((L253*M253)+(M253*N253)+(N253*O253)+(O253*P253)+(P253*Q253)+(Q253*L253))</f>
        <v>8.4035188835026392E-2</v>
      </c>
      <c r="L253">
        <f>(MAX(D:D)-D253)/(MAX(D:D)-MIN(D:D))</f>
        <v>0.18942454119216001</v>
      </c>
      <c r="M253">
        <f>(MAX(E:E)-E253)/(MAX(E:E)-MIN(E:E))</f>
        <v>0.2086518554903401</v>
      </c>
      <c r="N253">
        <f>(MAX(F:F)-F253)/(MAX(F:F)-MIN(F:F))</f>
        <v>0.18938678657105693</v>
      </c>
      <c r="O253">
        <f>(MAX(G:G)-G253)/(MAX(G:G)-MIN(G:G))</f>
        <v>0.17525302889780076</v>
      </c>
      <c r="P253">
        <f>(MAX(H:H)-H253)/(MAX(H:H)-MIN(H:H))</f>
        <v>0.16325029985271164</v>
      </c>
      <c r="Q253">
        <f>(MAX(I:I)-I253)/(MAX(I:I)-MIN(I:I))</f>
        <v>0.15093379359721856</v>
      </c>
    </row>
    <row r="254" spans="1:17" x14ac:dyDescent="0.6">
      <c r="A254">
        <v>10</v>
      </c>
      <c r="B254" t="s">
        <v>572</v>
      </c>
      <c r="C254" t="s">
        <v>174</v>
      </c>
      <c r="D254">
        <v>8.907252154</v>
      </c>
      <c r="E254">
        <v>0.470730125</v>
      </c>
      <c r="F254">
        <v>7.2217263770000004</v>
      </c>
      <c r="G254">
        <v>0.55034154199999996</v>
      </c>
      <c r="H254">
        <v>6.3215509220000001</v>
      </c>
      <c r="I254">
        <v>0.48160788399999999</v>
      </c>
      <c r="J254">
        <f>SUM(L254:Q254)</f>
        <v>1.0419126366043894</v>
      </c>
      <c r="K254">
        <f>0.5*SIN(RADIANS(60))*((L254*M254)+(M254*N254)+(N254*O254)+(O254*P254)+(P254*Q254)+(Q254*L254))</f>
        <v>7.8906926396521637E-2</v>
      </c>
      <c r="L254">
        <f>(MAX(D:D)-D254)/(MAX(D:D)-MIN(D:D))</f>
        <v>0.19097020670803819</v>
      </c>
      <c r="M254">
        <f>(MAX(E:E)-E254)/(MAX(E:E)-MIN(E:E))</f>
        <v>0.20785449393907174</v>
      </c>
      <c r="N254">
        <f>(MAX(F:F)-F254)/(MAX(F:F)-MIN(F:F))</f>
        <v>0.18608985203059522</v>
      </c>
      <c r="O254">
        <f>(MAX(G:G)-G254)/(MAX(G:G)-MIN(G:G))</f>
        <v>0.17177690274051774</v>
      </c>
      <c r="P254">
        <f>(MAX(H:H)-H254)/(MAX(H:H)-MIN(H:H))</f>
        <v>0.149545155024909</v>
      </c>
      <c r="Q254">
        <f>(MAX(I:I)-I254)/(MAX(I:I)-MIN(I:I))</f>
        <v>0.13567602616125743</v>
      </c>
    </row>
    <row r="255" spans="1:17" x14ac:dyDescent="0.6">
      <c r="A255">
        <v>20</v>
      </c>
      <c r="B255" t="s">
        <v>571</v>
      </c>
      <c r="C255" t="s">
        <v>7</v>
      </c>
      <c r="D255">
        <v>8.8597977760000006</v>
      </c>
      <c r="E255">
        <v>0.47091724000000001</v>
      </c>
      <c r="F255">
        <v>7.1502868570000002</v>
      </c>
      <c r="G255">
        <v>0.54551980200000005</v>
      </c>
      <c r="H255">
        <v>6.145965576</v>
      </c>
      <c r="I255">
        <v>0.47494194499999998</v>
      </c>
      <c r="J255">
        <f>SUM(L255:Q255)</f>
        <v>1.2100252937642766</v>
      </c>
      <c r="K255">
        <f>0.5*SIN(RADIANS(60))*((L255*M255)+(M255*N255)+(N255*O255)+(O255*P255)+(P255*Q255)+(Q255*L255))</f>
        <v>0.10534331183272691</v>
      </c>
      <c r="L255">
        <f>(MAX(D:D)-D255)/(MAX(D:D)-MIN(D:D))</f>
        <v>0.20793595089673503</v>
      </c>
      <c r="M255">
        <f>(MAX(E:E)-E255)/(MAX(E:E)-MIN(E:E))</f>
        <v>0.20717185786022174</v>
      </c>
      <c r="N255">
        <f>(MAX(F:F)-F255)/(MAX(F:F)-MIN(F:F))</f>
        <v>0.21628714430920867</v>
      </c>
      <c r="O255">
        <f>(MAX(G:G)-G255)/(MAX(G:G)-MIN(G:G))</f>
        <v>0.1964138762405826</v>
      </c>
      <c r="P255">
        <f>(MAX(H:H)-H255)/(MAX(H:H)-MIN(H:H))</f>
        <v>0.21566306603972535</v>
      </c>
      <c r="Q255">
        <f>(MAX(I:I)-I255)/(MAX(I:I)-MIN(I:I))</f>
        <v>0.1665533984178032</v>
      </c>
    </row>
    <row r="256" spans="1:17" x14ac:dyDescent="0.6">
      <c r="A256">
        <v>5</v>
      </c>
      <c r="B256" t="s">
        <v>572</v>
      </c>
      <c r="C256" t="s">
        <v>8</v>
      </c>
      <c r="D256">
        <v>8.8915684479999992</v>
      </c>
      <c r="E256">
        <v>0.47145165300000003</v>
      </c>
      <c r="F256">
        <v>7.221798272</v>
      </c>
      <c r="G256">
        <v>0.55075135399999997</v>
      </c>
      <c r="H256">
        <v>6.0413459969999996</v>
      </c>
      <c r="I256">
        <v>0.47041985400000003</v>
      </c>
      <c r="J256">
        <f>SUM(L256:Q256)</f>
        <v>1.2001005469122055</v>
      </c>
      <c r="K256">
        <f>0.5*SIN(RADIANS(60))*((L256*M256)+(M256*N256)+(N256*O256)+(O256*P256)+(P256*Q256)+(Q256*L256))</f>
        <v>0.10308193877234924</v>
      </c>
      <c r="L256">
        <f>(MAX(D:D)-D256)/(MAX(D:D)-MIN(D:D))</f>
        <v>0.19657739734336263</v>
      </c>
      <c r="M256">
        <f>(MAX(E:E)-E256)/(MAX(E:E)-MIN(E:E))</f>
        <v>0.20522220339742381</v>
      </c>
      <c r="N256">
        <f>(MAX(F:F)-F256)/(MAX(F:F)-MIN(F:F))</f>
        <v>0.18605946220815017</v>
      </c>
      <c r="O256">
        <f>(MAX(G:G)-G256)/(MAX(G:G)-MIN(G:G))</f>
        <v>0.16968294342624343</v>
      </c>
      <c r="P256">
        <f>(MAX(H:H)-H256)/(MAX(H:H)-MIN(H:H))</f>
        <v>0.25505831269504459</v>
      </c>
      <c r="Q256">
        <f>(MAX(I:I)-I256)/(MAX(I:I)-MIN(I:I))</f>
        <v>0.18750022784198089</v>
      </c>
    </row>
    <row r="257" spans="1:17" x14ac:dyDescent="0.6">
      <c r="A257">
        <v>5</v>
      </c>
      <c r="B257" t="s">
        <v>572</v>
      </c>
      <c r="C257" t="s">
        <v>177</v>
      </c>
      <c r="D257">
        <v>8.8925339670000003</v>
      </c>
      <c r="E257">
        <v>0.47167445299999999</v>
      </c>
      <c r="F257">
        <v>7.1793570439999996</v>
      </c>
      <c r="G257">
        <v>0.54744117400000003</v>
      </c>
      <c r="H257">
        <v>6.2531170039999999</v>
      </c>
      <c r="I257">
        <v>0.47338440300000001</v>
      </c>
      <c r="J257">
        <f>SUM(L257:Q257)</f>
        <v>1.1403198927952487</v>
      </c>
      <c r="K257">
        <f>0.5*SIN(RADIANS(60))*((L257*M257)+(M257*N257)+(N257*O257)+(O257*P257)+(P257*Q257)+(Q257*L257))</f>
        <v>9.4029847896131363E-2</v>
      </c>
      <c r="L257">
        <f>(MAX(D:D)-D257)/(MAX(D:D)-MIN(D:D))</f>
        <v>0.19623220794137861</v>
      </c>
      <c r="M257">
        <f>(MAX(E:E)-E257)/(MAX(E:E)-MIN(E:E))</f>
        <v>0.20440938070353107</v>
      </c>
      <c r="N257">
        <f>(MAX(F:F)-F257)/(MAX(F:F)-MIN(F:F))</f>
        <v>0.20399925472886254</v>
      </c>
      <c r="O257">
        <f>(MAX(G:G)-G257)/(MAX(G:G)-MIN(G:G))</f>
        <v>0.18659650926356458</v>
      </c>
      <c r="P257">
        <f>(MAX(H:H)-H257)/(MAX(H:H)-MIN(H:H))</f>
        <v>0.17531443363383831</v>
      </c>
      <c r="Q257">
        <f>(MAX(I:I)-I257)/(MAX(I:I)-MIN(I:I))</f>
        <v>0.17376810652407357</v>
      </c>
    </row>
    <row r="258" spans="1:17" x14ac:dyDescent="0.6">
      <c r="A258">
        <v>5</v>
      </c>
      <c r="B258" t="s">
        <v>571</v>
      </c>
      <c r="C258" t="s">
        <v>181</v>
      </c>
      <c r="D258">
        <v>8.9015281089999991</v>
      </c>
      <c r="E258">
        <v>0.47232593699999997</v>
      </c>
      <c r="F258">
        <v>7.2147249889999996</v>
      </c>
      <c r="G258">
        <v>0.55003718499999998</v>
      </c>
      <c r="H258">
        <v>6.0359191890000004</v>
      </c>
      <c r="I258">
        <v>0.46123464600000003</v>
      </c>
      <c r="J258">
        <f>SUM(L258:Q258)</f>
        <v>1.2445795794908943</v>
      </c>
      <c r="K258">
        <f>0.5*SIN(RADIANS(60))*((L258*M258)+(M258*N258)+(N258*O258)+(O258*P258)+(P258*Q258)+(Q258*L258))</f>
        <v>0.11174782092455107</v>
      </c>
      <c r="L258">
        <f>(MAX(D:D)-D258)/(MAX(D:D)-MIN(D:D))</f>
        <v>0.19301664978215469</v>
      </c>
      <c r="M258">
        <f>(MAX(E:E)-E258)/(MAX(E:E)-MIN(E:E))</f>
        <v>0.20203262585654683</v>
      </c>
      <c r="N258">
        <f>(MAX(F:F)-F258)/(MAX(F:F)-MIN(F:F))</f>
        <v>0.18904931984045734</v>
      </c>
      <c r="O258">
        <f>(MAX(G:G)-G258)/(MAX(G:G)-MIN(G:G))</f>
        <v>0.17333203332482111</v>
      </c>
      <c r="P258">
        <f>(MAX(H:H)-H258)/(MAX(H:H)-MIN(H:H))</f>
        <v>0.25710181584956437</v>
      </c>
      <c r="Q258">
        <f>(MAX(I:I)-I258)/(MAX(I:I)-MIN(I:I))</f>
        <v>0.23004713483734973</v>
      </c>
    </row>
    <row r="259" spans="1:17" x14ac:dyDescent="0.6">
      <c r="A259">
        <v>30</v>
      </c>
      <c r="B259" t="s">
        <v>572</v>
      </c>
      <c r="C259" t="s">
        <v>167</v>
      </c>
      <c r="D259">
        <v>8.8812635649999994</v>
      </c>
      <c r="E259">
        <v>0.47386569899999997</v>
      </c>
      <c r="F259">
        <v>7.2212946379999998</v>
      </c>
      <c r="G259">
        <v>0.55165120700000003</v>
      </c>
      <c r="H259">
        <v>6.1029298189999999</v>
      </c>
      <c r="I259">
        <v>0.47095258899999998</v>
      </c>
      <c r="J259">
        <f>SUM(L259:Q259)</f>
        <v>1.1649352711490002</v>
      </c>
      <c r="K259">
        <f>0.5*SIN(RADIANS(60))*((L259*M259)+(M259*N259)+(N259*O259)+(O259*P259)+(P259*Q259)+(Q259*L259))</f>
        <v>9.7388059845563563E-2</v>
      </c>
      <c r="L259">
        <f>(MAX(D:D)-D259)/(MAX(D:D)-MIN(D:D))</f>
        <v>0.20026156761891553</v>
      </c>
      <c r="M259">
        <f>(MAX(E:E)-E259)/(MAX(E:E)-MIN(E:E))</f>
        <v>0.19641524032336066</v>
      </c>
      <c r="N259">
        <f>(MAX(F:F)-F259)/(MAX(F:F)-MIN(F:F))</f>
        <v>0.18627234694057074</v>
      </c>
      <c r="O259">
        <f>(MAX(G:G)-G259)/(MAX(G:G)-MIN(G:G))</f>
        <v>0.16508508984746156</v>
      </c>
      <c r="P259">
        <f>(MAX(H:H)-H259)/(MAX(H:H)-MIN(H:H))</f>
        <v>0.2318684864612067</v>
      </c>
      <c r="Q259">
        <f>(MAX(I:I)-I259)/(MAX(I:I)-MIN(I:I))</f>
        <v>0.18503253995748489</v>
      </c>
    </row>
    <row r="260" spans="1:17" x14ac:dyDescent="0.6">
      <c r="A260">
        <v>10</v>
      </c>
      <c r="B260" t="s">
        <v>571</v>
      </c>
      <c r="C260" t="s">
        <v>8</v>
      </c>
      <c r="D260">
        <v>8.9246045469999995</v>
      </c>
      <c r="E260">
        <v>0.47413254199999999</v>
      </c>
      <c r="F260">
        <v>7.2385178420000003</v>
      </c>
      <c r="G260">
        <v>0.55194834100000001</v>
      </c>
      <c r="H260">
        <v>6.258300781</v>
      </c>
      <c r="I260">
        <v>0.47728499800000002</v>
      </c>
      <c r="J260">
        <f>SUM(L260:Q260)</f>
        <v>1.0518297434918091</v>
      </c>
      <c r="K260">
        <f>0.5*SIN(RADIANS(60))*((L260*M260)+(M260*N260)+(N260*O260)+(O260*P260)+(P260*Q260)+(Q260*L260))</f>
        <v>7.9885583573246752E-2</v>
      </c>
      <c r="L260">
        <f>(MAX(D:D)-D260)/(MAX(D:D)-MIN(D:D))</f>
        <v>0.18476643219644881</v>
      </c>
      <c r="M260">
        <f>(MAX(E:E)-E260)/(MAX(E:E)-MIN(E:E))</f>
        <v>0.19544173921875355</v>
      </c>
      <c r="N260">
        <f>(MAX(F:F)-F260)/(MAX(F:F)-MIN(F:F))</f>
        <v>0.17899214509763847</v>
      </c>
      <c r="O260">
        <f>(MAX(G:G)-G260)/(MAX(G:G)-MIN(G:G))</f>
        <v>0.16356686562052941</v>
      </c>
      <c r="P260">
        <f>(MAX(H:H)-H260)/(MAX(H:H)-MIN(H:H))</f>
        <v>0.17336244553110305</v>
      </c>
      <c r="Q260">
        <f>(MAX(I:I)-I260)/(MAX(I:I)-MIN(I:I))</f>
        <v>0.15570011582733584</v>
      </c>
    </row>
    <row r="261" spans="1:17" x14ac:dyDescent="0.6">
      <c r="A261">
        <v>5</v>
      </c>
      <c r="B261" t="s">
        <v>572</v>
      </c>
      <c r="C261" t="s">
        <v>181</v>
      </c>
      <c r="D261">
        <v>8.9322191839999991</v>
      </c>
      <c r="E261">
        <v>0.47482764900000002</v>
      </c>
      <c r="F261">
        <v>7.2688871629999996</v>
      </c>
      <c r="G261">
        <v>0.55415862699999996</v>
      </c>
      <c r="H261">
        <v>6.4615359960000003</v>
      </c>
      <c r="I261">
        <v>0.49481201000000002</v>
      </c>
      <c r="J261">
        <f>SUM(L261:Q261)</f>
        <v>0.86472412156137091</v>
      </c>
      <c r="K261">
        <f>0.5*SIN(RADIANS(60))*((L261*M261)+(M261*N261)+(N261*O261)+(O261*P261)+(P261*Q261)+(Q261*L261))</f>
        <v>5.5423740736577659E-2</v>
      </c>
      <c r="L261">
        <f>(MAX(D:D)-D261)/(MAX(D:D)-MIN(D:D))</f>
        <v>0.18204407044867116</v>
      </c>
      <c r="M261">
        <f>(MAX(E:E)-E261)/(MAX(E:E)-MIN(E:E))</f>
        <v>0.1929058382120937</v>
      </c>
      <c r="N261">
        <f>(MAX(F:F)-F261)/(MAX(F:F)-MIN(F:F))</f>
        <v>0.16615511508203909</v>
      </c>
      <c r="O261">
        <f>(MAX(G:G)-G261)/(MAX(G:G)-MIN(G:G))</f>
        <v>0.15227327500602839</v>
      </c>
      <c r="P261">
        <f>(MAX(H:H)-H261)/(MAX(H:H)-MIN(H:H))</f>
        <v>9.6832779664527371E-2</v>
      </c>
      <c r="Q261">
        <f>(MAX(I:I)-I261)/(MAX(I:I)-MIN(I:I))</f>
        <v>7.4513043148011215E-2</v>
      </c>
    </row>
    <row r="262" spans="1:17" x14ac:dyDescent="0.6">
      <c r="A262">
        <v>20</v>
      </c>
      <c r="B262" t="s">
        <v>572</v>
      </c>
      <c r="C262" t="s">
        <v>181</v>
      </c>
      <c r="D262">
        <v>8.9509631929999998</v>
      </c>
      <c r="E262">
        <v>0.47791731900000001</v>
      </c>
      <c r="F262">
        <v>7.3314807110000002</v>
      </c>
      <c r="G262">
        <v>0.55899988099999998</v>
      </c>
      <c r="H262">
        <v>6.5700214429999999</v>
      </c>
      <c r="I262">
        <v>0.506265411</v>
      </c>
      <c r="J262">
        <f>SUM(L262:Q262)</f>
        <v>0.70165183314408874</v>
      </c>
      <c r="K262">
        <f>0.5*SIN(RADIANS(60))*((L262*M262)+(M262*N262)+(N262*O262)+(O262*P262)+(P262*Q262)+(Q262*L262))</f>
        <v>3.773371959306062E-2</v>
      </c>
      <c r="L262">
        <f>(MAX(D:D)-D262)/(MAX(D:D)-MIN(D:D))</f>
        <v>0.17534276963792941</v>
      </c>
      <c r="M262">
        <f>(MAX(E:E)-E262)/(MAX(E:E)-MIN(E:E))</f>
        <v>0.18163405233848517</v>
      </c>
      <c r="N262">
        <f>(MAX(F:F)-F262)/(MAX(F:F)-MIN(F:F))</f>
        <v>0.13969699129129365</v>
      </c>
      <c r="O262">
        <f>(MAX(G:G)-G262)/(MAX(G:G)-MIN(G:G))</f>
        <v>0.12753659353728772</v>
      </c>
      <c r="P262">
        <f>(MAX(H:H)-H262)/(MAX(H:H)-MIN(H:H))</f>
        <v>5.5981812915009768E-2</v>
      </c>
      <c r="Q262">
        <f>(MAX(I:I)-I262)/(MAX(I:I)-MIN(I:I))</f>
        <v>2.1459613424082986E-2</v>
      </c>
    </row>
    <row r="263" spans="1:17" x14ac:dyDescent="0.6">
      <c r="A263">
        <v>20</v>
      </c>
      <c r="B263" t="s">
        <v>572</v>
      </c>
      <c r="C263" t="s">
        <v>171</v>
      </c>
      <c r="D263">
        <v>8.9577154169999993</v>
      </c>
      <c r="E263">
        <v>0.47834080099999998</v>
      </c>
      <c r="F263">
        <v>7.3424172780000001</v>
      </c>
      <c r="G263">
        <v>0.55983891500000005</v>
      </c>
      <c r="H263">
        <v>6.5634960610000004</v>
      </c>
      <c r="I263">
        <v>0.50442366199999999</v>
      </c>
      <c r="J263">
        <f>SUM(L263:Q263)</f>
        <v>0.69977125758138536</v>
      </c>
      <c r="K263">
        <f>0.5*SIN(RADIANS(60))*((L263*M263)+(M263*N263)+(N263*O263)+(O263*P263)+(P263*Q263)+(Q263*L263))</f>
        <v>3.7350488283230336E-2</v>
      </c>
      <c r="L263">
        <f>(MAX(D:D)-D263)/(MAX(D:D)-MIN(D:D))</f>
        <v>0.17292873515013624</v>
      </c>
      <c r="M263">
        <f>(MAX(E:E)-E263)/(MAX(E:E)-MIN(E:E))</f>
        <v>0.18008909820897387</v>
      </c>
      <c r="N263">
        <f>(MAX(F:F)-F263)/(MAX(F:F)-MIN(F:F))</f>
        <v>0.13507413393973761</v>
      </c>
      <c r="O263">
        <f>(MAX(G:G)-G263)/(MAX(G:G)-MIN(G:G))</f>
        <v>0.12324949833438262</v>
      </c>
      <c r="P263">
        <f>(MAX(H:H)-H263)/(MAX(H:H)-MIN(H:H))</f>
        <v>5.8438991923636448E-2</v>
      </c>
      <c r="Q263">
        <f>(MAX(I:I)-I263)/(MAX(I:I)-MIN(I:I))</f>
        <v>2.9990800024518569E-2</v>
      </c>
    </row>
    <row r="264" spans="1:17" x14ac:dyDescent="0.6">
      <c r="A264">
        <v>30</v>
      </c>
      <c r="B264" t="s">
        <v>572</v>
      </c>
      <c r="C264" t="s">
        <v>184</v>
      </c>
      <c r="D264">
        <v>8.9297262750000002</v>
      </c>
      <c r="E264">
        <v>0.47851671099999998</v>
      </c>
      <c r="F264">
        <v>7.274694201</v>
      </c>
      <c r="G264">
        <v>0.55566987700000003</v>
      </c>
      <c r="H264">
        <v>6.3353870450000001</v>
      </c>
      <c r="I264">
        <v>0.47747503200000002</v>
      </c>
      <c r="J264">
        <f>SUM(L264:Q264)</f>
        <v>0.96978953680776869</v>
      </c>
      <c r="K264">
        <f>0.5*SIN(RADIANS(60))*((L264*M264)+(M264*N264)+(N264*O264)+(O264*P264)+(P264*Q264)+(Q264*L264))</f>
        <v>6.8155254991298916E-2</v>
      </c>
      <c r="L264">
        <f>(MAX(D:D)-D264)/(MAX(D:D)-MIN(D:D))</f>
        <v>0.18293532765532305</v>
      </c>
      <c r="M264">
        <f>(MAX(E:E)-E264)/(MAX(E:E)-MIN(E:E))</f>
        <v>0.17944734039890792</v>
      </c>
      <c r="N264">
        <f>(MAX(F:F)-F264)/(MAX(F:F)-MIN(F:F))</f>
        <v>0.1637004957934573</v>
      </c>
      <c r="O264">
        <f>(MAX(G:G)-G264)/(MAX(G:G)-MIN(G:G))</f>
        <v>0.14455145130711977</v>
      </c>
      <c r="P264">
        <f>(MAX(H:H)-H264)/(MAX(H:H)-MIN(H:H))</f>
        <v>0.14433506448976807</v>
      </c>
      <c r="Q264">
        <f>(MAX(I:I)-I264)/(MAX(I:I)-MIN(I:I))</f>
        <v>0.15481985716319255</v>
      </c>
    </row>
    <row r="265" spans="1:17" x14ac:dyDescent="0.6">
      <c r="A265">
        <v>20</v>
      </c>
      <c r="B265" t="s">
        <v>571</v>
      </c>
      <c r="C265" t="s">
        <v>177</v>
      </c>
      <c r="D265">
        <v>8.9694394630000005</v>
      </c>
      <c r="E265">
        <v>0.478523529</v>
      </c>
      <c r="F265">
        <v>7.2627941040000001</v>
      </c>
      <c r="G265">
        <v>0.554221831</v>
      </c>
      <c r="H265">
        <v>6.0896911620000003</v>
      </c>
      <c r="I265">
        <v>0.47177093399999998</v>
      </c>
      <c r="J265">
        <f>SUM(L265:Q265)</f>
        <v>1.0869360935668935</v>
      </c>
      <c r="K265">
        <f>0.5*SIN(RADIANS(60))*((L265*M265)+(M265*N265)+(N265*O265)+(O265*P265)+(P265*Q265)+(Q265*L265))</f>
        <v>8.4735390547333839E-2</v>
      </c>
      <c r="L265">
        <f>(MAX(D:D)-D265)/(MAX(D:D)-MIN(D:D))</f>
        <v>0.16873719005618226</v>
      </c>
      <c r="M265">
        <f>(MAX(E:E)-E265)/(MAX(E:E)-MIN(E:E))</f>
        <v>0.17942246685704535</v>
      </c>
      <c r="N265">
        <f>(MAX(F:F)-F265)/(MAX(F:F)-MIN(F:F))</f>
        <v>0.16873063467530933</v>
      </c>
      <c r="O265">
        <f>(MAX(G:G)-G265)/(MAX(G:G)-MIN(G:G))</f>
        <v>0.15195033032773816</v>
      </c>
      <c r="P265">
        <f>(MAX(H:H)-H265)/(MAX(H:H)-MIN(H:H))</f>
        <v>0.23685359692413591</v>
      </c>
      <c r="Q265">
        <f>(MAX(I:I)-I265)/(MAX(I:I)-MIN(I:I))</f>
        <v>0.18124187472648251</v>
      </c>
    </row>
    <row r="266" spans="1:17" x14ac:dyDescent="0.6">
      <c r="A266">
        <v>30</v>
      </c>
      <c r="B266" t="s">
        <v>572</v>
      </c>
      <c r="C266" t="s">
        <v>7</v>
      </c>
      <c r="D266">
        <v>8.9289730620000007</v>
      </c>
      <c r="E266">
        <v>0.47887273699999999</v>
      </c>
      <c r="F266">
        <v>7.2823787109999998</v>
      </c>
      <c r="G266">
        <v>0.55627896499999996</v>
      </c>
      <c r="H266">
        <v>6.3556280420000002</v>
      </c>
      <c r="I266">
        <v>0.49218219600000002</v>
      </c>
      <c r="J266">
        <f>SUM(L266:Q266)</f>
        <v>0.88665245550081406</v>
      </c>
      <c r="K266">
        <f>0.5*SIN(RADIANS(60))*((L266*M266)+(M266*N266)+(N266*O266)+(O266*P266)+(P266*Q266)+(Q266*L266))</f>
        <v>5.6719456854811751E-2</v>
      </c>
      <c r="L266">
        <f>(MAX(D:D)-D266)/(MAX(D:D)-MIN(D:D))</f>
        <v>0.18320461406505306</v>
      </c>
      <c r="M266">
        <f>(MAX(E:E)-E266)/(MAX(E:E)-MIN(E:E))</f>
        <v>0.17814848037908784</v>
      </c>
      <c r="N266">
        <f>(MAX(F:F)-F266)/(MAX(F:F)-MIN(F:F))</f>
        <v>0.16045227415803867</v>
      </c>
      <c r="O266">
        <f>(MAX(G:G)-G266)/(MAX(G:G)-MIN(G:G))</f>
        <v>0.14143927916278892</v>
      </c>
      <c r="P266">
        <f>(MAX(H:H)-H266)/(MAX(H:H)-MIN(H:H))</f>
        <v>0.13671317309060099</v>
      </c>
      <c r="Q266">
        <f>(MAX(I:I)-I266)/(MAX(I:I)-MIN(I:I))</f>
        <v>8.6694634645244503E-2</v>
      </c>
    </row>
    <row r="267" spans="1:17" x14ac:dyDescent="0.6">
      <c r="A267">
        <v>5</v>
      </c>
      <c r="B267" t="s">
        <v>572</v>
      </c>
      <c r="C267" t="s">
        <v>171</v>
      </c>
      <c r="D267">
        <v>8.9843268260000002</v>
      </c>
      <c r="E267">
        <v>0.47929930700000001</v>
      </c>
      <c r="F267">
        <v>7.2990512929999998</v>
      </c>
      <c r="G267">
        <v>0.55637441799999998</v>
      </c>
      <c r="H267">
        <v>6.2522702089999997</v>
      </c>
      <c r="I267">
        <v>0.47439727999999998</v>
      </c>
      <c r="J267">
        <f>SUM(L267:Q267)</f>
        <v>0.97907298880667182</v>
      </c>
      <c r="K267">
        <f>0.5*SIN(RADIANS(60))*((L267*M267)+(M267*N267)+(N267*O267)+(O267*P267)+(P267*Q267)+(Q267*L267))</f>
        <v>6.9131044823186605E-2</v>
      </c>
      <c r="L267">
        <f>(MAX(D:D)-D267)/(MAX(D:D)-MIN(D:D))</f>
        <v>0.16341470553637108</v>
      </c>
      <c r="M267">
        <f>(MAX(E:E)-E267)/(MAX(E:E)-MIN(E:E))</f>
        <v>0.17659226055622476</v>
      </c>
      <c r="N267">
        <f>(MAX(F:F)-F267)/(MAX(F:F)-MIN(F:F))</f>
        <v>0.15340481874829978</v>
      </c>
      <c r="O267">
        <f>(MAX(G:G)-G267)/(MAX(G:G)-MIN(G:G))</f>
        <v>0.14095155625954189</v>
      </c>
      <c r="P267">
        <f>(MAX(H:H)-H267)/(MAX(H:H)-MIN(H:H))</f>
        <v>0.17563330031453386</v>
      </c>
      <c r="Q267">
        <f>(MAX(I:I)-I267)/(MAX(I:I)-MIN(I:I))</f>
        <v>0.16907634739170041</v>
      </c>
    </row>
    <row r="268" spans="1:17" x14ac:dyDescent="0.6">
      <c r="A268">
        <v>10</v>
      </c>
      <c r="B268" t="s">
        <v>571</v>
      </c>
      <c r="C268" t="s">
        <v>184</v>
      </c>
      <c r="D268">
        <v>8.9927831440000006</v>
      </c>
      <c r="E268">
        <v>0.47943447099999997</v>
      </c>
      <c r="F268">
        <v>7.294217025</v>
      </c>
      <c r="G268">
        <v>0.55601800400000001</v>
      </c>
      <c r="H268">
        <v>6.2742767329999998</v>
      </c>
      <c r="I268">
        <v>0.48019205399999998</v>
      </c>
      <c r="J268">
        <f>SUM(L268:Q268)</f>
        <v>0.94429240324496422</v>
      </c>
      <c r="K268">
        <f>0.5*SIN(RADIANS(60))*((L268*M268)+(M268*N268)+(N268*O268)+(O268*P268)+(P268*Q268)+(Q268*L268))</f>
        <v>6.4224865100789633E-2</v>
      </c>
      <c r="L268">
        <f>(MAX(D:D)-D268)/(MAX(D:D)-MIN(D:D))</f>
        <v>0.16039142856988592</v>
      </c>
      <c r="M268">
        <f>(MAX(E:E)-E268)/(MAX(E:E)-MIN(E:E))</f>
        <v>0.17609915298621889</v>
      </c>
      <c r="N268">
        <f>(MAX(F:F)-F268)/(MAX(F:F)-MIN(F:F))</f>
        <v>0.15544825078352539</v>
      </c>
      <c r="O268">
        <f>(MAX(G:G)-G268)/(MAX(G:G)-MIN(G:G))</f>
        <v>0.14277267524834086</v>
      </c>
      <c r="P268">
        <f>(MAX(H:H)-H268)/(MAX(H:H)-MIN(H:H))</f>
        <v>0.1673465871649216</v>
      </c>
      <c r="Q268">
        <f>(MAX(I:I)-I268)/(MAX(I:I)-MIN(I:I))</f>
        <v>0.14223430849207164</v>
      </c>
    </row>
    <row r="269" spans="1:17" x14ac:dyDescent="0.6">
      <c r="A269">
        <v>5</v>
      </c>
      <c r="B269" t="s">
        <v>572</v>
      </c>
      <c r="C269" t="s">
        <v>7</v>
      </c>
      <c r="D269">
        <v>8.9856499759999995</v>
      </c>
      <c r="E269">
        <v>0.48007464300000002</v>
      </c>
      <c r="F269">
        <v>7.3160813960000004</v>
      </c>
      <c r="G269">
        <v>0.55773751900000001</v>
      </c>
      <c r="H269">
        <v>6.3976430420000003</v>
      </c>
      <c r="I269">
        <v>0.48875827999999999</v>
      </c>
      <c r="J269">
        <f>SUM(L269:Q269)</f>
        <v>0.84034499388840767</v>
      </c>
      <c r="K269">
        <f>0.5*SIN(RADIANS(60))*((L269*M269)+(M269*N269)+(N269*O269)+(O269*P269)+(P269*Q269)+(Q269*L269))</f>
        <v>5.1361698534773188E-2</v>
      </c>
      <c r="L269">
        <f>(MAX(D:D)-D269)/(MAX(D:D)-MIN(D:D))</f>
        <v>0.16294165699228813</v>
      </c>
      <c r="M269">
        <f>(MAX(E:E)-E269)/(MAX(E:E)-MIN(E:E))</f>
        <v>0.17376366676721158</v>
      </c>
      <c r="N269">
        <f>(MAX(F:F)-F269)/(MAX(F:F)-MIN(F:F))</f>
        <v>0.14620624017686049</v>
      </c>
      <c r="O269">
        <f>(MAX(G:G)-G269)/(MAX(G:G)-MIN(G:G))</f>
        <v>0.13398670887770187</v>
      </c>
      <c r="P269">
        <f>(MAX(H:H)-H269)/(MAX(H:H)-MIN(H:H))</f>
        <v>0.12089212597834645</v>
      </c>
      <c r="Q269">
        <f>(MAX(I:I)-I269)/(MAX(I:I)-MIN(I:I))</f>
        <v>0.10255459509599929</v>
      </c>
    </row>
    <row r="270" spans="1:17" x14ac:dyDescent="0.6">
      <c r="A270">
        <v>30</v>
      </c>
      <c r="B270" t="s">
        <v>572</v>
      </c>
      <c r="C270" t="s">
        <v>177</v>
      </c>
      <c r="D270">
        <v>8.9700375670000003</v>
      </c>
      <c r="E270">
        <v>0.48208905899999999</v>
      </c>
      <c r="F270">
        <v>7.2710027979999996</v>
      </c>
      <c r="G270">
        <v>0.55523661499999999</v>
      </c>
      <c r="H270">
        <v>6.2033109590000004</v>
      </c>
      <c r="I270">
        <v>0.47945615800000002</v>
      </c>
      <c r="J270">
        <f>SUM(L270:Q270)</f>
        <v>0.98667638492557674</v>
      </c>
      <c r="K270">
        <f>0.5*SIN(RADIANS(60))*((L270*M270)+(M270*N270)+(N270*O270)+(O270*P270)+(P270*Q270)+(Q270*L270))</f>
        <v>6.975524570431306E-2</v>
      </c>
      <c r="L270">
        <f>(MAX(D:D)-D270)/(MAX(D:D)-MIN(D:D))</f>
        <v>0.16852335774207558</v>
      </c>
      <c r="M270">
        <f>(MAX(E:E)-E270)/(MAX(E:E)-MIN(E:E))</f>
        <v>0.16641464055652547</v>
      </c>
      <c r="N270">
        <f>(MAX(F:F)-F270)/(MAX(F:F)-MIN(F:F))</f>
        <v>0.16526084187793771</v>
      </c>
      <c r="O270">
        <f>(MAX(G:G)-G270)/(MAX(G:G)-MIN(G:G))</f>
        <v>0.14676522982122184</v>
      </c>
      <c r="P270">
        <f>(MAX(H:H)-H270)/(MAX(H:H)-MIN(H:H))</f>
        <v>0.19406925416031837</v>
      </c>
      <c r="Q270">
        <f>(MAX(I:I)-I270)/(MAX(I:I)-MIN(I:I))</f>
        <v>0.14564306076749775</v>
      </c>
    </row>
    <row r="271" spans="1:17" x14ac:dyDescent="0.6">
      <c r="A271">
        <v>30</v>
      </c>
      <c r="B271" t="s">
        <v>572</v>
      </c>
      <c r="C271" t="s">
        <v>174</v>
      </c>
      <c r="D271">
        <v>8.9691848440000008</v>
      </c>
      <c r="E271">
        <v>0.48341975999999998</v>
      </c>
      <c r="F271">
        <v>7.3001002049999997</v>
      </c>
      <c r="G271">
        <v>0.557528472</v>
      </c>
      <c r="H271">
        <v>6.6185833770000002</v>
      </c>
      <c r="I271">
        <v>0.50315402600000003</v>
      </c>
      <c r="J271">
        <f>SUM(L271:Q271)</f>
        <v>0.691971835924721</v>
      </c>
      <c r="K271">
        <f>0.5*SIN(RADIANS(60))*((L271*M271)+(M271*N271)+(N271*O271)+(O271*P271)+(P271*Q271)+(Q271*L271))</f>
        <v>3.6869239447403682E-2</v>
      </c>
      <c r="L271">
        <f>(MAX(D:D)-D271)/(MAX(D:D)-MIN(D:D))</f>
        <v>0.16882822066287523</v>
      </c>
      <c r="M271">
        <f>(MAX(E:E)-E271)/(MAX(E:E)-MIN(E:E))</f>
        <v>0.16155995486718108</v>
      </c>
      <c r="N271">
        <f>(MAX(F:F)-F271)/(MAX(F:F)-MIN(F:F))</f>
        <v>0.15296144647706195</v>
      </c>
      <c r="O271">
        <f>(MAX(G:G)-G271)/(MAX(G:G)-MIN(G:G))</f>
        <v>0.13505484722594721</v>
      </c>
      <c r="P271">
        <f>(MAX(H:H)-H271)/(MAX(H:H)-MIN(H:H))</f>
        <v>3.7695471235224015E-2</v>
      </c>
      <c r="Q271">
        <f>(MAX(I:I)-I271)/(MAX(I:I)-MIN(I:I))</f>
        <v>3.5871895456431546E-2</v>
      </c>
    </row>
    <row r="272" spans="1:17" x14ac:dyDescent="0.6">
      <c r="A272">
        <v>30</v>
      </c>
      <c r="B272" t="s">
        <v>572</v>
      </c>
      <c r="C272" t="s">
        <v>181</v>
      </c>
      <c r="D272">
        <v>8.9803267390000006</v>
      </c>
      <c r="E272">
        <v>0.484264001</v>
      </c>
      <c r="F272">
        <v>7.2871286189999998</v>
      </c>
      <c r="G272">
        <v>0.55673026800000003</v>
      </c>
      <c r="H272">
        <v>6.6438882579999996</v>
      </c>
      <c r="I272">
        <v>0.50883880800000003</v>
      </c>
      <c r="J272">
        <f>SUM(L272:Q272)</f>
        <v>0.65860869510063125</v>
      </c>
      <c r="K272">
        <f>0.5*SIN(RADIANS(60))*((L272*M272)+(M272*N272)+(N272*O272)+(O272*P272)+(P272*Q272)+(Q272*L272))</f>
        <v>3.4225293188004727E-2</v>
      </c>
      <c r="L272">
        <f>(MAX(D:D)-D272)/(MAX(D:D)-MIN(D:D))</f>
        <v>0.16484480441522537</v>
      </c>
      <c r="M272">
        <f>(MAX(E:E)-E272)/(MAX(E:E)-MIN(E:E))</f>
        <v>0.1584799807023928</v>
      </c>
      <c r="N272">
        <f>(MAX(F:F)-F272)/(MAX(F:F)-MIN(F:F))</f>
        <v>0.15844450086711337</v>
      </c>
      <c r="O272">
        <f>(MAX(G:G)-G272)/(MAX(G:G)-MIN(G:G))</f>
        <v>0.1391333190630113</v>
      </c>
      <c r="P272">
        <f>(MAX(H:H)-H272)/(MAX(H:H)-MIN(H:H))</f>
        <v>2.8166738295298178E-2</v>
      </c>
      <c r="Q272">
        <f>(MAX(I:I)-I272)/(MAX(I:I)-MIN(I:I))</f>
        <v>9.5393517575902316E-3</v>
      </c>
    </row>
    <row r="273" spans="1:17" x14ac:dyDescent="0.6">
      <c r="A273">
        <v>30</v>
      </c>
      <c r="B273" t="s">
        <v>572</v>
      </c>
      <c r="C273" t="s">
        <v>8</v>
      </c>
      <c r="D273">
        <v>8.9900339010000003</v>
      </c>
      <c r="E273">
        <v>0.48581234400000001</v>
      </c>
      <c r="F273">
        <v>7.319746512</v>
      </c>
      <c r="G273">
        <v>0.55921686400000004</v>
      </c>
      <c r="H273">
        <v>6.3688813309999999</v>
      </c>
      <c r="I273">
        <v>0.494511174</v>
      </c>
      <c r="J273">
        <f>SUM(L273:Q273)</f>
        <v>0.79291963246435904</v>
      </c>
      <c r="K273">
        <f>0.5*SIN(RADIANS(60))*((L273*M273)+(M273*N273)+(N273*O273)+(O273*P273)+(P273*Q273)+(Q273*L273))</f>
        <v>4.5016531051205379E-2</v>
      </c>
      <c r="L273">
        <f>(MAX(D:D)-D273)/(MAX(D:D)-MIN(D:D))</f>
        <v>0.16137432952478981</v>
      </c>
      <c r="M273">
        <f>(MAX(E:E)-E273)/(MAX(E:E)-MIN(E:E))</f>
        <v>0.15283128982119812</v>
      </c>
      <c r="N273">
        <f>(MAX(F:F)-F273)/(MAX(F:F)-MIN(F:F))</f>
        <v>0.14465700553632804</v>
      </c>
      <c r="O273">
        <f>(MAX(G:G)-G273)/(MAX(G:G)-MIN(G:G))</f>
        <v>0.12642790571484888</v>
      </c>
      <c r="P273">
        <f>(MAX(H:H)-H273)/(MAX(H:H)-MIN(H:H))</f>
        <v>0.13172255284399101</v>
      </c>
      <c r="Q273">
        <f>(MAX(I:I)-I273)/(MAX(I:I)-MIN(I:I))</f>
        <v>7.5906549023203138E-2</v>
      </c>
    </row>
    <row r="274" spans="1:17" x14ac:dyDescent="0.6">
      <c r="A274">
        <v>10</v>
      </c>
      <c r="B274" t="s">
        <v>571</v>
      </c>
      <c r="C274" t="s">
        <v>174</v>
      </c>
      <c r="D274">
        <v>9.0803457499999993</v>
      </c>
      <c r="E274">
        <v>0.487208686</v>
      </c>
      <c r="F274">
        <v>7.3893293839999998</v>
      </c>
      <c r="G274">
        <v>0.562754325</v>
      </c>
      <c r="H274">
        <v>6.3973999020000001</v>
      </c>
      <c r="I274">
        <v>0.487936227</v>
      </c>
      <c r="J274">
        <f>SUM(L274:Q274)</f>
        <v>0.72776711024957375</v>
      </c>
      <c r="K274">
        <f>0.5*SIN(RADIANS(60))*((L274*M274)+(M274*N274)+(N274*O274)+(O274*P274)+(P274*Q274)+(Q274*L274))</f>
        <v>3.823105130278398E-2</v>
      </c>
      <c r="L274">
        <f>(MAX(D:D)-D274)/(MAX(D:D)-MIN(D:D))</f>
        <v>0.12908631328860148</v>
      </c>
      <c r="M274">
        <f>(MAX(E:E)-E274)/(MAX(E:E)-MIN(E:E))</f>
        <v>0.14773713153557982</v>
      </c>
      <c r="N274">
        <f>(MAX(F:F)-F274)/(MAX(F:F)-MIN(F:F))</f>
        <v>0.11524451335595871</v>
      </c>
      <c r="O274">
        <f>(MAX(G:G)-G274)/(MAX(G:G)-MIN(G:G))</f>
        <v>0.10835303379838021</v>
      </c>
      <c r="P274">
        <f>(MAX(H:H)-H274)/(MAX(H:H)-MIN(H:H))</f>
        <v>0.12098368207485669</v>
      </c>
      <c r="Q274">
        <f>(MAX(I:I)-I274)/(MAX(I:I)-MIN(I:I))</f>
        <v>0.10636243619619686</v>
      </c>
    </row>
    <row r="275" spans="1:17" x14ac:dyDescent="0.6">
      <c r="A275">
        <v>20</v>
      </c>
      <c r="B275" t="s">
        <v>571</v>
      </c>
      <c r="C275" t="s">
        <v>174</v>
      </c>
      <c r="D275">
        <v>9.0160742010000003</v>
      </c>
      <c r="E275">
        <v>0.48736925800000003</v>
      </c>
      <c r="F275">
        <v>7.2765563999999996</v>
      </c>
      <c r="G275">
        <v>0.55516130699999999</v>
      </c>
      <c r="H275">
        <v>6.3967742919999999</v>
      </c>
      <c r="I275">
        <v>0.48096435799999998</v>
      </c>
      <c r="J275">
        <f>SUM(L275:Q275)</f>
        <v>0.8691553513288881</v>
      </c>
      <c r="K275">
        <f>0.5*SIN(RADIANS(60))*((L275*M275)+(M275*N275)+(N275*O275)+(O275*P275)+(P275*Q275)+(Q275*L275))</f>
        <v>5.4582205936674323E-2</v>
      </c>
      <c r="L275">
        <f>(MAX(D:D)-D275)/(MAX(D:D)-MIN(D:D))</f>
        <v>0.15206448105523601</v>
      </c>
      <c r="M275">
        <f>(MAX(E:E)-E275)/(MAX(E:E)-MIN(E:E))</f>
        <v>0.14715133007416248</v>
      </c>
      <c r="N275">
        <f>(MAX(F:F)-F275)/(MAX(F:F)-MIN(F:F))</f>
        <v>0.1629133493024964</v>
      </c>
      <c r="O275">
        <f>(MAX(G:G)-G275)/(MAX(G:G)-MIN(G:G))</f>
        <v>0.14715002062295374</v>
      </c>
      <c r="P275">
        <f>(MAX(H:H)-H275)/(MAX(H:H)-MIN(H:H))</f>
        <v>0.12121925997046303</v>
      </c>
      <c r="Q275">
        <f>(MAX(I:I)-I275)/(MAX(I:I)-MIN(I:I))</f>
        <v>0.13865691030357646</v>
      </c>
    </row>
    <row r="276" spans="1:17" x14ac:dyDescent="0.6">
      <c r="A276">
        <v>30</v>
      </c>
      <c r="B276" t="s">
        <v>571</v>
      </c>
      <c r="C276" t="s">
        <v>7</v>
      </c>
      <c r="D276">
        <v>9.0033045470000008</v>
      </c>
      <c r="E276">
        <v>0.48795764200000002</v>
      </c>
      <c r="F276">
        <v>7.3148438990000004</v>
      </c>
      <c r="G276">
        <v>0.55885642999999996</v>
      </c>
      <c r="H276">
        <v>6.3985443120000003</v>
      </c>
      <c r="I276">
        <v>0.49621020500000002</v>
      </c>
      <c r="J276">
        <f>SUM(L276:Q276)</f>
        <v>0.76522271283806531</v>
      </c>
      <c r="K276">
        <f>0.5*SIN(RADIANS(60))*((L276*M276)+(M276*N276)+(N276*O276)+(O276*P276)+(P276*Q276)+(Q276*L276))</f>
        <v>4.205904523514481E-2</v>
      </c>
      <c r="L276">
        <f>(MAX(D:D)-D276)/(MAX(D:D)-MIN(D:D))</f>
        <v>0.15662984872567864</v>
      </c>
      <c r="M276">
        <f>(MAX(E:E)-E276)/(MAX(E:E)-MIN(E:E))</f>
        <v>0.14500477770466758</v>
      </c>
      <c r="N276">
        <f>(MAX(F:F)-F276)/(MAX(F:F)-MIN(F:F))</f>
        <v>0.14672932681858072</v>
      </c>
      <c r="O276">
        <f>(MAX(G:G)-G276)/(MAX(G:G)-MIN(G:G))</f>
        <v>0.12826956513790455</v>
      </c>
      <c r="P276">
        <f>(MAX(H:H)-H276)/(MAX(H:H)-MIN(H:H))</f>
        <v>0.1205527463489079</v>
      </c>
      <c r="Q276">
        <f>(MAX(I:I)-I276)/(MAX(I:I)-MIN(I:I))</f>
        <v>6.8036448102325869E-2</v>
      </c>
    </row>
    <row r="277" spans="1:17" x14ac:dyDescent="0.6">
      <c r="A277">
        <v>30</v>
      </c>
      <c r="B277" t="s">
        <v>571</v>
      </c>
      <c r="C277" t="s">
        <v>174</v>
      </c>
      <c r="D277">
        <v>9.0140195209999998</v>
      </c>
      <c r="E277">
        <v>0.48811969700000002</v>
      </c>
      <c r="F277">
        <v>7.2673730619999999</v>
      </c>
      <c r="G277">
        <v>0.55530637800000004</v>
      </c>
      <c r="H277">
        <v>6.4797363280000004</v>
      </c>
      <c r="I277">
        <v>0.49707694800000002</v>
      </c>
      <c r="J277">
        <f>SUM(L277:Q277)</f>
        <v>0.76441743605781909</v>
      </c>
      <c r="K277">
        <f>0.5*SIN(RADIANS(60))*((L277*M277)+(M277*N277)+(N277*O277)+(O277*P277)+(P277*Q277)+(Q277*L277))</f>
        <v>4.2994188661441439E-2</v>
      </c>
      <c r="L277">
        <f>(MAX(D:D)-D277)/(MAX(D:D)-MIN(D:D))</f>
        <v>0.15279906396915896</v>
      </c>
      <c r="M277">
        <f>(MAX(E:E)-E277)/(MAX(E:E)-MIN(E:E))</f>
        <v>0.14441356593779683</v>
      </c>
      <c r="N277">
        <f>(MAX(F:F)-F277)/(MAX(F:F)-MIN(F:F))</f>
        <v>0.16679512148796585</v>
      </c>
      <c r="O277">
        <f>(MAX(G:G)-G277)/(MAX(G:G)-MIN(G:G))</f>
        <v>0.14640877153390514</v>
      </c>
      <c r="P277">
        <f>(MAX(H:H)-H277)/(MAX(H:H)-MIN(H:H))</f>
        <v>8.9979315186824754E-2</v>
      </c>
      <c r="Q277">
        <f>(MAX(I:I)-I277)/(MAX(I:I)-MIN(I:I))</f>
        <v>6.4021597942167593E-2</v>
      </c>
    </row>
    <row r="278" spans="1:17" x14ac:dyDescent="0.6">
      <c r="A278">
        <v>5</v>
      </c>
      <c r="B278" t="s">
        <v>572</v>
      </c>
      <c r="C278" t="s">
        <v>174</v>
      </c>
      <c r="D278">
        <v>9.0688263899999999</v>
      </c>
      <c r="E278">
        <v>0.48849071799999999</v>
      </c>
      <c r="F278">
        <v>7.3538304200000004</v>
      </c>
      <c r="G278">
        <v>0.56084292499999999</v>
      </c>
      <c r="H278">
        <v>6.3660235280000004</v>
      </c>
      <c r="I278">
        <v>0.49144156</v>
      </c>
      <c r="J278">
        <f>SUM(L278:Q278)</f>
        <v>0.7475579804553204</v>
      </c>
      <c r="K278">
        <f>0.5*SIN(RADIANS(60))*((L278*M278)+(M278*N278)+(N278*O278)+(O278*P278)+(P278*Q278)+(Q278*L278))</f>
        <v>4.0155255802132112E-2</v>
      </c>
      <c r="L278">
        <f>(MAX(D:D)-D278)/(MAX(D:D)-MIN(D:D))</f>
        <v>0.13320467966941255</v>
      </c>
      <c r="M278">
        <f>(MAX(E:E)-E278)/(MAX(E:E)-MIN(E:E))</f>
        <v>0.14306000090767654</v>
      </c>
      <c r="N278">
        <f>(MAX(F:F)-F278)/(MAX(F:F)-MIN(F:F))</f>
        <v>0.13024982962202486</v>
      </c>
      <c r="O278">
        <f>(MAX(G:G)-G278)/(MAX(G:G)-MIN(G:G))</f>
        <v>0.11811944823549732</v>
      </c>
      <c r="P278">
        <f>(MAX(H:H)-H278)/(MAX(H:H)-MIN(H:H))</f>
        <v>0.13279867889184377</v>
      </c>
      <c r="Q278">
        <f>(MAX(I:I)-I278)/(MAX(I:I)-MIN(I:I))</f>
        <v>9.0125343128865429E-2</v>
      </c>
    </row>
    <row r="279" spans="1:17" x14ac:dyDescent="0.6">
      <c r="A279">
        <v>30</v>
      </c>
      <c r="B279" t="s">
        <v>571</v>
      </c>
      <c r="C279" t="s">
        <v>177</v>
      </c>
      <c r="D279">
        <v>9.0528273890000008</v>
      </c>
      <c r="E279">
        <v>0.48919062299999999</v>
      </c>
      <c r="F279">
        <v>7.3926786870000001</v>
      </c>
      <c r="G279">
        <v>0.56477829800000001</v>
      </c>
      <c r="H279">
        <v>6.4109802250000003</v>
      </c>
      <c r="I279">
        <v>0.49127030599999999</v>
      </c>
      <c r="J279">
        <f>SUM(L279:Q279)</f>
        <v>0.69805990775198468</v>
      </c>
      <c r="K279">
        <f>0.5*SIN(RADIANS(60))*((L279*M279)+(M279*N279)+(N279*O279)+(O279*P279)+(P279*Q279)+(Q279*L279))</f>
        <v>3.515724192370185E-2</v>
      </c>
      <c r="L279">
        <f>(MAX(D:D)-D279)/(MAX(D:D)-MIN(D:D))</f>
        <v>0.1389245936095066</v>
      </c>
      <c r="M279">
        <f>(MAX(E:E)-E279)/(MAX(E:E)-MIN(E:E))</f>
        <v>0.14050659575700736</v>
      </c>
      <c r="N279">
        <f>(MAX(F:F)-F279)/(MAX(F:F)-MIN(F:F))</f>
        <v>0.11382877201810196</v>
      </c>
      <c r="O279">
        <f>(MAX(G:G)-G279)/(MAX(G:G)-MIN(G:G))</f>
        <v>9.8011420777800923E-2</v>
      </c>
      <c r="P279">
        <f>(MAX(H:H)-H279)/(MAX(H:H)-MIN(H:H))</f>
        <v>0.11586991484927923</v>
      </c>
      <c r="Q279">
        <f>(MAX(I:I)-I279)/(MAX(I:I)-MIN(I:I))</f>
        <v>9.0918610740288633E-2</v>
      </c>
    </row>
    <row r="280" spans="1:17" x14ac:dyDescent="0.6">
      <c r="A280">
        <v>10</v>
      </c>
      <c r="B280" t="s">
        <v>571</v>
      </c>
      <c r="C280" t="s">
        <v>171</v>
      </c>
      <c r="D280">
        <v>9.1157378490000003</v>
      </c>
      <c r="E280">
        <v>0.49034512699999999</v>
      </c>
      <c r="F280">
        <v>7.4026405019999997</v>
      </c>
      <c r="G280">
        <v>0.56365294099999996</v>
      </c>
      <c r="H280">
        <v>6.3517761229999996</v>
      </c>
      <c r="I280">
        <v>0.48408768699999999</v>
      </c>
      <c r="J280">
        <f>SUM(L280:Q280)</f>
        <v>0.72846013651232733</v>
      </c>
      <c r="K280">
        <f>0.5*SIN(RADIANS(60))*((L280*M280)+(M280*N280)+(N280*O280)+(O280*P280)+(P280*Q280)+(Q280*L280))</f>
        <v>3.8164841536932857E-2</v>
      </c>
      <c r="L280">
        <f>(MAX(D:D)-D280)/(MAX(D:D)-MIN(D:D))</f>
        <v>0.11643303822228293</v>
      </c>
      <c r="M280">
        <f>(MAX(E:E)-E280)/(MAX(E:E)-MIN(E:E))</f>
        <v>0.13629471491593873</v>
      </c>
      <c r="N280">
        <f>(MAX(F:F)-F280)/(MAX(F:F)-MIN(F:F))</f>
        <v>0.10961793970595229</v>
      </c>
      <c r="O280">
        <f>(MAX(G:G)-G280)/(MAX(G:G)-MIN(G:G))</f>
        <v>0.10376150074625924</v>
      </c>
      <c r="P280">
        <f>(MAX(H:H)-H280)/(MAX(H:H)-MIN(H:H))</f>
        <v>0.13816364058962749</v>
      </c>
      <c r="Q280">
        <f>(MAX(I:I)-I280)/(MAX(I:I)-MIN(I:I))</f>
        <v>0.12418930233226663</v>
      </c>
    </row>
    <row r="281" spans="1:17" x14ac:dyDescent="0.6">
      <c r="A281">
        <v>5</v>
      </c>
      <c r="B281" t="s">
        <v>571</v>
      </c>
      <c r="C281" t="s">
        <v>174</v>
      </c>
      <c r="D281">
        <v>9.1238950719999998</v>
      </c>
      <c r="E281">
        <v>0.49170306499999999</v>
      </c>
      <c r="F281">
        <v>7.438101294</v>
      </c>
      <c r="G281">
        <v>0.56680425700000003</v>
      </c>
      <c r="H281">
        <v>6.4712829589999998</v>
      </c>
      <c r="I281">
        <v>0.49000058200000002</v>
      </c>
      <c r="J281">
        <f>SUM(L281:Q281)</f>
        <v>0.61710837955613662</v>
      </c>
      <c r="K281">
        <f>0.5*SIN(RADIANS(60))*((L281*M281)+(M281*N281)+(N281*O281)+(O281*P281)+(P281*Q281)+(Q281*L281))</f>
        <v>2.7628915519838197E-2</v>
      </c>
      <c r="L281">
        <f>(MAX(D:D)-D281)/(MAX(D:D)-MIN(D:D))</f>
        <v>0.11351669278608001</v>
      </c>
      <c r="M281">
        <f>(MAX(E:E)-E281)/(MAX(E:E)-MIN(E:E))</f>
        <v>0.1313406627467309</v>
      </c>
      <c r="N281">
        <f>(MAX(F:F)-F281)/(MAX(F:F)-MIN(F:F))</f>
        <v>9.462875864125414E-2</v>
      </c>
      <c r="O281">
        <f>(MAX(G:G)-G281)/(MAX(G:G)-MIN(G:G))</f>
        <v>8.7659660169551748E-2</v>
      </c>
      <c r="P281">
        <f>(MAX(H:H)-H281)/(MAX(H:H)-MIN(H:H))</f>
        <v>9.3162491414512036E-2</v>
      </c>
      <c r="Q281">
        <f>(MAX(I:I)-I281)/(MAX(I:I)-MIN(I:I))</f>
        <v>9.6800113798007792E-2</v>
      </c>
    </row>
    <row r="282" spans="1:17" x14ac:dyDescent="0.6">
      <c r="A282">
        <v>30</v>
      </c>
      <c r="B282" t="s">
        <v>571</v>
      </c>
      <c r="C282" t="s">
        <v>184</v>
      </c>
      <c r="D282">
        <v>9.0687753359999999</v>
      </c>
      <c r="E282">
        <v>0.492795861</v>
      </c>
      <c r="F282">
        <v>7.3621954379999996</v>
      </c>
      <c r="G282">
        <v>0.56263484200000002</v>
      </c>
      <c r="H282">
        <v>6.4725341800000002</v>
      </c>
      <c r="I282">
        <v>0.49858435699999998</v>
      </c>
      <c r="J282">
        <f>SUM(L282:Q282)</f>
        <v>0.6459847836685022</v>
      </c>
      <c r="K282">
        <f>0.5*SIN(RADIANS(60))*((L282*M282)+(M282*N282)+(N282*O282)+(O282*P282)+(P282*Q282)+(Q282*L282))</f>
        <v>3.0266334287096169E-2</v>
      </c>
      <c r="L282">
        <f>(MAX(D:D)-D282)/(MAX(D:D)-MIN(D:D))</f>
        <v>0.13322293233945726</v>
      </c>
      <c r="M282">
        <f>(MAX(E:E)-E282)/(MAX(E:E)-MIN(E:E))</f>
        <v>0.12735390606542318</v>
      </c>
      <c r="N282">
        <f>(MAX(F:F)-F282)/(MAX(F:F)-MIN(F:F))</f>
        <v>0.12671395909179398</v>
      </c>
      <c r="O282">
        <f>(MAX(G:G)-G282)/(MAX(G:G)-MIN(G:G))</f>
        <v>0.1089635394466955</v>
      </c>
      <c r="P282">
        <f>(MAX(H:H)-H282)/(MAX(H:H)-MIN(H:H))</f>
        <v>9.2691335246742224E-2</v>
      </c>
      <c r="Q282">
        <f>(MAX(I:I)-I282)/(MAX(I:I)-MIN(I:I))</f>
        <v>5.7039111478390157E-2</v>
      </c>
    </row>
    <row r="283" spans="1:17" x14ac:dyDescent="0.6">
      <c r="A283">
        <v>5</v>
      </c>
      <c r="B283" t="s">
        <v>571</v>
      </c>
      <c r="C283" t="s">
        <v>184</v>
      </c>
      <c r="D283">
        <v>9.0990461140000001</v>
      </c>
      <c r="E283">
        <v>0.493127329</v>
      </c>
      <c r="F283">
        <v>7.3019796719999999</v>
      </c>
      <c r="G283">
        <v>0.55679666999999999</v>
      </c>
      <c r="H283">
        <v>6.1473999020000001</v>
      </c>
      <c r="I283">
        <v>0.46855955100000002</v>
      </c>
      <c r="J283">
        <f>SUM(L283:Q283)</f>
        <v>0.9507466091358483</v>
      </c>
      <c r="K283">
        <f>0.5*SIN(RADIANS(60))*((L283*M283)+(M283*N283)+(N283*O283)+(O283*P283)+(P283*Q283)+(Q283*L283))</f>
        <v>6.5734411475762186E-2</v>
      </c>
      <c r="L283">
        <f>(MAX(D:D)-D283)/(MAX(D:D)-MIN(D:D))</f>
        <v>0.12240061630486836</v>
      </c>
      <c r="M283">
        <f>(MAX(E:E)-E283)/(MAX(E:E)-MIN(E:E))</f>
        <v>0.12614463895276931</v>
      </c>
      <c r="N283">
        <f>(MAX(F:F)-F283)/(MAX(F:F)-MIN(F:F))</f>
        <v>0.15216700084910958</v>
      </c>
      <c r="O283">
        <f>(MAX(G:G)-G283)/(MAX(G:G)-MIN(G:G))</f>
        <v>0.13879403400941023</v>
      </c>
      <c r="P283">
        <f>(MAX(H:H)-H283)/(MAX(H:H)-MIN(H:H))</f>
        <v>0.21512296038173814</v>
      </c>
      <c r="Q283">
        <f>(MAX(I:I)-I283)/(MAX(I:I)-MIN(I:I))</f>
        <v>0.19611735863795263</v>
      </c>
    </row>
    <row r="284" spans="1:17" x14ac:dyDescent="0.6">
      <c r="A284">
        <v>30</v>
      </c>
      <c r="B284" t="s">
        <v>571</v>
      </c>
      <c r="C284" t="s">
        <v>181</v>
      </c>
      <c r="D284">
        <v>9.0866003820000003</v>
      </c>
      <c r="E284">
        <v>0.49592755399999999</v>
      </c>
      <c r="F284">
        <v>7.4125874280000001</v>
      </c>
      <c r="G284">
        <v>0.56635041600000002</v>
      </c>
      <c r="H284">
        <v>6.6358032229999999</v>
      </c>
      <c r="I284">
        <v>0.49497571400000001</v>
      </c>
      <c r="J284">
        <f>SUM(L284:Q284)</f>
        <v>0.54313694053242634</v>
      </c>
      <c r="K284">
        <f>0.5*SIN(RADIANS(60))*((L284*M284)+(M284*N284)+(N284*O284)+(O284*P284)+(P284*Q284)+(Q284*L284))</f>
        <v>2.2030434292590505E-2</v>
      </c>
      <c r="L284">
        <f>(MAX(D:D)-D284)/(MAX(D:D)-MIN(D:D))</f>
        <v>0.12685017637186738</v>
      </c>
      <c r="M284">
        <f>(MAX(E:E)-E284)/(MAX(E:E)-MIN(E:E))</f>
        <v>0.11592881117895354</v>
      </c>
      <c r="N284">
        <f>(MAX(F:F)-F284)/(MAX(F:F)-MIN(F:F))</f>
        <v>0.10541340093391473</v>
      </c>
      <c r="O284">
        <f>(MAX(G:G)-G284)/(MAX(G:G)-MIN(G:G))</f>
        <v>8.9978588334538534E-2</v>
      </c>
      <c r="P284">
        <f>(MAX(H:H)-H284)/(MAX(H:H)-MIN(H:H))</f>
        <v>3.121121573524157E-2</v>
      </c>
      <c r="Q284">
        <f>(MAX(I:I)-I284)/(MAX(I:I)-MIN(I:I))</f>
        <v>7.3754747977910623E-2</v>
      </c>
    </row>
    <row r="285" spans="1:17" x14ac:dyDescent="0.6">
      <c r="A285">
        <v>5</v>
      </c>
      <c r="B285" t="s">
        <v>571</v>
      </c>
      <c r="C285" t="s">
        <v>167</v>
      </c>
      <c r="D285">
        <v>9.1749764949999992</v>
      </c>
      <c r="E285">
        <v>0.49801838300000001</v>
      </c>
      <c r="F285">
        <v>7.4586034190000001</v>
      </c>
      <c r="G285">
        <v>0.56835594599999995</v>
      </c>
      <c r="H285">
        <v>6.5861816409999996</v>
      </c>
      <c r="I285">
        <v>0.49777207000000001</v>
      </c>
      <c r="J285">
        <f>SUM(L285:Q285)</f>
        <v>0.47994729980554229</v>
      </c>
      <c r="K285">
        <f>0.5*SIN(RADIANS(60))*((L285*M285)+(M285*N285)+(N285*O285)+(O285*P285)+(P285*Q285)+(Q285*L285))</f>
        <v>1.7010294552821371E-2</v>
      </c>
      <c r="L285">
        <f>(MAX(D:D)-D285)/(MAX(D:D)-MIN(D:D))</f>
        <v>9.525421855424801E-2</v>
      </c>
      <c r="M285">
        <f>(MAX(E:E)-E285)/(MAX(E:E)-MIN(E:E))</f>
        <v>0.10830101378106598</v>
      </c>
      <c r="N285">
        <f>(MAX(F:F)-F285)/(MAX(F:F)-MIN(F:F))</f>
        <v>8.596256574189437E-2</v>
      </c>
      <c r="O285">
        <f>(MAX(G:G)-G285)/(MAX(G:G)-MIN(G:G))</f>
        <v>7.9731210943060751E-2</v>
      </c>
      <c r="P285">
        <f>(MAX(H:H)-H285)/(MAX(H:H)-MIN(H:H))</f>
        <v>4.989657540694465E-2</v>
      </c>
      <c r="Q285">
        <f>(MAX(I:I)-I285)/(MAX(I:I)-MIN(I:I))</f>
        <v>6.0801715378328597E-2</v>
      </c>
    </row>
    <row r="286" spans="1:17" x14ac:dyDescent="0.6">
      <c r="A286">
        <v>30</v>
      </c>
      <c r="B286" t="s">
        <v>571</v>
      </c>
      <c r="C286" t="s">
        <v>167</v>
      </c>
      <c r="D286">
        <v>9.1539777250000007</v>
      </c>
      <c r="E286">
        <v>0.49975241199999998</v>
      </c>
      <c r="F286">
        <v>7.4185365210000001</v>
      </c>
      <c r="G286">
        <v>0.56675238699999997</v>
      </c>
      <c r="H286">
        <v>6.561264038</v>
      </c>
      <c r="I286">
        <v>0.50056107000000005</v>
      </c>
      <c r="J286">
        <f>SUM(L286:Q286)</f>
        <v>0.50272219586736833</v>
      </c>
      <c r="K286">
        <f>0.5*SIN(RADIANS(60))*((L286*M286)+(M286*N286)+(N286*O286)+(O286*P286)+(P286*Q286)+(Q286*L286))</f>
        <v>1.8615493276705447E-2</v>
      </c>
      <c r="L286">
        <f>(MAX(D:D)-D286)/(MAX(D:D)-MIN(D:D))</f>
        <v>0.10276163462652822</v>
      </c>
      <c r="M286">
        <f>(MAX(E:E)-E286)/(MAX(E:E)-MIN(E:E))</f>
        <v>0.10197490012277004</v>
      </c>
      <c r="N286">
        <f>(MAX(F:F)-F286)/(MAX(F:F)-MIN(F:F))</f>
        <v>0.10289873538025969</v>
      </c>
      <c r="O286">
        <f>(MAX(G:G)-G286)/(MAX(G:G)-MIN(G:G))</f>
        <v>8.7924693086185571E-2</v>
      </c>
      <c r="P286">
        <f>(MAX(H:H)-H286)/(MAX(H:H)-MIN(H:H))</f>
        <v>5.9279476061174022E-2</v>
      </c>
      <c r="Q286">
        <f>(MAX(I:I)-I286)/(MAX(I:I)-MIN(I:I))</f>
        <v>4.7882756590450798E-2</v>
      </c>
    </row>
    <row r="287" spans="1:17" x14ac:dyDescent="0.6">
      <c r="A287">
        <v>5</v>
      </c>
      <c r="B287" t="s">
        <v>571</v>
      </c>
      <c r="C287" t="s">
        <v>171</v>
      </c>
      <c r="D287">
        <v>9.2030129200000008</v>
      </c>
      <c r="E287">
        <v>0.50163835899999998</v>
      </c>
      <c r="F287">
        <v>7.4928152050000003</v>
      </c>
      <c r="G287">
        <v>0.57121855300000002</v>
      </c>
      <c r="H287">
        <v>6.4715271000000003</v>
      </c>
      <c r="I287">
        <v>0.49801250600000002</v>
      </c>
      <c r="J287">
        <f>SUM(L287:Q287)</f>
        <v>0.46968970835037988</v>
      </c>
      <c r="K287">
        <f>0.5*SIN(RADIANS(60))*((L287*M287)+(M287*N287)+(N287*O287)+(O287*P287)+(P287*Q287)+(Q287*L287))</f>
        <v>1.57015554031061E-2</v>
      </c>
      <c r="L287">
        <f>(MAX(D:D)-D287)/(MAX(D:D)-MIN(D:D))</f>
        <v>8.5230721575410409E-2</v>
      </c>
      <c r="M287">
        <f>(MAX(E:E)-E287)/(MAX(E:E)-MIN(E:E))</f>
        <v>9.5094556670888633E-2</v>
      </c>
      <c r="N287">
        <f>(MAX(F:F)-F287)/(MAX(F:F)-MIN(F:F))</f>
        <v>7.1501336142152108E-2</v>
      </c>
      <c r="O287">
        <f>(MAX(G:G)-G287)/(MAX(G:G)-MIN(G:G))</f>
        <v>6.5104546543880523E-2</v>
      </c>
      <c r="P287">
        <f>(MAX(H:H)-H287)/(MAX(H:H)-MIN(H:H))</f>
        <v>9.3070558384331384E-2</v>
      </c>
      <c r="Q287">
        <f>(MAX(I:I)-I287)/(MAX(I:I)-MIN(I:I))</f>
        <v>5.9687989033716811E-2</v>
      </c>
    </row>
    <row r="288" spans="1:17" x14ac:dyDescent="0.6">
      <c r="A288">
        <v>30</v>
      </c>
      <c r="B288" t="s">
        <v>571</v>
      </c>
      <c r="C288" t="s">
        <v>171</v>
      </c>
      <c r="D288">
        <v>9.1625564839999996</v>
      </c>
      <c r="E288">
        <v>0.50296775599999999</v>
      </c>
      <c r="F288">
        <v>7.4406235860000001</v>
      </c>
      <c r="G288">
        <v>0.56856959500000004</v>
      </c>
      <c r="H288">
        <v>6.402313232</v>
      </c>
      <c r="I288">
        <v>0.49586746700000001</v>
      </c>
      <c r="J288">
        <f>SUM(L288:Q288)</f>
        <v>0.55089894362573388</v>
      </c>
      <c r="K288">
        <f>0.5*SIN(RADIANS(60))*((L288*M288)+(M288*N288)+(N288*O288)+(O288*P288)+(P288*Q288)+(Q288*L288))</f>
        <v>2.1391888665008445E-2</v>
      </c>
      <c r="L288">
        <f>(MAX(D:D)-D288)/(MAX(D:D)-MIN(D:D))</f>
        <v>9.9694582927937578E-2</v>
      </c>
      <c r="M288">
        <f>(MAX(E:E)-E288)/(MAX(E:E)-MIN(E:E))</f>
        <v>9.0244628256197834E-2</v>
      </c>
      <c r="N288">
        <f>(MAX(F:F)-F288)/(MAX(F:F)-MIN(F:F))</f>
        <v>9.3562592620877599E-2</v>
      </c>
      <c r="O288">
        <f>(MAX(G:G)-G288)/(MAX(G:G)-MIN(G:G))</f>
        <v>7.8639558396196393E-2</v>
      </c>
      <c r="P288">
        <f>(MAX(H:H)-H288)/(MAX(H:H)-MIN(H:H))</f>
        <v>0.11913353271372251</v>
      </c>
      <c r="Q288">
        <f>(MAX(I:I)-I288)/(MAX(I:I)-MIN(I:I))</f>
        <v>6.9624048710801925E-2</v>
      </c>
    </row>
    <row r="289" spans="1:17" x14ac:dyDescent="0.6">
      <c r="A289">
        <v>30</v>
      </c>
      <c r="B289" t="s">
        <v>572</v>
      </c>
      <c r="C289" t="s">
        <v>171</v>
      </c>
      <c r="D289">
        <v>9.1839241499999993</v>
      </c>
      <c r="E289">
        <v>0.50460095500000002</v>
      </c>
      <c r="F289">
        <v>7.429492067</v>
      </c>
      <c r="G289">
        <v>0.56697928099999995</v>
      </c>
      <c r="H289">
        <v>6.6225707729999996</v>
      </c>
      <c r="I289">
        <v>0.499721525</v>
      </c>
      <c r="J289">
        <f>SUM(L289:Q289)</f>
        <v>0.44934047613458733</v>
      </c>
      <c r="K289">
        <f>0.5*SIN(RADIANS(60))*((L289*M289)+(M289*N289)+(N289*O289)+(O289*P289)+(P289*Q289)+(Q289*L289))</f>
        <v>1.4873098146106767E-2</v>
      </c>
      <c r="L289">
        <f>(MAX(D:D)-D289)/(MAX(D:D)-MIN(D:D))</f>
        <v>9.2055280285186364E-2</v>
      </c>
      <c r="M289">
        <f>(MAX(E:E)-E289)/(MAX(E:E)-MIN(E:E))</f>
        <v>8.4286364293706062E-2</v>
      </c>
      <c r="N289">
        <f>(MAX(F:F)-F289)/(MAX(F:F)-MIN(F:F))</f>
        <v>9.8267855656630654E-2</v>
      </c>
      <c r="O289">
        <f>(MAX(G:G)-G289)/(MAX(G:G)-MIN(G:G))</f>
        <v>8.6765364407052473E-2</v>
      </c>
      <c r="P289">
        <f>(MAX(H:H)-H289)/(MAX(H:H)-MIN(H:H))</f>
        <v>3.6193988908169251E-2</v>
      </c>
      <c r="Q289">
        <f>(MAX(I:I)-I289)/(MAX(I:I)-MIN(I:I))</f>
        <v>5.1771622583842478E-2</v>
      </c>
    </row>
    <row r="290" spans="1:17" x14ac:dyDescent="0.6">
      <c r="A290">
        <v>10</v>
      </c>
      <c r="B290" t="s">
        <v>571</v>
      </c>
      <c r="C290" t="s">
        <v>181</v>
      </c>
      <c r="D290">
        <v>9.2171419159999992</v>
      </c>
      <c r="E290">
        <v>0.50460266499999995</v>
      </c>
      <c r="F290">
        <v>7.449926477</v>
      </c>
      <c r="G290">
        <v>0.56765030000000005</v>
      </c>
      <c r="H290">
        <v>6.3823394779999996</v>
      </c>
      <c r="I290">
        <v>0.48773910100000001</v>
      </c>
      <c r="J290">
        <f>SUM(L290:Q290)</f>
        <v>0.57135686736588875</v>
      </c>
      <c r="K290">
        <f>0.5*SIN(RADIANS(60))*((L290*M290)+(M290*N290)+(N290*O290)+(O290*P290)+(P290*Q290)+(Q290*L290))</f>
        <v>2.3609723941049852E-2</v>
      </c>
      <c r="L290">
        <f>(MAX(D:D)-D290)/(MAX(D:D)-MIN(D:D))</f>
        <v>8.0179366107657857E-2</v>
      </c>
      <c r="M290">
        <f>(MAX(E:E)-E290)/(MAX(E:E)-MIN(E:E))</f>
        <v>8.4280125843048517E-2</v>
      </c>
      <c r="N290">
        <f>(MAX(F:F)-F290)/(MAX(F:F)-MIN(F:F))</f>
        <v>8.963028570499855E-2</v>
      </c>
      <c r="O290">
        <f>(MAX(G:G)-G290)/(MAX(G:G)-MIN(G:G))</f>
        <v>8.3336752055278435E-2</v>
      </c>
      <c r="P290">
        <f>(MAX(H:H)-H290)/(MAX(H:H)-MIN(H:H))</f>
        <v>0.12665479186027942</v>
      </c>
      <c r="Q290">
        <f>(MAX(I:I)-I290)/(MAX(I:I)-MIN(I:I))</f>
        <v>0.10727554579462606</v>
      </c>
    </row>
    <row r="291" spans="1:17" x14ac:dyDescent="0.6">
      <c r="A291">
        <v>30</v>
      </c>
      <c r="B291" t="s">
        <v>571</v>
      </c>
      <c r="C291" t="s">
        <v>8</v>
      </c>
      <c r="D291">
        <v>9.2821787820000008</v>
      </c>
      <c r="E291">
        <v>0.50871072100000003</v>
      </c>
      <c r="F291">
        <v>7.5287321199999999</v>
      </c>
      <c r="G291">
        <v>0.57522821700000004</v>
      </c>
      <c r="H291">
        <v>6.6312255860000002</v>
      </c>
      <c r="I291">
        <v>0.50562407700000001</v>
      </c>
      <c r="J291">
        <f>SUM(L291:Q291)</f>
        <v>0.28452221095511548</v>
      </c>
      <c r="K291">
        <f>0.5*SIN(RADIANS(60))*((L291*M291)+(M291*N291)+(N291*O291)+(O291*P291)+(P291*Q291)+(Q291*L291))</f>
        <v>6.0729386490803753E-3</v>
      </c>
      <c r="L291">
        <f>(MAX(D:D)-D291)/(MAX(D:D)-MIN(D:D))</f>
        <v>5.6927584546205397E-2</v>
      </c>
      <c r="M291">
        <f>(MAX(E:E)-E291)/(MAX(E:E)-MIN(E:E))</f>
        <v>6.929304709716505E-2</v>
      </c>
      <c r="N291">
        <f>(MAX(F:F)-F291)/(MAX(F:F)-MIN(F:F))</f>
        <v>5.6319353116494858E-2</v>
      </c>
      <c r="O291">
        <f>(MAX(G:G)-G291)/(MAX(G:G)-MIN(G:G))</f>
        <v>4.4616924707745337E-2</v>
      </c>
      <c r="P291">
        <f>(MAX(H:H)-H291)/(MAX(H:H)-MIN(H:H))</f>
        <v>3.2934957509364968E-2</v>
      </c>
      <c r="Q291">
        <f>(MAX(I:I)-I291)/(MAX(I:I)-MIN(I:I))</f>
        <v>2.4430343978139858E-2</v>
      </c>
    </row>
    <row r="292" spans="1:17" x14ac:dyDescent="0.6">
      <c r="A292">
        <v>5</v>
      </c>
      <c r="B292" t="s">
        <v>571</v>
      </c>
      <c r="C292" t="s">
        <v>8</v>
      </c>
      <c r="D292">
        <v>9.2713520159999998</v>
      </c>
      <c r="E292">
        <v>0.51012569399999996</v>
      </c>
      <c r="F292">
        <v>7.5416502330000004</v>
      </c>
      <c r="G292">
        <v>0.57494394599999998</v>
      </c>
      <c r="H292">
        <v>6.1803283689999997</v>
      </c>
      <c r="I292">
        <v>0.46228036900000002</v>
      </c>
      <c r="J292">
        <f>SUM(L292:Q292)</f>
        <v>0.64978432327388413</v>
      </c>
      <c r="K292">
        <f>0.5*SIN(RADIANS(60))*((L292*M292)+(M292*N292)+(N292*O292)+(O292*P292)+(P292*Q292)+(Q292*L292))</f>
        <v>3.3856851167980408E-2</v>
      </c>
      <c r="L292">
        <f>(MAX(D:D)-D292)/(MAX(D:D)-MIN(D:D))</f>
        <v>6.0798336836898149E-2</v>
      </c>
      <c r="M292">
        <f>(MAX(E:E)-E292)/(MAX(E:E)-MIN(E:E))</f>
        <v>6.4130918885111104E-2</v>
      </c>
      <c r="N292">
        <f>(MAX(F:F)-F292)/(MAX(F:F)-MIN(F:F))</f>
        <v>5.0858901619211999E-2</v>
      </c>
      <c r="O292">
        <f>(MAX(G:G)-G292)/(MAX(G:G)-MIN(G:G))</f>
        <v>4.6069424654618975E-2</v>
      </c>
      <c r="P292">
        <f>(MAX(H:H)-H292)/(MAX(H:H)-MIN(H:H))</f>
        <v>0.20272351190521043</v>
      </c>
      <c r="Q292">
        <f>(MAX(I:I)-I292)/(MAX(I:I)-MIN(I:I))</f>
        <v>0.22520322937283352</v>
      </c>
    </row>
    <row r="293" spans="1:17" x14ac:dyDescent="0.6">
      <c r="A293">
        <v>10</v>
      </c>
      <c r="B293" t="s">
        <v>571</v>
      </c>
      <c r="C293" t="s">
        <v>7</v>
      </c>
      <c r="D293">
        <v>9.3000655020000007</v>
      </c>
      <c r="E293">
        <v>0.51161237999999998</v>
      </c>
      <c r="F293">
        <v>7.4566380199999998</v>
      </c>
      <c r="G293">
        <v>0.56827611700000003</v>
      </c>
      <c r="H293">
        <v>6.7186889650000001</v>
      </c>
      <c r="I293">
        <v>0.51089820399999997</v>
      </c>
      <c r="J293">
        <f>SUM(L293:Q293)</f>
        <v>0.27617238184654486</v>
      </c>
      <c r="K293">
        <f>0.5*SIN(RADIANS(60))*((L293*M293)+(M293*N293)+(N293*O293)+(O293*P293)+(P293*Q293)+(Q293*L293))</f>
        <v>6.5027972044331252E-3</v>
      </c>
      <c r="L293">
        <f>(MAX(D:D)-D293)/(MAX(D:D)-MIN(D:D))</f>
        <v>5.0532779078628735E-2</v>
      </c>
      <c r="M293">
        <f>(MAX(E:E)-E293)/(MAX(E:E)-MIN(E:E))</f>
        <v>5.8707166104622642E-2</v>
      </c>
      <c r="N293">
        <f>(MAX(F:F)-F293)/(MAX(F:F)-MIN(F:F))</f>
        <v>8.6793334594304147E-2</v>
      </c>
      <c r="O293">
        <f>(MAX(G:G)-G293)/(MAX(G:G)-MIN(G:G))</f>
        <v>8.0139102068989318E-2</v>
      </c>
      <c r="P293">
        <f>(MAX(H:H)-H293)/(MAX(H:H)-MIN(H:H))</f>
        <v>0</v>
      </c>
      <c r="Q293">
        <f>(MAX(I:I)-I293)/(MAX(I:I)-MIN(I:I))</f>
        <v>0</v>
      </c>
    </row>
    <row r="294" spans="1:17" x14ac:dyDescent="0.6">
      <c r="A294">
        <v>5</v>
      </c>
      <c r="B294" t="s">
        <v>571</v>
      </c>
      <c r="C294" t="s">
        <v>7</v>
      </c>
      <c r="D294">
        <v>9.3177499800000003</v>
      </c>
      <c r="E294">
        <v>0.51532829700000005</v>
      </c>
      <c r="F294">
        <v>7.548928021</v>
      </c>
      <c r="G294">
        <v>0.57548939700000001</v>
      </c>
      <c r="H294">
        <v>6.523925781</v>
      </c>
      <c r="I294">
        <v>0.49754828200000001</v>
      </c>
      <c r="J294">
        <f>SUM(L294:Q294)</f>
        <v>0.31560377254877681</v>
      </c>
      <c r="K294">
        <f>0.5*SIN(RADIANS(60))*((L294*M294)+(M294*N294)+(N294*O294)+(O294*P294)+(P294*Q294)+(Q294*L294))</f>
        <v>7.2161897675996041E-3</v>
      </c>
      <c r="L294">
        <f>(MAX(D:D)-D294)/(MAX(D:D)-MIN(D:D))</f>
        <v>4.4210278552784019E-2</v>
      </c>
      <c r="M294">
        <f>(MAX(E:E)-E294)/(MAX(E:E)-MIN(E:E))</f>
        <v>4.5150695430375025E-2</v>
      </c>
      <c r="N294">
        <f>(MAX(F:F)-F294)/(MAX(F:F)-MIN(F:F))</f>
        <v>4.7782600275393126E-2</v>
      </c>
      <c r="O294">
        <f>(MAX(G:G)-G294)/(MAX(G:G)-MIN(G:G))</f>
        <v>4.3282409628386774E-2</v>
      </c>
      <c r="P294">
        <f>(MAX(H:H)-H294)/(MAX(H:H)-MIN(H:H))</f>
        <v>7.3339462330041502E-2</v>
      </c>
      <c r="Q294">
        <f>(MAX(I:I)-I294)/(MAX(I:I)-MIN(I:I))</f>
        <v>6.183832633179636E-2</v>
      </c>
    </row>
    <row r="295" spans="1:17" x14ac:dyDescent="0.6">
      <c r="A295">
        <v>5</v>
      </c>
      <c r="B295" t="s">
        <v>571</v>
      </c>
      <c r="C295" t="s">
        <v>177</v>
      </c>
      <c r="D295">
        <v>9.441409234</v>
      </c>
      <c r="E295">
        <v>0.52770439700000005</v>
      </c>
      <c r="F295">
        <v>7.6619701439999996</v>
      </c>
      <c r="G295">
        <v>0.58396026400000001</v>
      </c>
      <c r="H295">
        <v>6.5050048829999998</v>
      </c>
      <c r="I295">
        <v>0.49328586000000002</v>
      </c>
      <c r="J295">
        <f>SUM(L295:Q295)</f>
        <v>0.16204660107275709</v>
      </c>
      <c r="K295">
        <f>0.5*SIN(RADIANS(60))*((L295*M295)+(M295*N295)+(N295*O295)+(O295*P295)+(P295*Q295)+(Q295*L295))</f>
        <v>2.8424957322210893E-3</v>
      </c>
      <c r="L295">
        <f>(MAX(D:D)-D295)/(MAX(D:D)-MIN(D:D))</f>
        <v>0</v>
      </c>
      <c r="M295">
        <f>(MAX(E:E)-E295)/(MAX(E:E)-MIN(E:E))</f>
        <v>0</v>
      </c>
      <c r="N295">
        <f>(MAX(F:F)-F295)/(MAX(F:F)-MIN(F:F))</f>
        <v>0</v>
      </c>
      <c r="O295">
        <f>(MAX(G:G)-G295)/(MAX(G:G)-MIN(G:G))</f>
        <v>0</v>
      </c>
      <c r="P295">
        <f>(MAX(H:H)-H295)/(MAX(H:H)-MIN(H:H))</f>
        <v>8.0464261060594039E-2</v>
      </c>
      <c r="Q295">
        <f>(MAX(I:I)-I295)/(MAX(I:I)-MIN(I:I))</f>
        <v>8.1582340012163038E-2</v>
      </c>
    </row>
  </sheetData>
  <autoFilter ref="A1:Q295" xr:uid="{3731A224-0241-42CC-90E8-D5F46600DC6C}">
    <sortState xmlns:xlrd2="http://schemas.microsoft.com/office/spreadsheetml/2017/richdata2" ref="A2:Q295">
      <sortCondition ref="E1:E295"/>
    </sortState>
  </autoFilter>
  <phoneticPr fontId="1" type="noConversion"/>
  <conditionalFormatting sqref="J1">
    <cfRule type="top10" dxfId="18" priority="42" percent="1" bottom="1" rank="5"/>
    <cfRule type="top10" dxfId="17" priority="43" percent="1" bottom="1" rank="10"/>
  </conditionalFormatting>
  <conditionalFormatting sqref="K1">
    <cfRule type="top10" dxfId="16" priority="40" percent="1" bottom="1" rank="10"/>
    <cfRule type="top10" dxfId="15" priority="41" percent="1" bottom="1" rank="5"/>
  </conditionalFormatting>
  <conditionalFormatting sqref="F1:F1048576">
    <cfRule type="top10" dxfId="14" priority="6" percent="1" bottom="1" rank="1"/>
  </conditionalFormatting>
  <conditionalFormatting sqref="D1:D1048576">
    <cfRule type="top10" dxfId="13" priority="5" percent="1" bottom="1" rank="1"/>
  </conditionalFormatting>
  <conditionalFormatting sqref="E1:E1048576">
    <cfRule type="top10" dxfId="12" priority="4" percent="1" bottom="1" rank="1"/>
  </conditionalFormatting>
  <conditionalFormatting sqref="G1:G1048576">
    <cfRule type="top10" dxfId="11" priority="3" percent="1" bottom="1" rank="1"/>
  </conditionalFormatting>
  <conditionalFormatting sqref="H1:H1048576">
    <cfRule type="top10" dxfId="10" priority="2" percent="1" bottom="1" rank="1"/>
  </conditionalFormatting>
  <conditionalFormatting sqref="I1:I1048576">
    <cfRule type="top10" dxfId="0" priority="1" percent="1" bottom="1" rank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85768-42A2-404E-8BFB-7F0B204B4C00}">
  <dimension ref="A1:I7"/>
  <sheetViews>
    <sheetView workbookViewId="0">
      <selection activeCell="I41" sqref="I41"/>
    </sheetView>
  </sheetViews>
  <sheetFormatPr defaultRowHeight="16.899999999999999" x14ac:dyDescent="0.6"/>
  <cols>
    <col min="1" max="1" width="8.875" bestFit="1" customWidth="1"/>
    <col min="2" max="2" width="10.75" bestFit="1" customWidth="1"/>
    <col min="3" max="3" width="32.875" bestFit="1" customWidth="1"/>
    <col min="4" max="5" width="5.8125" bestFit="1" customWidth="1"/>
    <col min="6" max="6" width="5.5625" bestFit="1" customWidth="1"/>
    <col min="7" max="7" width="6" bestFit="1" customWidth="1"/>
    <col min="8" max="8" width="7" bestFit="1" customWidth="1"/>
    <col min="9" max="9" width="8.0625" bestFit="1" customWidth="1"/>
  </cols>
  <sheetData>
    <row r="1" spans="1:9" x14ac:dyDescent="0.6">
      <c r="A1" s="16" t="s">
        <v>16</v>
      </c>
      <c r="B1" s="16" t="s">
        <v>529</v>
      </c>
      <c r="C1" s="16" t="s">
        <v>530</v>
      </c>
      <c r="D1" s="16" t="s">
        <v>1</v>
      </c>
      <c r="E1" s="16" t="s">
        <v>15</v>
      </c>
      <c r="F1" s="16" t="s">
        <v>2</v>
      </c>
      <c r="G1" s="16" t="s">
        <v>3</v>
      </c>
      <c r="H1" s="16" t="s">
        <v>4</v>
      </c>
      <c r="I1" s="16" t="s">
        <v>5</v>
      </c>
    </row>
    <row r="2" spans="1:9" x14ac:dyDescent="0.6">
      <c r="A2" s="17">
        <v>5</v>
      </c>
      <c r="B2" s="16" t="s">
        <v>99</v>
      </c>
      <c r="C2" s="16" t="s">
        <v>174</v>
      </c>
      <c r="D2" s="16">
        <v>7.092219504</v>
      </c>
      <c r="E2" s="16">
        <v>0.271810475</v>
      </c>
      <c r="F2" s="16">
        <v>5.3916216429999997</v>
      </c>
      <c r="G2" s="16">
        <v>0.39572529000000001</v>
      </c>
      <c r="H2" s="16">
        <v>4.5201416019999998</v>
      </c>
      <c r="I2" s="16">
        <v>0.32848809400000001</v>
      </c>
    </row>
    <row r="3" spans="1:9" x14ac:dyDescent="0.6">
      <c r="A3" s="17">
        <v>10</v>
      </c>
      <c r="B3" s="16" t="s">
        <v>99</v>
      </c>
      <c r="C3" s="16" t="s">
        <v>177</v>
      </c>
      <c r="D3" s="16">
        <v>7.0347555570000004</v>
      </c>
      <c r="E3" s="16">
        <v>0.26633654899999998</v>
      </c>
      <c r="F3" s="16">
        <v>5.4116259549999999</v>
      </c>
      <c r="G3" s="16">
        <v>0.39669362699999999</v>
      </c>
      <c r="H3" s="16">
        <v>4.5540771480000002</v>
      </c>
      <c r="I3" s="16">
        <v>0.34145180400000003</v>
      </c>
    </row>
    <row r="4" spans="1:9" x14ac:dyDescent="0.6">
      <c r="A4" s="17">
        <v>20</v>
      </c>
      <c r="B4" s="16" t="s">
        <v>99</v>
      </c>
      <c r="C4" s="16" t="s">
        <v>177</v>
      </c>
      <c r="D4" s="18">
        <v>6.8747985260000002</v>
      </c>
      <c r="E4" s="18">
        <v>0.25359787700000003</v>
      </c>
      <c r="F4" s="18">
        <v>5.3039641199999998</v>
      </c>
      <c r="G4" s="18">
        <v>0.38824872500000002</v>
      </c>
      <c r="H4" s="16">
        <v>4.4156494139999998</v>
      </c>
      <c r="I4" s="16">
        <v>0.32047466499999999</v>
      </c>
    </row>
    <row r="5" spans="1:9" x14ac:dyDescent="0.6">
      <c r="A5" s="17">
        <v>30</v>
      </c>
      <c r="B5" s="16" t="s">
        <v>99</v>
      </c>
      <c r="C5" s="16" t="s">
        <v>167</v>
      </c>
      <c r="D5" s="16">
        <v>7.0456242040000001</v>
      </c>
      <c r="E5" s="16">
        <v>0.26660521500000001</v>
      </c>
      <c r="F5" s="16">
        <v>5.3802638380000003</v>
      </c>
      <c r="G5" s="16">
        <v>0.393671353</v>
      </c>
      <c r="H5" s="18">
        <v>4.0630493159999999</v>
      </c>
      <c r="I5" s="18">
        <v>0.29501393300000001</v>
      </c>
    </row>
    <row r="6" spans="1:9" x14ac:dyDescent="0.6">
      <c r="A6" s="17">
        <v>60</v>
      </c>
      <c r="B6" s="16" t="s">
        <v>92</v>
      </c>
      <c r="C6" s="16" t="s">
        <v>174</v>
      </c>
      <c r="D6" s="16">
        <v>7.2218359379999999</v>
      </c>
      <c r="E6" s="16">
        <v>0.27811566300000001</v>
      </c>
      <c r="F6" s="16">
        <v>5.5552395910000003</v>
      </c>
      <c r="G6" s="16">
        <v>0.404683821</v>
      </c>
      <c r="H6" s="16">
        <v>4.543945313</v>
      </c>
      <c r="I6" s="16">
        <v>0.32296682399999999</v>
      </c>
    </row>
    <row r="7" spans="1:9" x14ac:dyDescent="0.6">
      <c r="A7" s="17">
        <v>90</v>
      </c>
      <c r="B7" s="16" t="s">
        <v>92</v>
      </c>
      <c r="C7" s="16" t="s">
        <v>7</v>
      </c>
      <c r="D7" s="16">
        <v>7.1349489999999998</v>
      </c>
      <c r="E7" s="16">
        <v>0.27160000000000001</v>
      </c>
      <c r="F7" s="16">
        <v>5.4568960000000004</v>
      </c>
      <c r="G7" s="16">
        <v>0.397374</v>
      </c>
      <c r="H7" s="16">
        <v>4.4688720000000002</v>
      </c>
      <c r="I7" s="16">
        <v>0.32714700000000002</v>
      </c>
    </row>
  </sheetData>
  <phoneticPr fontId="1" type="noConversion"/>
  <conditionalFormatting sqref="D8:D1048576">
    <cfRule type="top10" dxfId="165" priority="54" percent="1" bottom="1" rank="5"/>
  </conditionalFormatting>
  <conditionalFormatting sqref="E8:E1048576">
    <cfRule type="top10" dxfId="164" priority="53" percent="1" bottom="1" rank="5"/>
  </conditionalFormatting>
  <conditionalFormatting sqref="F8:F1048576">
    <cfRule type="top10" dxfId="163" priority="52" percent="1" bottom="1" rank="5"/>
  </conditionalFormatting>
  <conditionalFormatting sqref="G8:G1048576">
    <cfRule type="top10" dxfId="162" priority="51" percent="1" bottom="1" rank="5"/>
  </conditionalFormatting>
  <conditionalFormatting sqref="H8:H1048576">
    <cfRule type="top10" dxfId="161" priority="80" percent="1" bottom="1" rank="5"/>
  </conditionalFormatting>
  <conditionalFormatting sqref="I8:I1048576">
    <cfRule type="top10" dxfId="160" priority="49" percent="1" bottom="1" rank="5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F5F44-79B7-4EA1-BF0F-B9697D210AFE}">
  <dimension ref="A1:I9"/>
  <sheetViews>
    <sheetView workbookViewId="0">
      <selection activeCell="I27" sqref="I27"/>
    </sheetView>
  </sheetViews>
  <sheetFormatPr defaultRowHeight="16.899999999999999" x14ac:dyDescent="0.6"/>
  <cols>
    <col min="1" max="1" width="34.3125" bestFit="1" customWidth="1"/>
    <col min="2" max="2" width="12.8125" bestFit="1" customWidth="1"/>
    <col min="3" max="3" width="15.5" bestFit="1" customWidth="1"/>
    <col min="4" max="5" width="7.875" bestFit="1" customWidth="1"/>
    <col min="6" max="6" width="7" bestFit="1" customWidth="1"/>
    <col min="7" max="7" width="8.0625" bestFit="1" customWidth="1"/>
    <col min="8" max="8" width="9.0625" bestFit="1" customWidth="1"/>
    <col min="9" max="9" width="10.125" bestFit="1" customWidth="1"/>
  </cols>
  <sheetData>
    <row r="1" spans="1:9" x14ac:dyDescent="0.6">
      <c r="A1" s="15" t="s">
        <v>23</v>
      </c>
      <c r="B1" s="15" t="s">
        <v>529</v>
      </c>
      <c r="C1" s="15" t="s">
        <v>534</v>
      </c>
      <c r="D1" s="15" t="s">
        <v>1</v>
      </c>
      <c r="E1" s="15" t="s">
        <v>15</v>
      </c>
      <c r="F1" s="15" t="s">
        <v>2</v>
      </c>
      <c r="G1" s="15" t="s">
        <v>3</v>
      </c>
      <c r="H1" s="15" t="s">
        <v>4</v>
      </c>
      <c r="I1" s="15" t="s">
        <v>5</v>
      </c>
    </row>
    <row r="2" spans="1:9" x14ac:dyDescent="0.6">
      <c r="A2" s="6" t="s">
        <v>7</v>
      </c>
      <c r="B2" s="6" t="s">
        <v>6</v>
      </c>
      <c r="C2" s="20">
        <v>20</v>
      </c>
      <c r="D2" s="15">
        <v>6.9281274880000003</v>
      </c>
      <c r="E2" s="15">
        <v>0.25781232100000001</v>
      </c>
      <c r="F2" s="15">
        <v>5.3343183730000003</v>
      </c>
      <c r="G2" s="15">
        <v>0.39058098600000002</v>
      </c>
      <c r="H2" s="15">
        <v>4.3838500979999999</v>
      </c>
      <c r="I2" s="15">
        <v>0.31687311299999998</v>
      </c>
    </row>
    <row r="3" spans="1:9" x14ac:dyDescent="0.6">
      <c r="A3" s="6" t="s">
        <v>8</v>
      </c>
      <c r="B3" s="6" t="s">
        <v>92</v>
      </c>
      <c r="C3" s="20">
        <v>20</v>
      </c>
      <c r="D3" s="15">
        <v>6.9888719999999998</v>
      </c>
      <c r="E3" s="15">
        <v>0.26179999999999998</v>
      </c>
      <c r="F3" s="15">
        <v>5.4186059999999996</v>
      </c>
      <c r="G3" s="15">
        <v>0.39645900000000001</v>
      </c>
      <c r="H3" s="15">
        <v>4.3173830000000004</v>
      </c>
      <c r="I3" s="15">
        <v>0.32121499999999997</v>
      </c>
    </row>
    <row r="4" spans="1:9" x14ac:dyDescent="0.6">
      <c r="A4" s="6" t="s">
        <v>181</v>
      </c>
      <c r="B4" s="6" t="s">
        <v>6</v>
      </c>
      <c r="C4" s="20">
        <v>20</v>
      </c>
      <c r="D4" s="15">
        <v>6.9435927069999996</v>
      </c>
      <c r="E4" s="15">
        <v>0.25917542999999998</v>
      </c>
      <c r="F4" s="15">
        <v>5.3097110320000001</v>
      </c>
      <c r="G4" s="15">
        <v>0.388974237</v>
      </c>
      <c r="H4" s="15">
        <v>4.2913208010000004</v>
      </c>
      <c r="I4" s="15">
        <v>0.31725101500000003</v>
      </c>
    </row>
    <row r="5" spans="1:9" x14ac:dyDescent="0.6">
      <c r="A5" s="6" t="s">
        <v>171</v>
      </c>
      <c r="B5" s="6" t="s">
        <v>99</v>
      </c>
      <c r="C5" s="20">
        <v>20</v>
      </c>
      <c r="D5" s="15">
        <v>6.9660552659999997</v>
      </c>
      <c r="E5" s="15">
        <v>0.26092077600000002</v>
      </c>
      <c r="F5" s="15">
        <v>5.3270828809999999</v>
      </c>
      <c r="G5" s="15">
        <v>0.39003821700000002</v>
      </c>
      <c r="H5" s="15">
        <v>4.4567871090000004</v>
      </c>
      <c r="I5" s="15">
        <v>0.33384280199999999</v>
      </c>
    </row>
    <row r="6" spans="1:9" x14ac:dyDescent="0.6">
      <c r="A6" s="6" t="s">
        <v>174</v>
      </c>
      <c r="B6" s="6" t="s">
        <v>92</v>
      </c>
      <c r="C6" s="20">
        <v>20</v>
      </c>
      <c r="D6" s="15">
        <v>6.9285879279999998</v>
      </c>
      <c r="E6" s="15">
        <v>0.25792474900000001</v>
      </c>
      <c r="F6" s="15">
        <v>5.3191567879999999</v>
      </c>
      <c r="G6" s="15">
        <v>0.38953560999999998</v>
      </c>
      <c r="H6" s="15">
        <v>4.2520141599999999</v>
      </c>
      <c r="I6" s="15">
        <v>0.30999250699999997</v>
      </c>
    </row>
    <row r="7" spans="1:9" x14ac:dyDescent="0.6">
      <c r="A7" s="6" t="s">
        <v>167</v>
      </c>
      <c r="B7" s="6" t="s">
        <v>99</v>
      </c>
      <c r="C7" s="6">
        <v>30</v>
      </c>
      <c r="D7" s="15">
        <v>7.0456242040000001</v>
      </c>
      <c r="E7" s="15">
        <v>0.26660521500000001</v>
      </c>
      <c r="F7" s="15">
        <v>5.3802638380000003</v>
      </c>
      <c r="G7" s="15">
        <v>0.393671353</v>
      </c>
      <c r="H7" s="21">
        <v>4.0630493159999999</v>
      </c>
      <c r="I7" s="21">
        <v>0.29501393300000001</v>
      </c>
    </row>
    <row r="8" spans="1:9" x14ac:dyDescent="0.6">
      <c r="A8" s="6" t="s">
        <v>184</v>
      </c>
      <c r="B8" s="6" t="s">
        <v>6</v>
      </c>
      <c r="C8" s="6">
        <v>30</v>
      </c>
      <c r="D8" s="15">
        <v>6.9449210900000002</v>
      </c>
      <c r="E8" s="15">
        <v>0.258124095</v>
      </c>
      <c r="F8" s="15">
        <v>5.3968339939999996</v>
      </c>
      <c r="G8" s="15">
        <v>0.39450969600000002</v>
      </c>
      <c r="H8" s="15">
        <v>4.5006103519999998</v>
      </c>
      <c r="I8" s="15">
        <v>0.329599423</v>
      </c>
    </row>
    <row r="9" spans="1:9" x14ac:dyDescent="0.6">
      <c r="A9" s="6" t="s">
        <v>177</v>
      </c>
      <c r="B9" s="6" t="s">
        <v>99</v>
      </c>
      <c r="C9" s="20">
        <v>20</v>
      </c>
      <c r="D9" s="21">
        <v>6.8747985260000002</v>
      </c>
      <c r="E9" s="21">
        <v>0.25359787700000003</v>
      </c>
      <c r="F9" s="21">
        <v>5.3039641199999998</v>
      </c>
      <c r="G9" s="21">
        <v>0.38824872500000002</v>
      </c>
      <c r="H9" s="15">
        <v>4.4156494139999998</v>
      </c>
      <c r="I9" s="15">
        <v>0.32047466499999999</v>
      </c>
    </row>
  </sheetData>
  <autoFilter ref="A1:I1" xr:uid="{AAEF5F44-79B7-4EA1-BF0F-B9697D210AFE}"/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744-81A9-4288-A953-4059702C0B90}">
  <dimension ref="A1:E25"/>
  <sheetViews>
    <sheetView workbookViewId="0">
      <selection activeCell="I21" sqref="I21"/>
    </sheetView>
  </sheetViews>
  <sheetFormatPr defaultRowHeight="16.899999999999999" x14ac:dyDescent="0.6"/>
  <cols>
    <col min="1" max="1" width="11.0625" bestFit="1" customWidth="1"/>
    <col min="2" max="2" width="7.5" bestFit="1" customWidth="1"/>
    <col min="3" max="3" width="32.1875" bestFit="1" customWidth="1"/>
    <col min="4" max="4" width="12.6875" bestFit="1" customWidth="1"/>
    <col min="5" max="5" width="9.6875" bestFit="1" customWidth="1"/>
  </cols>
  <sheetData>
    <row r="1" spans="1:5" ht="33.75" x14ac:dyDescent="0.6">
      <c r="A1" s="2" t="s">
        <v>12</v>
      </c>
      <c r="B1" s="2" t="s">
        <v>20</v>
      </c>
      <c r="C1" s="2" t="s">
        <v>25</v>
      </c>
      <c r="D1" s="2" t="s">
        <v>26</v>
      </c>
      <c r="E1" s="8" t="s">
        <v>22</v>
      </c>
    </row>
    <row r="2" spans="1:5" x14ac:dyDescent="0.6">
      <c r="A2" s="27" t="s">
        <v>21</v>
      </c>
      <c r="B2" s="7" t="s">
        <v>1</v>
      </c>
      <c r="C2" s="6" t="s">
        <v>167</v>
      </c>
      <c r="D2" s="15">
        <v>6.9094331880000004</v>
      </c>
      <c r="E2" s="3">
        <v>20</v>
      </c>
    </row>
    <row r="3" spans="1:5" x14ac:dyDescent="0.6">
      <c r="A3" s="27"/>
      <c r="B3" s="7" t="s">
        <v>2</v>
      </c>
      <c r="C3" s="6" t="s">
        <v>181</v>
      </c>
      <c r="D3" s="15">
        <v>5.3097110320000001</v>
      </c>
      <c r="E3" s="3">
        <v>20</v>
      </c>
    </row>
    <row r="4" spans="1:5" x14ac:dyDescent="0.6">
      <c r="A4" s="27"/>
      <c r="B4" s="7" t="s">
        <v>4</v>
      </c>
      <c r="C4" s="6" t="s">
        <v>171</v>
      </c>
      <c r="D4" s="15">
        <v>4.2322387700000004</v>
      </c>
      <c r="E4" s="14">
        <v>30</v>
      </c>
    </row>
    <row r="5" spans="1:5" x14ac:dyDescent="0.6">
      <c r="A5" s="27" t="s">
        <v>9</v>
      </c>
      <c r="B5" s="7" t="s">
        <v>1</v>
      </c>
      <c r="C5" s="6" t="s">
        <v>8</v>
      </c>
      <c r="D5" s="15">
        <v>6.9988769279999996</v>
      </c>
      <c r="E5" s="3">
        <v>20</v>
      </c>
    </row>
    <row r="6" spans="1:5" x14ac:dyDescent="0.6">
      <c r="A6" s="27"/>
      <c r="B6" s="7" t="s">
        <v>2</v>
      </c>
      <c r="C6" s="6" t="s">
        <v>8</v>
      </c>
      <c r="D6" s="15">
        <v>5.3779223409999997</v>
      </c>
      <c r="E6" s="3">
        <v>20</v>
      </c>
    </row>
    <row r="7" spans="1:5" x14ac:dyDescent="0.6">
      <c r="A7" s="27"/>
      <c r="B7" s="7" t="s">
        <v>4</v>
      </c>
      <c r="C7" s="6" t="s">
        <v>177</v>
      </c>
      <c r="D7" s="15">
        <v>4.271484375</v>
      </c>
      <c r="E7" s="14">
        <v>5</v>
      </c>
    </row>
    <row r="8" spans="1:5" x14ac:dyDescent="0.6">
      <c r="A8" s="27" t="s">
        <v>10</v>
      </c>
      <c r="B8" s="7" t="s">
        <v>1</v>
      </c>
      <c r="C8" s="6" t="s">
        <v>174</v>
      </c>
      <c r="D8" s="15">
        <v>6.9285879279999998</v>
      </c>
      <c r="E8" s="3">
        <v>20</v>
      </c>
    </row>
    <row r="9" spans="1:5" x14ac:dyDescent="0.6">
      <c r="A9" s="27"/>
      <c r="B9" s="7" t="s">
        <v>2</v>
      </c>
      <c r="C9" s="6" t="s">
        <v>174</v>
      </c>
      <c r="D9" s="15">
        <v>5.3191567879999999</v>
      </c>
      <c r="E9" s="3">
        <v>20</v>
      </c>
    </row>
    <row r="10" spans="1:5" x14ac:dyDescent="0.6">
      <c r="A10" s="27"/>
      <c r="B10" s="7" t="s">
        <v>4</v>
      </c>
      <c r="C10" s="6" t="s">
        <v>174</v>
      </c>
      <c r="D10" s="15">
        <v>4.2520141599999999</v>
      </c>
      <c r="E10" s="3">
        <v>20</v>
      </c>
    </row>
    <row r="11" spans="1:5" x14ac:dyDescent="0.6">
      <c r="A11" s="27" t="s">
        <v>11</v>
      </c>
      <c r="B11" s="7" t="s">
        <v>1</v>
      </c>
      <c r="C11" s="6" t="s">
        <v>177</v>
      </c>
      <c r="D11" s="19">
        <v>6.8747985260000002</v>
      </c>
      <c r="E11" s="3">
        <v>20</v>
      </c>
    </row>
    <row r="12" spans="1:5" x14ac:dyDescent="0.6">
      <c r="A12" s="27"/>
      <c r="B12" s="7" t="s">
        <v>2</v>
      </c>
      <c r="C12" s="6" t="s">
        <v>177</v>
      </c>
      <c r="D12" s="19">
        <v>5.3039641199999998</v>
      </c>
      <c r="E12" s="3">
        <v>20</v>
      </c>
    </row>
    <row r="13" spans="1:5" x14ac:dyDescent="0.6">
      <c r="A13" s="27"/>
      <c r="B13" s="7" t="s">
        <v>4</v>
      </c>
      <c r="C13" s="6" t="s">
        <v>167</v>
      </c>
      <c r="D13" s="19">
        <v>4.0630493159999999</v>
      </c>
      <c r="E13" s="14">
        <v>30</v>
      </c>
    </row>
    <row r="14" spans="1:5" x14ac:dyDescent="0.6">
      <c r="A14" s="27" t="s">
        <v>569</v>
      </c>
      <c r="B14" s="7" t="s">
        <v>1</v>
      </c>
      <c r="C14" s="6"/>
      <c r="D14" s="32">
        <v>8.6211544730838501</v>
      </c>
      <c r="E14" s="6"/>
    </row>
    <row r="15" spans="1:5" x14ac:dyDescent="0.6">
      <c r="A15" s="27"/>
      <c r="B15" s="7" t="s">
        <v>2</v>
      </c>
      <c r="C15" s="6"/>
      <c r="D15" s="32">
        <v>6.9252069398954301</v>
      </c>
      <c r="E15" s="6"/>
    </row>
    <row r="16" spans="1:5" x14ac:dyDescent="0.6">
      <c r="A16" s="27"/>
      <c r="B16" s="7" t="s">
        <v>4</v>
      </c>
      <c r="C16" s="6"/>
      <c r="D16" s="32">
        <v>5.8337707519531197</v>
      </c>
      <c r="E16" s="6"/>
    </row>
    <row r="17" spans="1:5" x14ac:dyDescent="0.6">
      <c r="A17" s="27" t="s">
        <v>570</v>
      </c>
      <c r="B17" s="7" t="s">
        <v>1</v>
      </c>
      <c r="C17" s="6"/>
      <c r="D17" s="32">
        <v>48.218989999999998</v>
      </c>
      <c r="E17" s="6"/>
    </row>
    <row r="18" spans="1:5" x14ac:dyDescent="0.6">
      <c r="A18" s="27"/>
      <c r="B18" s="7" t="s">
        <v>2</v>
      </c>
      <c r="C18" s="6"/>
      <c r="D18" s="32">
        <v>41.519559999999998</v>
      </c>
      <c r="E18" s="6"/>
    </row>
    <row r="19" spans="1:5" x14ac:dyDescent="0.6">
      <c r="A19" s="27"/>
      <c r="B19" s="7" t="s">
        <v>4</v>
      </c>
      <c r="C19" s="33"/>
      <c r="D19" s="32">
        <v>40.453769999999999</v>
      </c>
      <c r="E19" s="6"/>
    </row>
    <row r="20" spans="1:5" x14ac:dyDescent="0.6">
      <c r="A20" s="27" t="s">
        <v>572</v>
      </c>
      <c r="B20" s="7" t="s">
        <v>1</v>
      </c>
      <c r="C20" s="33" t="s">
        <v>181</v>
      </c>
      <c r="D20" s="34">
        <v>6.8144972333467102</v>
      </c>
      <c r="E20" s="6">
        <v>90</v>
      </c>
    </row>
    <row r="21" spans="1:5" x14ac:dyDescent="0.6">
      <c r="A21" s="27"/>
      <c r="B21" s="7" t="s">
        <v>2</v>
      </c>
      <c r="C21" s="33" t="s">
        <v>181</v>
      </c>
      <c r="D21" s="32">
        <v>5.4348673813051001</v>
      </c>
      <c r="E21" s="6">
        <v>90</v>
      </c>
    </row>
    <row r="22" spans="1:5" x14ac:dyDescent="0.6">
      <c r="A22" s="27"/>
      <c r="B22" s="7" t="s">
        <v>4</v>
      </c>
      <c r="C22" s="33" t="s">
        <v>8</v>
      </c>
      <c r="D22" s="32">
        <v>4.5624899127048604</v>
      </c>
      <c r="E22" s="6">
        <v>90</v>
      </c>
    </row>
    <row r="23" spans="1:5" x14ac:dyDescent="0.6">
      <c r="A23" s="27" t="s">
        <v>571</v>
      </c>
      <c r="B23" s="7" t="s">
        <v>1</v>
      </c>
      <c r="C23" s="31" t="s">
        <v>167</v>
      </c>
      <c r="D23" s="35">
        <v>6.6443390042086996</v>
      </c>
      <c r="E23" s="6">
        <v>90</v>
      </c>
    </row>
    <row r="24" spans="1:5" x14ac:dyDescent="0.6">
      <c r="A24" s="27"/>
      <c r="B24" s="7" t="s">
        <v>2</v>
      </c>
      <c r="C24" s="33" t="s">
        <v>181</v>
      </c>
      <c r="D24" s="34">
        <v>5.2962110114819998</v>
      </c>
      <c r="E24" s="6">
        <v>90</v>
      </c>
    </row>
    <row r="25" spans="1:5" x14ac:dyDescent="0.6">
      <c r="A25" s="27"/>
      <c r="B25" s="7" t="s">
        <v>4</v>
      </c>
      <c r="C25" s="33" t="s">
        <v>171</v>
      </c>
      <c r="D25" s="32">
        <v>4.5544840494791599</v>
      </c>
      <c r="E25" s="6">
        <v>90</v>
      </c>
    </row>
  </sheetData>
  <mergeCells count="8">
    <mergeCell ref="A17:A19"/>
    <mergeCell ref="A20:A22"/>
    <mergeCell ref="A23:A25"/>
    <mergeCell ref="A11:A13"/>
    <mergeCell ref="A2:A4"/>
    <mergeCell ref="A5:A7"/>
    <mergeCell ref="A8:A10"/>
    <mergeCell ref="A14:A16"/>
  </mergeCells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77435-21C9-47C9-825A-DA5178FB0104}">
  <dimension ref="A1:F16"/>
  <sheetViews>
    <sheetView workbookViewId="0">
      <selection activeCell="E37" sqref="E37"/>
    </sheetView>
  </sheetViews>
  <sheetFormatPr defaultRowHeight="16.899999999999999" x14ac:dyDescent="0.6"/>
  <cols>
    <col min="1" max="1" width="21.8125" bestFit="1" customWidth="1"/>
    <col min="2" max="3" width="8" bestFit="1" customWidth="1"/>
    <col min="4" max="4" width="10.5625" bestFit="1" customWidth="1"/>
    <col min="5" max="5" width="32.1875" bestFit="1" customWidth="1"/>
    <col min="6" max="6" width="9.6875" bestFit="1" customWidth="1"/>
  </cols>
  <sheetData>
    <row r="1" spans="1:6" ht="33.75" x14ac:dyDescent="0.6">
      <c r="A1" s="2" t="s">
        <v>24</v>
      </c>
      <c r="B1" s="2" t="s">
        <v>13</v>
      </c>
      <c r="C1" s="2" t="s">
        <v>14</v>
      </c>
      <c r="D1" s="8" t="s">
        <v>27</v>
      </c>
      <c r="E1" s="2" t="s">
        <v>23</v>
      </c>
      <c r="F1" s="8" t="s">
        <v>22</v>
      </c>
    </row>
    <row r="2" spans="1:6" x14ac:dyDescent="0.6">
      <c r="A2" s="28" t="s">
        <v>19</v>
      </c>
      <c r="B2" s="4">
        <v>6.8747985260000002</v>
      </c>
      <c r="C2" s="4">
        <v>0.25359787700000003</v>
      </c>
      <c r="D2" s="3" t="s">
        <v>99</v>
      </c>
      <c r="E2" s="3" t="s">
        <v>177</v>
      </c>
      <c r="F2" s="3">
        <v>20</v>
      </c>
    </row>
    <row r="3" spans="1:6" x14ac:dyDescent="0.6">
      <c r="A3" s="29"/>
      <c r="B3" s="5">
        <v>6.9094331880000004</v>
      </c>
      <c r="C3" s="5">
        <v>0.25553018900000002</v>
      </c>
      <c r="D3" s="1" t="s">
        <v>6</v>
      </c>
      <c r="E3" s="1" t="s">
        <v>167</v>
      </c>
      <c r="F3" s="3">
        <v>20</v>
      </c>
    </row>
    <row r="4" spans="1:6" x14ac:dyDescent="0.6">
      <c r="A4" s="29"/>
      <c r="B4" s="5">
        <v>6.9281274880000003</v>
      </c>
      <c r="C4" s="5">
        <v>0.25781232100000001</v>
      </c>
      <c r="D4" s="1" t="s">
        <v>6</v>
      </c>
      <c r="E4" s="1" t="s">
        <v>7</v>
      </c>
      <c r="F4" s="3">
        <v>20</v>
      </c>
    </row>
    <row r="5" spans="1:6" x14ac:dyDescent="0.6">
      <c r="A5" s="29"/>
      <c r="B5" s="5">
        <v>6.9285879279999998</v>
      </c>
      <c r="C5" s="5">
        <v>0.25792474900000001</v>
      </c>
      <c r="D5" s="1" t="s">
        <v>92</v>
      </c>
      <c r="E5" s="1" t="s">
        <v>174</v>
      </c>
      <c r="F5" s="3">
        <v>20</v>
      </c>
    </row>
    <row r="6" spans="1:6" x14ac:dyDescent="0.6">
      <c r="A6" s="30"/>
      <c r="B6" s="5">
        <v>6.9405278480000003</v>
      </c>
      <c r="C6" s="5">
        <v>0.25834558299999999</v>
      </c>
      <c r="D6" s="1" t="s">
        <v>6</v>
      </c>
      <c r="E6" s="1" t="s">
        <v>171</v>
      </c>
      <c r="F6" s="3">
        <v>20</v>
      </c>
    </row>
    <row r="7" spans="1:6" x14ac:dyDescent="0.6">
      <c r="A7" s="28" t="s">
        <v>17</v>
      </c>
      <c r="B7" s="4">
        <v>5.3039641199999998</v>
      </c>
      <c r="C7" s="4">
        <v>0.38824872500000002</v>
      </c>
      <c r="D7" s="3" t="s">
        <v>99</v>
      </c>
      <c r="E7" s="3" t="s">
        <v>177</v>
      </c>
      <c r="F7" s="3">
        <v>20</v>
      </c>
    </row>
    <row r="8" spans="1:6" x14ac:dyDescent="0.6">
      <c r="A8" s="29"/>
      <c r="B8" s="5">
        <v>5.3097110320000001</v>
      </c>
      <c r="C8" s="9">
        <v>0.388974237</v>
      </c>
      <c r="D8" s="14" t="s">
        <v>6</v>
      </c>
      <c r="E8" s="14" t="s">
        <v>181</v>
      </c>
      <c r="F8" s="3">
        <v>20</v>
      </c>
    </row>
    <row r="9" spans="1:6" x14ac:dyDescent="0.6">
      <c r="A9" s="29"/>
      <c r="B9" s="5">
        <v>5.3191567879999999</v>
      </c>
      <c r="C9" s="5">
        <v>0.38953560999999998</v>
      </c>
      <c r="D9" s="1" t="s">
        <v>92</v>
      </c>
      <c r="E9" s="1" t="s">
        <v>174</v>
      </c>
      <c r="F9" s="3">
        <v>20</v>
      </c>
    </row>
    <row r="10" spans="1:6" x14ac:dyDescent="0.6">
      <c r="A10" s="29"/>
      <c r="B10" s="5">
        <v>5.3270828809999999</v>
      </c>
      <c r="C10" s="5">
        <v>0.39003821700000002</v>
      </c>
      <c r="D10" s="1" t="s">
        <v>99</v>
      </c>
      <c r="E10" s="1" t="s">
        <v>171</v>
      </c>
      <c r="F10" s="3">
        <v>20</v>
      </c>
    </row>
    <row r="11" spans="1:6" x14ac:dyDescent="0.6">
      <c r="A11" s="30"/>
      <c r="B11" s="5">
        <v>5.3343183730000003</v>
      </c>
      <c r="C11" s="5">
        <v>0.39058098600000002</v>
      </c>
      <c r="D11" s="1" t="s">
        <v>6</v>
      </c>
      <c r="E11" s="1" t="s">
        <v>7</v>
      </c>
      <c r="F11" s="3">
        <v>20</v>
      </c>
    </row>
    <row r="12" spans="1:6" x14ac:dyDescent="0.6">
      <c r="A12" s="28" t="s">
        <v>18</v>
      </c>
      <c r="B12" s="4">
        <v>4.0630493159999999</v>
      </c>
      <c r="C12" s="4">
        <v>0.29501393300000001</v>
      </c>
      <c r="D12" s="3" t="s">
        <v>99</v>
      </c>
      <c r="E12" s="3" t="s">
        <v>167</v>
      </c>
      <c r="F12" s="3">
        <v>30</v>
      </c>
    </row>
    <row r="13" spans="1:6" x14ac:dyDescent="0.6">
      <c r="A13" s="29"/>
      <c r="B13" s="5">
        <v>4.2322387700000004</v>
      </c>
      <c r="C13" s="9">
        <v>0.31374622899999999</v>
      </c>
      <c r="D13" s="14" t="s">
        <v>6</v>
      </c>
      <c r="E13" s="14" t="s">
        <v>171</v>
      </c>
      <c r="F13" s="14">
        <v>30</v>
      </c>
    </row>
    <row r="14" spans="1:6" x14ac:dyDescent="0.6">
      <c r="A14" s="29"/>
      <c r="B14" s="5">
        <v>4.2520141599999999</v>
      </c>
      <c r="C14" s="5">
        <v>0.30999250699999997</v>
      </c>
      <c r="D14" s="1" t="s">
        <v>92</v>
      </c>
      <c r="E14" s="1" t="s">
        <v>174</v>
      </c>
      <c r="F14" s="3">
        <v>20</v>
      </c>
    </row>
    <row r="15" spans="1:6" x14ac:dyDescent="0.6">
      <c r="A15" s="29"/>
      <c r="B15" s="5">
        <v>4.271484375</v>
      </c>
      <c r="C15" s="5">
        <v>0.313879674</v>
      </c>
      <c r="D15" s="1" t="s">
        <v>9</v>
      </c>
      <c r="E15" s="1" t="s">
        <v>177</v>
      </c>
      <c r="F15" s="1">
        <v>5</v>
      </c>
    </row>
    <row r="16" spans="1:6" x14ac:dyDescent="0.6">
      <c r="A16" s="30"/>
      <c r="B16" s="5">
        <v>4.2892456049999996</v>
      </c>
      <c r="C16" s="5">
        <v>0.316562648</v>
      </c>
      <c r="D16" s="1" t="s">
        <v>6</v>
      </c>
      <c r="E16" s="1" t="s">
        <v>8</v>
      </c>
      <c r="F16" s="1">
        <v>90</v>
      </c>
    </row>
  </sheetData>
  <mergeCells count="3">
    <mergeCell ref="A2:A6"/>
    <mergeCell ref="A7:A11"/>
    <mergeCell ref="A12:A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Sheet1</vt:lpstr>
      <vt:lpstr>Sheet3</vt:lpstr>
      <vt:lpstr>Sheet2</vt:lpstr>
      <vt:lpstr>Raw (2026Y)</vt:lpstr>
      <vt:lpstr>Raw (2026Y) Copy</vt:lpstr>
      <vt:lpstr>5</vt:lpstr>
      <vt:lpstr>10</vt:lpstr>
      <vt:lpstr>20</vt:lpstr>
      <vt:lpstr>30</vt:lpstr>
      <vt:lpstr>60</vt:lpstr>
      <vt:lpstr>90</vt:lpstr>
      <vt:lpstr>Total</vt:lpstr>
      <vt:lpstr>시간창구별 최적예측</vt:lpstr>
      <vt:lpstr>변수조합별 최적예측</vt:lpstr>
      <vt:lpstr>모델별 최적예측</vt:lpstr>
      <vt:lpstr>최적예측결과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Kyungwon Kim</cp:lastModifiedBy>
  <dcterms:created xsi:type="dcterms:W3CDTF">2025-10-23T09:01:21Z</dcterms:created>
  <dcterms:modified xsi:type="dcterms:W3CDTF">2026-03-09T00:17:51Z</dcterms:modified>
</cp:coreProperties>
</file>