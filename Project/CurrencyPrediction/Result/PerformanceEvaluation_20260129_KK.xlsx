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F9CB5257-B569-4A88-9EC6-A1C11715CBD2}" xr6:coauthVersionLast="47" xr6:coauthVersionMax="47" xr10:uidLastSave="{00000000-0000-0000-0000-000000000000}"/>
  <bookViews>
    <workbookView xWindow="31890" yWindow="-110" windowWidth="38620" windowHeight="21820" activeTab="9" xr2:uid="{CF4B9327-B7D0-40FD-9856-075314F6585B}"/>
  </bookViews>
  <sheets>
    <sheet name="Sheet1" sheetId="12" r:id="rId1"/>
    <sheet name="Sheet2" sheetId="13" r:id="rId2"/>
    <sheet name="Raw (2026Y)" sheetId="14" r:id="rId3"/>
    <sheet name="Raw (2026Y) Copy" sheetId="15" r:id="rId4"/>
    <sheet name="5" sheetId="2" r:id="rId5"/>
    <sheet name="10" sheetId="3" r:id="rId6"/>
    <sheet name="20" sheetId="4" r:id="rId7"/>
    <sheet name="30" sheetId="5" r:id="rId8"/>
    <sheet name="60" sheetId="6" r:id="rId9"/>
    <sheet name="90" sheetId="7" r:id="rId10"/>
    <sheet name="모델별 최적예측" sheetId="11" r:id="rId11"/>
    <sheet name="최적예측결과" sheetId="9" r:id="rId12"/>
  </sheets>
  <definedNames>
    <definedName name="_xlnm._FilterDatabase" localSheetId="2" hidden="1">'Raw (2026Y)'!$A$1:$J$97</definedName>
    <definedName name="_xlnm._FilterDatabase" localSheetId="3" hidden="1">'Raw (2026Y) Copy'!$A$1:$J$97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7" i="15" l="1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D2" i="14"/>
  <c r="D6" i="14"/>
  <c r="D10" i="14"/>
  <c r="D26" i="14"/>
  <c r="D22" i="14"/>
  <c r="D18" i="14"/>
  <c r="D30" i="14"/>
  <c r="D34" i="14"/>
  <c r="D42" i="14"/>
  <c r="D46" i="14"/>
  <c r="D38" i="14"/>
  <c r="D50" i="14"/>
  <c r="D58" i="14"/>
  <c r="D54" i="14"/>
  <c r="D62" i="14"/>
  <c r="D74" i="14"/>
  <c r="D78" i="14"/>
  <c r="D70" i="14"/>
  <c r="D66" i="14"/>
  <c r="D90" i="14"/>
  <c r="D82" i="14"/>
  <c r="D94" i="14"/>
  <c r="D86" i="14"/>
  <c r="D14" i="14"/>
  <c r="D4" i="14"/>
  <c r="D8" i="14"/>
  <c r="D16" i="14"/>
  <c r="D24" i="14"/>
  <c r="D32" i="14"/>
  <c r="D20" i="14"/>
  <c r="D28" i="14"/>
  <c r="D36" i="14"/>
  <c r="D48" i="14"/>
  <c r="D44" i="14"/>
  <c r="D40" i="14"/>
  <c r="D52" i="14"/>
  <c r="D60" i="14"/>
  <c r="D64" i="14"/>
  <c r="D56" i="14"/>
  <c r="D76" i="14"/>
  <c r="D80" i="14"/>
  <c r="D68" i="14"/>
  <c r="D72" i="14"/>
  <c r="D92" i="14"/>
  <c r="D88" i="14"/>
  <c r="D84" i="14"/>
  <c r="D96" i="14"/>
  <c r="D12" i="14"/>
  <c r="D11" i="14"/>
  <c r="D15" i="14"/>
  <c r="D7" i="14"/>
  <c r="D27" i="14"/>
  <c r="D31" i="14"/>
  <c r="D19" i="14"/>
  <c r="D23" i="14"/>
  <c r="D43" i="14"/>
  <c r="D39" i="14"/>
  <c r="D35" i="14"/>
  <c r="D47" i="14"/>
  <c r="D63" i="14"/>
  <c r="D59" i="14"/>
  <c r="D51" i="14"/>
  <c r="D55" i="14"/>
  <c r="D75" i="14"/>
  <c r="D79" i="14"/>
  <c r="D67" i="14"/>
  <c r="D71" i="14"/>
  <c r="D95" i="14"/>
  <c r="D83" i="14"/>
  <c r="D87" i="14"/>
  <c r="D91" i="14"/>
  <c r="D3" i="14"/>
  <c r="D13" i="14"/>
  <c r="D17" i="14"/>
  <c r="D9" i="14"/>
  <c r="D33" i="14"/>
  <c r="D29" i="14"/>
  <c r="D21" i="14"/>
  <c r="D25" i="14"/>
  <c r="D37" i="14"/>
  <c r="D45" i="14"/>
  <c r="D49" i="14"/>
  <c r="D41" i="14"/>
  <c r="D61" i="14"/>
  <c r="D53" i="14"/>
  <c r="D65" i="14"/>
  <c r="D57" i="14"/>
  <c r="D77" i="14"/>
  <c r="D81" i="14"/>
  <c r="D73" i="14"/>
  <c r="D69" i="14"/>
  <c r="D85" i="14"/>
  <c r="D93" i="14"/>
  <c r="D97" i="14"/>
  <c r="D89" i="14"/>
  <c r="D5" i="14"/>
</calcChain>
</file>

<file path=xl/sharedStrings.xml><?xml version="1.0" encoding="utf-8"?>
<sst xmlns="http://schemas.openxmlformats.org/spreadsheetml/2006/main" count="1173" uniqueCount="195">
  <si>
    <t>Model</t>
  </si>
  <si>
    <t>케이스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</si>
  <si>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</si>
  <si>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</si>
  <si>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</si>
  <si>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</si>
  <si>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</si>
  <si>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</si>
  <si>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</si>
  <si>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</si>
  <si>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</si>
  <si>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</si>
  <si>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</si>
  <si>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</si>
  <si>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</si>
  <si>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</si>
  <si>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</si>
  <si>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Macro + Event + Sentiment(All)</t>
  </si>
  <si>
    <t>Macro + Event + Sentiment(Direct)</t>
  </si>
  <si>
    <t>Macro + Sentiment(Direct+Indirect)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</si>
  <si>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</si>
  <si>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</si>
  <si>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</si>
  <si>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</si>
  <si>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</si>
  <si>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</si>
  <si>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</si>
  <si>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</si>
  <si>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</si>
  <si>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</si>
  <si>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</si>
  <si>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</si>
  <si>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Feature Case (Order)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</si>
  <si>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</si>
  <si>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</si>
  <si>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</si>
  <si>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</si>
  <si>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</si>
  <si>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</si>
  <si>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</si>
  <si>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</si>
  <si>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</si>
  <si>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</si>
  <si>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</si>
  <si>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</si>
  <si>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</si>
  <si>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</si>
  <si>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</si>
  <si>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</si>
  <si>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</si>
  <si>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</si>
  <si>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</si>
  <si>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</si>
  <si>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</si>
  <si>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</si>
  <si>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</si>
  <si>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</si>
  <si>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</si>
  <si>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</si>
  <si>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</si>
  <si>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</si>
  <si>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</si>
  <si>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</si>
  <si>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</si>
  <si>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</si>
  <si>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</si>
  <si>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</si>
  <si>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</si>
  <si>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</si>
  <si>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</si>
  <si>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</si>
  <si>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</si>
  <si>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</si>
  <si>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</si>
  <si>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</si>
  <si>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</si>
  <si>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</si>
  <si>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</si>
  <si>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</si>
  <si>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</si>
  <si>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</si>
  <si>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</si>
  <si>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</si>
  <si>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</si>
  <si>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</si>
  <si>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</si>
  <si>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</si>
  <si>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</si>
  <si>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</si>
  <si>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</si>
  <si>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</si>
  <si>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</si>
  <si>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</si>
  <si>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</si>
  <si>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</si>
  <si>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</si>
  <si>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ALL</t>
  </si>
  <si>
    <t>{"lr": 0.0003, "dropout": 0.1, "rnn1": 96, "rnn2": 48}</t>
  </si>
  <si>
    <t>{"lr": 0.001, "dropout": 0.1, "rnn1": 32, "rnn2": 48}</t>
  </si>
  <si>
    <t>CNN-LSTM</t>
  </si>
  <si>
    <t>{"lr": 0.0001, "dropout": 0.2, "rnn1": 32, "rnn2": 48, "conv_filters": 64, "kernel": 5, "bn": false}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</si>
  <si>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</si>
  <si>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</si>
  <si>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</si>
  <si>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</si>
  <si>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</si>
  <si>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</si>
  <si>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{"lr": 0.001, "dropout": 0.1, "rnn1": 96, "rnn2": 32, "conv_filters": 32, "kernel": 5, "bn": false}</t>
  </si>
  <si>
    <t>CNN-GRU</t>
  </si>
  <si>
    <t>{"lr": 0.0001, "dropout": 0.2, "rnn1": 64, "rnn2": 64, "conv_filters": 32, "kernel": 2, "bn": false}</t>
  </si>
  <si>
    <t>{"lr": 0.0001, "dropout": 0.05, "rnn1": 64, "rnn2": 32}</t>
  </si>
  <si>
    <t>{"lr": 0.001, "dropout": 0.2, "rnn1": 96, "rnn2": 64, "conv_filters": 96, "kernel": 2, "bn": false}</t>
  </si>
  <si>
    <t>{"lr": 0.0005, "dropout": 0.1, "rnn1": 128, "rnn2": 24, "conv_filters": 32, "kernel": 3, "bn": true}</t>
  </si>
  <si>
    <t>{"lr": 0.0005, "dropout": 0.1, "rnn1": 32, "rnn2": 32, "conv_filters": 32, "kernel": 3, "bn": true}</t>
  </si>
  <si>
    <t>{"lr": 0.001, "dropout": 0.15, "rnn1": 32, "rnn2": 32}</t>
  </si>
  <si>
    <t>{"lr": 0.001, "dropout": 0.2, "rnn1": 48, "rnn2": 24, "conv_filters": 32, "kernel": 3, "bn": true}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</si>
  <si>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</si>
  <si>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</si>
  <si>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</si>
  <si>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</si>
  <si>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</si>
  <si>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</si>
  <si>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</si>
  <si>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</si>
  <si>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0.001, "dropout": 0.15, "rnn1": 96, "rnn2": 32, "conv_filters": 32, "kernel": 3, "bn": true}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</si>
  <si>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</si>
  <si>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</si>
  <si>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</si>
  <si>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</si>
  <si>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</si>
  <si>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</si>
  <si>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</si>
  <si>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</si>
  <si>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</si>
  <si>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0.0001, "dropout": 0.15, "rnn1": 96, "rnn2": 24, "conv_filters": 32, "kernel": 2, "bn": false}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</si>
  <si>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</si>
  <si>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</si>
  <si>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</si>
  <si>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</si>
  <si>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0.0003, "dropout": 0.05, "rnn1": 32, "rnn2": 32, "conv_filters": 96, "kernel": 3, "bn": false}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</si>
  <si>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</si>
  <si>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</si>
  <si>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</si>
  <si>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</si>
  <si>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</si>
  <si>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</si>
  <si>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</si>
  <si>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</si>
  <si>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</si>
  <si>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</si>
  <si>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0.001, "dropout": 0.2, "rnn1": 64, "rnn2": 48}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</si>
  <si>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</si>
  <si>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</si>
  <si>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0.1, "rnn1": 32, "rnn2": 24}</t>
  </si>
  <si>
    <t>{"lr": 0.0005, "dropout": 0.15, "rnn1": 32, "rnn2": 16, "conv_filters": 32, "kernel": 3, "bn": true}</t>
  </si>
  <si>
    <t>{"lr": 0.0001, "dropout": 0.05, "rnn1": 96, "rnn2": 24}</t>
  </si>
  <si>
    <t>{"lr": 0.0001, "dropout": 0.2, "rnn1": 128, "rnn2": 24, "conv_filters": 96, "kernel": 3, "bn": false}</t>
  </si>
  <si>
    <t>{"lr": 0.0003, "dropout": 0.2, "rnn1": 64, "rnn2": 64}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</si>
  <si>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</si>
  <si>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</si>
  <si>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</si>
  <si>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</si>
  <si>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0.0005, "dropout": 0.15, "rnn1": 32, "rnn2": 16, "conv_filters": 96, "kernel": 2, "bn": false}</t>
  </si>
  <si>
    <t>{"lr": 0.0003, "dropout": 0.05, "rnn1": 96, "rnn2": 64}</t>
  </si>
  <si>
    <t>{"lr": 0.001, "dropout": 0.1, "rnn1": 64, "rnn2": 64, "conv_filters": 32, "kernel": 3, "bn": false}</t>
  </si>
  <si>
    <t>{"lr": 0.0003, "dropout": 0.1, "rnn1": 96, "rnn2": 16, "conv_filters": 32, "kernel": 2, "bn": true}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</si>
  <si>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</si>
  <si>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</si>
  <si>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0.0001, "dropout": 0.15, "rnn1": 96, "rnn2": 48}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</si>
  <si>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</si>
  <si>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</si>
  <si>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</si>
  <si>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</si>
  <si>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0.15, "rnn1": 32,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</si>
  <si>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</si>
  <si>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</si>
  <si>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</si>
  <si>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32, "conv_filters": 32, "kernel": 5, "bn": true}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</si>
  <si>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</si>
  <si>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</si>
  <si>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</si>
  <si>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</si>
  <si>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</si>
  <si>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</si>
  <si>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0.0005, "dropout": 0.15, "rnn1": 128, "rnn2": 48}</t>
  </si>
  <si>
    <t>{"lr": 0.001, "dropout": 0.2, "rnn1": 128, "rnn2": 48}</t>
  </si>
  <si>
    <t>{"lr": 0.0003, "dropout": 0.05, "rnn1": 96, "rnn2": 48}</t>
  </si>
  <si>
    <t>{"lr": 0.0001, "dropout": 0.05, "rnn1": 64, "rnn2": 48, "conv_filters": 64, "kernel": 5, "bn": true}</t>
  </si>
  <si>
    <t>{"lr": 0.0005, "dropout": 0.2, "rnn1": 32, "rnn2": 16}</t>
  </si>
  <si>
    <t>{"lr": 0.0001, "dropout": 0.05, "rnn1": 128, "rnn2": 24}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</si>
  <si>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</si>
  <si>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</si>
  <si>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</si>
  <si>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</si>
  <si>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{"lr": 0.0003, "dropout": 0.05, "rnn1": 32, "rnn2": 32, "conv_filters": 96, "kernel": 3, "bn": false}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</si>
</sst>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14" t="s">
        <v>51</v>
      </c>
      <c r="B1" s="14" t="s">
        <v>50</v>
      </c>
      <c r="C1" s="14"/>
      <c r="D1" s="14"/>
      <c r="E1" s="14" t="s">
        <v>38</v>
      </c>
    </row>
    <row r="2" spans="1:5" x14ac:dyDescent="0.6">
      <c r="A2" s="14"/>
      <c r="B2" s="1" t="s">
        <v>33</v>
      </c>
      <c r="C2" s="1" t="s">
        <v>34</v>
      </c>
      <c r="D2" s="1" t="s">
        <v>35</v>
      </c>
      <c r="E2" s="14"/>
    </row>
    <row r="3" spans="1:5" ht="33.75" x14ac:dyDescent="0.6">
      <c r="A3" s="1" t="s">
        <v>36</v>
      </c>
      <c r="B3" s="11" t="s">
        <v>40</v>
      </c>
      <c r="C3" s="11" t="s">
        <v>41</v>
      </c>
      <c r="D3" s="11" t="s">
        <v>42</v>
      </c>
      <c r="E3" s="12" t="s">
        <v>43</v>
      </c>
    </row>
    <row r="4" spans="1:5" ht="33.75" x14ac:dyDescent="0.6">
      <c r="A4" s="1" t="s">
        <v>37</v>
      </c>
      <c r="B4" s="11" t="s">
        <v>44</v>
      </c>
      <c r="C4" s="11" t="s">
        <v>45</v>
      </c>
      <c r="D4" s="11" t="s">
        <v>46</v>
      </c>
      <c r="E4" s="11" t="s">
        <v>47</v>
      </c>
    </row>
    <row r="5" spans="1:5" ht="33.75" x14ac:dyDescent="0.6">
      <c r="A5" s="1" t="s">
        <v>49</v>
      </c>
      <c r="B5" s="1" t="s">
        <v>39</v>
      </c>
      <c r="C5" s="1" t="s">
        <v>39</v>
      </c>
      <c r="D5" s="1" t="s">
        <v>39</v>
      </c>
      <c r="E5" s="11" t="s">
        <v>48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52</v>
      </c>
      <c r="B1" s="6" t="s">
        <v>53</v>
      </c>
      <c r="C1" s="6" t="s">
        <v>67</v>
      </c>
    </row>
    <row r="2" spans="1:3" x14ac:dyDescent="0.6">
      <c r="A2" s="6" t="s">
        <v>54</v>
      </c>
      <c r="B2" s="6" t="s">
        <v>55</v>
      </c>
      <c r="C2" s="6">
        <v>5</v>
      </c>
    </row>
    <row r="3" spans="1:3" x14ac:dyDescent="0.6">
      <c r="A3" s="6"/>
      <c r="B3" s="6" t="s">
        <v>56</v>
      </c>
      <c r="C3" s="6" t="s">
        <v>57</v>
      </c>
    </row>
    <row r="4" spans="1:3" x14ac:dyDescent="0.6">
      <c r="A4" s="6"/>
      <c r="B4" s="6" t="s">
        <v>58</v>
      </c>
      <c r="C4" s="6" t="s">
        <v>59</v>
      </c>
    </row>
    <row r="5" spans="1:3" x14ac:dyDescent="0.6">
      <c r="A5" s="6"/>
      <c r="B5" s="6" t="s">
        <v>70</v>
      </c>
      <c r="C5" s="6" t="s">
        <v>71</v>
      </c>
    </row>
    <row r="6" spans="1:3" x14ac:dyDescent="0.6">
      <c r="A6" s="6"/>
      <c r="B6" s="6" t="s">
        <v>60</v>
      </c>
      <c r="C6" s="6" t="s">
        <v>68</v>
      </c>
    </row>
    <row r="7" spans="1:3" x14ac:dyDescent="0.6">
      <c r="A7" s="6"/>
      <c r="B7" s="6" t="s">
        <v>69</v>
      </c>
      <c r="C7" s="6">
        <v>0.1</v>
      </c>
    </row>
    <row r="8" spans="1:3" x14ac:dyDescent="0.6">
      <c r="A8" s="6"/>
      <c r="B8" s="6" t="s">
        <v>61</v>
      </c>
      <c r="C8" s="6">
        <v>1</v>
      </c>
    </row>
    <row r="9" spans="1:3" x14ac:dyDescent="0.6">
      <c r="A9" s="6" t="s">
        <v>25</v>
      </c>
      <c r="B9" s="6" t="s">
        <v>79</v>
      </c>
      <c r="C9" s="6" t="s">
        <v>80</v>
      </c>
    </row>
    <row r="10" spans="1:3" x14ac:dyDescent="0.6">
      <c r="A10" s="6" t="s">
        <v>10</v>
      </c>
      <c r="B10" s="6" t="s">
        <v>79</v>
      </c>
      <c r="C10" s="6" t="s">
        <v>80</v>
      </c>
    </row>
    <row r="11" spans="1:3" x14ac:dyDescent="0.6">
      <c r="A11" s="6" t="s">
        <v>72</v>
      </c>
      <c r="B11" s="6" t="s">
        <v>62</v>
      </c>
      <c r="C11" s="6" t="s">
        <v>73</v>
      </c>
    </row>
    <row r="12" spans="1:3" x14ac:dyDescent="0.6">
      <c r="A12" s="6"/>
      <c r="B12" s="6" t="s">
        <v>63</v>
      </c>
      <c r="C12" s="6" t="s">
        <v>78</v>
      </c>
    </row>
    <row r="13" spans="1:3" x14ac:dyDescent="0.6">
      <c r="A13" s="6"/>
      <c r="B13" s="6" t="s">
        <v>76</v>
      </c>
      <c r="C13" s="6" t="s">
        <v>77</v>
      </c>
    </row>
    <row r="14" spans="1:3" x14ac:dyDescent="0.6">
      <c r="A14" s="6"/>
      <c r="B14" s="6" t="s">
        <v>64</v>
      </c>
      <c r="C14" s="6" t="s">
        <v>65</v>
      </c>
    </row>
    <row r="15" spans="1:3" x14ac:dyDescent="0.6">
      <c r="A15" s="6"/>
      <c r="B15" s="6" t="s">
        <v>66</v>
      </c>
      <c r="C15" s="6" t="s">
        <v>75</v>
      </c>
    </row>
    <row r="16" spans="1:3" x14ac:dyDescent="0.6">
      <c r="A16" s="6"/>
      <c r="B16" s="6" t="s">
        <v>74</v>
      </c>
      <c r="C16" s="6" t="s">
        <v>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97"/>
  <sheetViews>
    <sheetView workbookViewId="0">
      <selection activeCell="F17" sqref="F17"/>
    </sheetView>
  </sheetViews>
  <sheetFormatPr defaultRowHeight="16.899999999999999" x14ac:dyDescent="0.6"/>
  <cols>
    <col min="1" max="1" width="11" bestFit="1" customWidth="1"/>
    <col min="2" max="2" width="10.5625" bestFit="1" customWidth="1"/>
    <col min="3" max="3" width="18" bestFit="1" customWidth="1"/>
    <col min="4" max="4" width="21.375" bestFit="1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20</v>
      </c>
      <c r="B1" t="s">
        <v>13</v>
      </c>
      <c r="C1" t="s">
        <v>27</v>
      </c>
      <c r="D1" t="s">
        <v>32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</row>
    <row r="2" spans="1:16" x14ac:dyDescent="0.6">
      <c r="A2">
        <v>5</v>
      </c>
      <c r="B2" t="s">
        <v>7</v>
      </c>
      <c r="C2" t="s">
        <v>8</v>
      </c>
      <c r="D2" t="str">
        <f>"1."&amp;C2</f>
        <v>1.Macro Only</v>
      </c>
      <c r="E2">
        <v>1</v>
      </c>
      <c r="F2" t="s">
        <v>140</v>
      </c>
      <c r="G2" s="13">
        <v>8.6922131329482308</v>
      </c>
      <c r="H2" s="13">
        <v>6.9978791915434799</v>
      </c>
      <c r="I2" s="13">
        <v>0.53388464913963296</v>
      </c>
      <c r="J2">
        <v>7.2118313209826104</v>
      </c>
      <c r="K2" s="13">
        <v>5.6901945634321702</v>
      </c>
      <c r="L2" s="13">
        <v>0.41487732666673899</v>
      </c>
      <c r="M2">
        <v>0.29788420786338898</v>
      </c>
      <c r="N2">
        <v>4.31427001953125</v>
      </c>
      <c r="O2" s="13">
        <v>0.30903714593416998</v>
      </c>
      <c r="P2" t="s">
        <v>152</v>
      </c>
    </row>
    <row r="3" spans="1:16" x14ac:dyDescent="0.6">
      <c r="A3">
        <v>5</v>
      </c>
      <c r="B3" t="s">
        <v>7</v>
      </c>
      <c r="C3" t="s">
        <v>9</v>
      </c>
      <c r="D3" t="str">
        <f>"2."&amp;C3</f>
        <v>2.Macro + Event</v>
      </c>
      <c r="E3">
        <v>1</v>
      </c>
      <c r="F3" t="s">
        <v>129</v>
      </c>
      <c r="G3" s="13">
        <v>8.6961930600441004</v>
      </c>
      <c r="H3" s="13">
        <v>6.9890003081928302</v>
      </c>
      <c r="I3" s="13">
        <v>0.53325289059635905</v>
      </c>
      <c r="J3" s="13">
        <v>7.1444564286316004</v>
      </c>
      <c r="K3">
        <v>5.4687929999999998</v>
      </c>
      <c r="L3">
        <v>0.40054499999999998</v>
      </c>
      <c r="M3">
        <v>0.27200000000000002</v>
      </c>
      <c r="N3">
        <v>4.6674189999999998</v>
      </c>
      <c r="O3">
        <v>0.34352199999999999</v>
      </c>
      <c r="P3" t="s">
        <v>95</v>
      </c>
    </row>
    <row r="4" spans="1:16" x14ac:dyDescent="0.6">
      <c r="A4">
        <v>5</v>
      </c>
      <c r="B4" t="s">
        <v>7</v>
      </c>
      <c r="C4" t="s">
        <v>93</v>
      </c>
      <c r="D4" t="str">
        <f>"3."&amp;C4</f>
        <v>3.Macro + Sentiment</v>
      </c>
      <c r="E4">
        <v>1</v>
      </c>
      <c r="F4" t="s">
        <v>122</v>
      </c>
      <c r="G4" s="13">
        <v>8.7281372972559499</v>
      </c>
      <c r="H4">
        <v>6.9915363082825603</v>
      </c>
      <c r="I4" s="13">
        <v>0.53338542474259898</v>
      </c>
      <c r="J4" s="13">
        <v>7.1959661176296699</v>
      </c>
      <c r="K4" s="13">
        <v>5.6067413060011004</v>
      </c>
      <c r="L4" s="13">
        <v>0.41041722261715402</v>
      </c>
      <c r="M4">
        <v>0.28290686131512799</v>
      </c>
      <c r="N4">
        <v>4.60052490234375</v>
      </c>
      <c r="O4" s="13">
        <v>0.34298178101701499</v>
      </c>
      <c r="P4" t="s">
        <v>95</v>
      </c>
    </row>
    <row r="5" spans="1:16" x14ac:dyDescent="0.6">
      <c r="A5">
        <v>5</v>
      </c>
      <c r="B5" t="s">
        <v>7</v>
      </c>
      <c r="C5" t="s">
        <v>96</v>
      </c>
      <c r="D5" t="str">
        <f>"4."&amp;C5</f>
        <v>4.ALL</v>
      </c>
      <c r="E5">
        <v>1</v>
      </c>
      <c r="F5" t="s">
        <v>122</v>
      </c>
      <c r="G5" s="13">
        <v>8.7206533396327792</v>
      </c>
      <c r="H5" s="13">
        <v>6.9798379319702804</v>
      </c>
      <c r="I5">
        <v>0.53249668749286705</v>
      </c>
      <c r="J5" s="13">
        <v>7.1139842906178696</v>
      </c>
      <c r="K5" s="13">
        <v>5.3294564706307801</v>
      </c>
      <c r="L5" s="13">
        <v>0.39007840166920299</v>
      </c>
      <c r="M5">
        <v>0.254372860049494</v>
      </c>
      <c r="N5">
        <v>4.6673583984375</v>
      </c>
      <c r="O5" s="13">
        <v>0.342286514697697</v>
      </c>
      <c r="P5" t="s">
        <v>95</v>
      </c>
    </row>
    <row r="6" spans="1:16" x14ac:dyDescent="0.6">
      <c r="A6">
        <v>5</v>
      </c>
      <c r="B6" t="s">
        <v>10</v>
      </c>
      <c r="C6" t="s">
        <v>8</v>
      </c>
      <c r="D6" t="str">
        <f>"1."&amp;C6</f>
        <v>1.Macro Only</v>
      </c>
      <c r="E6">
        <v>1</v>
      </c>
      <c r="F6" t="s">
        <v>125</v>
      </c>
      <c r="G6" s="13">
        <v>8.7253390382096292</v>
      </c>
      <c r="H6" s="13">
        <v>7.0337735848200698</v>
      </c>
      <c r="I6" s="13">
        <v>0.53622051354803102</v>
      </c>
      <c r="J6" s="13">
        <v>7.9057553230941702</v>
      </c>
      <c r="K6">
        <v>5.6867190000000001</v>
      </c>
      <c r="L6">
        <v>0.41473599999999999</v>
      </c>
      <c r="M6">
        <v>0.2994</v>
      </c>
      <c r="N6">
        <v>4.4887079999999999</v>
      </c>
      <c r="O6">
        <v>0.33013799999999999</v>
      </c>
      <c r="P6" t="s">
        <v>152</v>
      </c>
    </row>
    <row r="7" spans="1:16" x14ac:dyDescent="0.6">
      <c r="A7">
        <v>5</v>
      </c>
      <c r="B7" t="s">
        <v>10</v>
      </c>
      <c r="C7" t="s">
        <v>9</v>
      </c>
      <c r="D7" t="str">
        <f>"2."&amp;C7</f>
        <v>2.Macro + Event</v>
      </c>
      <c r="E7">
        <v>1</v>
      </c>
      <c r="F7" t="s">
        <v>172</v>
      </c>
      <c r="G7">
        <v>8.7686811137446092</v>
      </c>
      <c r="H7" s="13">
        <v>7.10564446403641</v>
      </c>
      <c r="I7">
        <v>0.54185787204528801</v>
      </c>
      <c r="J7" s="13">
        <v>7.4566945306430696</v>
      </c>
      <c r="K7">
        <v>5.4028590000000003</v>
      </c>
      <c r="L7">
        <v>0.39662399999999998</v>
      </c>
      <c r="M7">
        <v>0.27490000000000003</v>
      </c>
      <c r="N7">
        <v>4.5946040000000004</v>
      </c>
      <c r="O7">
        <v>0.33372499999999999</v>
      </c>
      <c r="P7" t="s">
        <v>95</v>
      </c>
    </row>
    <row r="8" spans="1:16" x14ac:dyDescent="0.6">
      <c r="A8">
        <v>5</v>
      </c>
      <c r="B8" t="s">
        <v>10</v>
      </c>
      <c r="C8" t="s">
        <v>93</v>
      </c>
      <c r="D8" t="str">
        <f>"3."&amp;C8</f>
        <v>3.Macro + Sentiment</v>
      </c>
      <c r="E8">
        <v>1</v>
      </c>
      <c r="F8" t="s">
        <v>158</v>
      </c>
      <c r="G8" s="13">
        <v>8.8351072816589795</v>
      </c>
      <c r="H8" s="13">
        <v>7.0694780103822801</v>
      </c>
      <c r="I8" s="13">
        <v>0.53956887468716797</v>
      </c>
      <c r="J8" s="13">
        <v>7.3325710918834899</v>
      </c>
      <c r="K8">
        <v>5.5980309999999998</v>
      </c>
      <c r="L8">
        <v>0.40990300000000002</v>
      </c>
      <c r="M8">
        <v>0.28449999999999998</v>
      </c>
      <c r="N8">
        <v>4.5358890000000001</v>
      </c>
      <c r="O8">
        <v>0.332318</v>
      </c>
      <c r="P8" t="s">
        <v>101</v>
      </c>
    </row>
    <row r="9" spans="1:16" x14ac:dyDescent="0.6">
      <c r="A9">
        <v>5</v>
      </c>
      <c r="B9" t="s">
        <v>10</v>
      </c>
      <c r="C9" t="s">
        <v>96</v>
      </c>
      <c r="D9" t="str">
        <f>"4."&amp;C9</f>
        <v>4.ALL</v>
      </c>
      <c r="E9">
        <v>1</v>
      </c>
      <c r="F9" t="s">
        <v>157</v>
      </c>
      <c r="G9" s="13">
        <v>8.7057449768609896</v>
      </c>
      <c r="H9" s="13">
        <v>6.9133210338433102</v>
      </c>
      <c r="I9">
        <v>0.52720932434323697</v>
      </c>
      <c r="J9" s="13">
        <v>7.3298170573686798</v>
      </c>
      <c r="K9">
        <v>5.3962750000000002</v>
      </c>
      <c r="L9">
        <v>0.39446300000000001</v>
      </c>
      <c r="M9">
        <v>0.25990000000000002</v>
      </c>
      <c r="N9">
        <v>4.6044309999999999</v>
      </c>
      <c r="O9">
        <v>0.33909299999999998</v>
      </c>
      <c r="P9" t="s">
        <v>101</v>
      </c>
    </row>
    <row r="10" spans="1:16" x14ac:dyDescent="0.6">
      <c r="A10">
        <v>5</v>
      </c>
      <c r="B10" t="s">
        <v>99</v>
      </c>
      <c r="C10" t="s">
        <v>8</v>
      </c>
      <c r="D10" t="str">
        <f>"1."&amp;C10</f>
        <v>1.Macro Only</v>
      </c>
      <c r="E10">
        <v>1</v>
      </c>
      <c r="F10" t="s">
        <v>190</v>
      </c>
      <c r="G10">
        <v>8.7052849999999999</v>
      </c>
      <c r="H10">
        <v>6.9406249999999998</v>
      </c>
      <c r="I10">
        <v>0.52950699999999995</v>
      </c>
      <c r="J10">
        <v>7.942977</v>
      </c>
      <c r="K10" s="13">
        <v>5.80583121559836</v>
      </c>
      <c r="L10" s="13">
        <v>0.42238218251780701</v>
      </c>
      <c r="M10">
        <v>0.29857578610777497</v>
      </c>
      <c r="N10">
        <v>5.040283203125</v>
      </c>
      <c r="O10" s="13">
        <v>0.36676610353741701</v>
      </c>
      <c r="P10" t="s">
        <v>152</v>
      </c>
    </row>
    <row r="11" spans="1:16" x14ac:dyDescent="0.6">
      <c r="A11">
        <v>5</v>
      </c>
      <c r="B11" t="s">
        <v>99</v>
      </c>
      <c r="C11" t="s">
        <v>9</v>
      </c>
      <c r="D11" t="str">
        <f>"2."&amp;C11</f>
        <v>2.Macro + Event</v>
      </c>
      <c r="E11">
        <v>1</v>
      </c>
      <c r="F11" t="s">
        <v>131</v>
      </c>
      <c r="G11">
        <v>8.7020579999999992</v>
      </c>
      <c r="H11">
        <v>6.9538469999999997</v>
      </c>
      <c r="I11">
        <v>0.53055399999999997</v>
      </c>
      <c r="J11">
        <v>7.1516469999999996</v>
      </c>
      <c r="K11">
        <v>5.4960550000000001</v>
      </c>
      <c r="L11">
        <v>0.40162900000000001</v>
      </c>
      <c r="M11">
        <v>0.27110000000000001</v>
      </c>
      <c r="N11">
        <v>4.5627440000000004</v>
      </c>
      <c r="O11">
        <v>0.33720600000000001</v>
      </c>
      <c r="P11" t="s">
        <v>101</v>
      </c>
    </row>
    <row r="12" spans="1:16" x14ac:dyDescent="0.6">
      <c r="A12">
        <v>5</v>
      </c>
      <c r="B12" t="s">
        <v>99</v>
      </c>
      <c r="C12" t="s">
        <v>93</v>
      </c>
      <c r="D12" t="str">
        <f>"3."&amp;C12</f>
        <v>3.Macro + Sentiment</v>
      </c>
      <c r="E12">
        <v>1</v>
      </c>
      <c r="F12" t="s">
        <v>126</v>
      </c>
      <c r="G12">
        <v>8.7163679999999992</v>
      </c>
      <c r="H12">
        <v>6.9471379999999998</v>
      </c>
      <c r="I12">
        <v>0.53001200000000004</v>
      </c>
      <c r="J12">
        <v>7.1286649999999998</v>
      </c>
      <c r="K12" s="13">
        <v>5.6277566557948999</v>
      </c>
      <c r="L12" s="13">
        <v>0.41086201470158601</v>
      </c>
      <c r="M12">
        <v>0.281065693167936</v>
      </c>
      <c r="N12">
        <v>4.9595947265625</v>
      </c>
      <c r="O12" s="13">
        <v>0.35968189239605097</v>
      </c>
      <c r="P12" t="s">
        <v>101</v>
      </c>
    </row>
    <row r="13" spans="1:16" x14ac:dyDescent="0.6">
      <c r="A13">
        <v>5</v>
      </c>
      <c r="B13" t="s">
        <v>99</v>
      </c>
      <c r="C13" t="s">
        <v>96</v>
      </c>
      <c r="D13" t="str">
        <f>"4."&amp;C13</f>
        <v>4.ALL</v>
      </c>
      <c r="E13">
        <v>1</v>
      </c>
      <c r="F13" t="s">
        <v>134</v>
      </c>
      <c r="G13">
        <v>8.6954879999999992</v>
      </c>
      <c r="H13">
        <v>6.9672080000000003</v>
      </c>
      <c r="I13">
        <v>0.53156199999999998</v>
      </c>
      <c r="J13">
        <v>7.1667379999999996</v>
      </c>
      <c r="K13" s="13">
        <v>5.3747569896556699</v>
      </c>
      <c r="L13" s="13">
        <v>0.39338314687199699</v>
      </c>
      <c r="M13">
        <v>0.25519712707174297</v>
      </c>
      <c r="N13">
        <v>4.52496337890625</v>
      </c>
      <c r="O13">
        <v>0.32217329668037997</v>
      </c>
      <c r="P13" t="s">
        <v>95</v>
      </c>
    </row>
    <row r="14" spans="1:16" x14ac:dyDescent="0.6">
      <c r="A14">
        <v>5</v>
      </c>
      <c r="B14" t="s">
        <v>108</v>
      </c>
      <c r="C14" t="s">
        <v>8</v>
      </c>
      <c r="D14" t="str">
        <f>"1."&amp;C14</f>
        <v>1.Macro Only</v>
      </c>
      <c r="E14">
        <v>1</v>
      </c>
      <c r="F14" t="s">
        <v>132</v>
      </c>
      <c r="G14">
        <v>8.6862169999999992</v>
      </c>
      <c r="H14">
        <v>7.0010690000000002</v>
      </c>
      <c r="I14">
        <v>0.53403500000000004</v>
      </c>
      <c r="J14">
        <v>7.1601179999999998</v>
      </c>
      <c r="K14" s="13">
        <v>5.6596484163622804</v>
      </c>
      <c r="L14" s="13">
        <v>0.41482800306756601</v>
      </c>
      <c r="M14">
        <v>0.29974140145656802</v>
      </c>
      <c r="N14">
        <v>4.5623779296875</v>
      </c>
      <c r="O14" s="13">
        <v>0.33639218466642101</v>
      </c>
      <c r="P14" t="s">
        <v>95</v>
      </c>
    </row>
    <row r="15" spans="1:16" x14ac:dyDescent="0.6">
      <c r="A15">
        <v>5</v>
      </c>
      <c r="B15" t="s">
        <v>108</v>
      </c>
      <c r="C15" t="s">
        <v>9</v>
      </c>
      <c r="D15" t="str">
        <f>"2."&amp;C15</f>
        <v>2.Macro + Event</v>
      </c>
      <c r="E15">
        <v>1</v>
      </c>
      <c r="F15" t="s">
        <v>141</v>
      </c>
      <c r="G15">
        <v>8.7029510000000005</v>
      </c>
      <c r="H15">
        <v>6.9362820000000003</v>
      </c>
      <c r="I15">
        <v>0.52915000000000001</v>
      </c>
      <c r="J15">
        <v>7.2173910000000001</v>
      </c>
      <c r="K15" s="13">
        <v>5.5489361518252203</v>
      </c>
      <c r="L15" s="13">
        <v>0.40615376344681398</v>
      </c>
      <c r="M15">
        <v>0.27202697693296696</v>
      </c>
      <c r="N15">
        <v>4.69781494140625</v>
      </c>
      <c r="O15" s="13">
        <v>0.34369776764759602</v>
      </c>
      <c r="P15" t="s">
        <v>95</v>
      </c>
    </row>
    <row r="16" spans="1:16" x14ac:dyDescent="0.6">
      <c r="A16">
        <v>5</v>
      </c>
      <c r="B16" t="s">
        <v>108</v>
      </c>
      <c r="C16" t="s">
        <v>93</v>
      </c>
      <c r="D16" t="str">
        <f>"3."&amp;C16</f>
        <v>3.Macro + Sentiment</v>
      </c>
      <c r="E16">
        <v>1</v>
      </c>
      <c r="F16" t="s">
        <v>166</v>
      </c>
      <c r="G16">
        <v>8.7276670000000003</v>
      </c>
      <c r="H16">
        <v>6.9826040000000003</v>
      </c>
      <c r="I16">
        <v>0.53261700000000001</v>
      </c>
      <c r="J16">
        <v>7.3812639999999998</v>
      </c>
      <c r="K16" s="13">
        <v>5.5637089977525598</v>
      </c>
      <c r="L16" s="13">
        <v>0.40512325639341601</v>
      </c>
      <c r="M16">
        <v>0.28222178417118104</v>
      </c>
      <c r="N16">
        <v>4.3341064453125</v>
      </c>
      <c r="O16" s="13">
        <v>0.31378042266703698</v>
      </c>
      <c r="P16" t="s">
        <v>128</v>
      </c>
    </row>
    <row r="17" spans="1:16" x14ac:dyDescent="0.6">
      <c r="A17">
        <v>5</v>
      </c>
      <c r="B17" t="s">
        <v>108</v>
      </c>
      <c r="C17" t="s">
        <v>96</v>
      </c>
      <c r="D17" t="str">
        <f>"4."&amp;C17</f>
        <v>4.ALL</v>
      </c>
      <c r="E17">
        <v>1</v>
      </c>
      <c r="F17" t="s">
        <v>139</v>
      </c>
      <c r="G17">
        <v>8.6918469999999992</v>
      </c>
      <c r="H17">
        <v>6.9637180000000001</v>
      </c>
      <c r="I17">
        <v>0.53137299999999998</v>
      </c>
      <c r="J17">
        <v>7.2023380000000001</v>
      </c>
      <c r="K17" s="13">
        <v>5.3343183729383599</v>
      </c>
      <c r="L17" s="13">
        <v>0.390580985948002</v>
      </c>
      <c r="M17">
        <v>0.25781232054696102</v>
      </c>
      <c r="N17">
        <v>4.38385009765625</v>
      </c>
      <c r="O17">
        <v>0.31687311333132101</v>
      </c>
      <c r="P17" t="s">
        <v>95</v>
      </c>
    </row>
    <row r="18" spans="1:16" x14ac:dyDescent="0.6">
      <c r="A18">
        <v>10</v>
      </c>
      <c r="B18" t="s">
        <v>7</v>
      </c>
      <c r="C18" t="s">
        <v>8</v>
      </c>
      <c r="D18" t="str">
        <f>"1."&amp;C18</f>
        <v>1.Macro Only</v>
      </c>
      <c r="E18">
        <v>1</v>
      </c>
      <c r="F18" t="s">
        <v>148</v>
      </c>
      <c r="G18" s="13">
        <v>8.7002373541890794</v>
      </c>
      <c r="H18">
        <v>6.9711880460943396</v>
      </c>
      <c r="I18" s="13">
        <v>0.53148353868904796</v>
      </c>
      <c r="J18" s="13">
        <v>7.2635887135389696</v>
      </c>
      <c r="K18" s="13">
        <v>5.7743017023259897</v>
      </c>
      <c r="L18">
        <v>0.421312826030042</v>
      </c>
      <c r="M18">
        <v>0.30341223214458801</v>
      </c>
      <c r="N18">
        <v>4.69329833984375</v>
      </c>
      <c r="O18" s="13">
        <v>0.342182534395848</v>
      </c>
      <c r="P18" t="s">
        <v>152</v>
      </c>
    </row>
    <row r="19" spans="1:16" x14ac:dyDescent="0.6">
      <c r="A19">
        <v>10</v>
      </c>
      <c r="B19" t="s">
        <v>7</v>
      </c>
      <c r="C19" t="s">
        <v>9</v>
      </c>
      <c r="D19" t="str">
        <f>"2."&amp;C19</f>
        <v>2.Macro + Event</v>
      </c>
      <c r="E19">
        <v>1</v>
      </c>
      <c r="F19" t="s">
        <v>133</v>
      </c>
      <c r="G19" s="13">
        <v>8.6998498845051593</v>
      </c>
      <c r="H19" s="13">
        <v>6.9260883129919604</v>
      </c>
      <c r="I19" s="13">
        <v>0.528211974005666</v>
      </c>
      <c r="J19" s="13">
        <v>7.1650203889964903</v>
      </c>
      <c r="K19">
        <v>5.4943720000000003</v>
      </c>
      <c r="L19">
        <v>0.402252</v>
      </c>
      <c r="M19">
        <v>0.2742</v>
      </c>
      <c r="N19">
        <v>4.7616579999999997</v>
      </c>
      <c r="O19">
        <v>0.35395199999999999</v>
      </c>
      <c r="P19" t="s">
        <v>95</v>
      </c>
    </row>
    <row r="20" spans="1:16" x14ac:dyDescent="0.6">
      <c r="A20">
        <v>10</v>
      </c>
      <c r="B20" t="s">
        <v>7</v>
      </c>
      <c r="C20" t="s">
        <v>93</v>
      </c>
      <c r="D20" t="str">
        <f>"3."&amp;C20</f>
        <v>3.Macro + Sentiment</v>
      </c>
      <c r="E20">
        <v>1</v>
      </c>
      <c r="F20" t="s">
        <v>125</v>
      </c>
      <c r="G20" s="13">
        <v>8.7510526967028408</v>
      </c>
      <c r="H20">
        <v>7.0463331633923101</v>
      </c>
      <c r="I20" s="13">
        <v>0.53728140356800802</v>
      </c>
      <c r="J20">
        <v>7.12726758717778</v>
      </c>
      <c r="K20">
        <v>5.5767559999999996</v>
      </c>
      <c r="L20">
        <v>0.40916400000000003</v>
      </c>
      <c r="M20">
        <v>0.28720000000000001</v>
      </c>
      <c r="N20">
        <v>4.4080810000000001</v>
      </c>
      <c r="O20">
        <v>0.32418999999999998</v>
      </c>
      <c r="P20" t="s">
        <v>95</v>
      </c>
    </row>
    <row r="21" spans="1:16" x14ac:dyDescent="0.6">
      <c r="A21">
        <v>10</v>
      </c>
      <c r="B21" t="s">
        <v>7</v>
      </c>
      <c r="C21" t="s">
        <v>96</v>
      </c>
      <c r="D21" t="str">
        <f>"4."&amp;C21</f>
        <v>4.ALL</v>
      </c>
      <c r="E21">
        <v>1</v>
      </c>
      <c r="F21" t="s">
        <v>153</v>
      </c>
      <c r="G21" s="13">
        <v>8.7763590978722608</v>
      </c>
      <c r="H21">
        <v>7.0493457961046504</v>
      </c>
      <c r="I21" s="13">
        <v>0.53751972651799895</v>
      </c>
      <c r="J21">
        <v>7.2876127684860004</v>
      </c>
      <c r="K21">
        <v>5.434768</v>
      </c>
      <c r="L21">
        <v>0.39750799999999997</v>
      </c>
      <c r="M21">
        <v>0.26189999999999997</v>
      </c>
      <c r="N21">
        <v>4.5741579999999997</v>
      </c>
      <c r="O21">
        <v>0.33750200000000002</v>
      </c>
      <c r="P21" t="s">
        <v>95</v>
      </c>
    </row>
    <row r="22" spans="1:16" x14ac:dyDescent="0.6">
      <c r="A22">
        <v>10</v>
      </c>
      <c r="B22" t="s">
        <v>10</v>
      </c>
      <c r="C22" t="s">
        <v>8</v>
      </c>
      <c r="D22" t="str">
        <f>"1."&amp;C22</f>
        <v>1.Macro Only</v>
      </c>
      <c r="E22">
        <v>1</v>
      </c>
      <c r="F22" t="s">
        <v>136</v>
      </c>
      <c r="G22" s="13">
        <v>8.7049245325305602</v>
      </c>
      <c r="H22" s="13">
        <v>6.9094022632903798</v>
      </c>
      <c r="I22" s="13">
        <v>0.52690443855720204</v>
      </c>
      <c r="J22" s="13">
        <v>7.1804869378807403</v>
      </c>
      <c r="K22">
        <v>5.7498740000000002</v>
      </c>
      <c r="L22">
        <v>0.41781299999999999</v>
      </c>
      <c r="M22">
        <v>0.2999</v>
      </c>
      <c r="N22">
        <v>4.9365839999999999</v>
      </c>
      <c r="O22">
        <v>0.35901300000000003</v>
      </c>
      <c r="P22" t="s">
        <v>128</v>
      </c>
    </row>
    <row r="23" spans="1:16" x14ac:dyDescent="0.6">
      <c r="A23">
        <v>10</v>
      </c>
      <c r="B23" t="s">
        <v>10</v>
      </c>
      <c r="C23" t="s">
        <v>9</v>
      </c>
      <c r="D23" t="str">
        <f>"2."&amp;C23</f>
        <v>2.Macro + Event</v>
      </c>
      <c r="E23">
        <v>1</v>
      </c>
      <c r="F23" t="s">
        <v>180</v>
      </c>
      <c r="G23" s="13">
        <v>8.7932978914653397</v>
      </c>
      <c r="H23">
        <v>6.9862463305259004</v>
      </c>
      <c r="I23" s="13">
        <v>0.53310595664150895</v>
      </c>
      <c r="J23" s="13">
        <v>7.5700876998084103</v>
      </c>
      <c r="K23">
        <v>5.4203900000000003</v>
      </c>
      <c r="L23">
        <v>0.397868</v>
      </c>
      <c r="M23">
        <v>0.27659999999999996</v>
      </c>
      <c r="N23">
        <v>4.642944</v>
      </c>
      <c r="O23">
        <v>0.33465699999999998</v>
      </c>
      <c r="P23" t="s">
        <v>95</v>
      </c>
    </row>
    <row r="24" spans="1:16" x14ac:dyDescent="0.6">
      <c r="A24">
        <v>10</v>
      </c>
      <c r="B24" t="s">
        <v>10</v>
      </c>
      <c r="C24" t="s">
        <v>93</v>
      </c>
      <c r="D24" t="str">
        <f>"3."&amp;C24</f>
        <v>3.Macro + Sentiment</v>
      </c>
      <c r="E24">
        <v>1</v>
      </c>
      <c r="F24" t="s">
        <v>106</v>
      </c>
      <c r="G24" s="13">
        <v>8.8035537469052798</v>
      </c>
      <c r="H24" s="13">
        <v>7.0949205309377303</v>
      </c>
      <c r="I24" s="13">
        <v>0.54150261559254398</v>
      </c>
      <c r="J24" s="13">
        <v>7.0142449105703699</v>
      </c>
      <c r="K24">
        <v>5.5962430000000003</v>
      </c>
      <c r="L24">
        <v>0.40754000000000001</v>
      </c>
      <c r="M24">
        <v>0.28189999999999998</v>
      </c>
      <c r="N24">
        <v>4.4950559999999999</v>
      </c>
      <c r="O24">
        <v>0.33418700000000001</v>
      </c>
      <c r="P24" t="s">
        <v>152</v>
      </c>
    </row>
    <row r="25" spans="1:16" x14ac:dyDescent="0.6">
      <c r="A25">
        <v>10</v>
      </c>
      <c r="B25" t="s">
        <v>10</v>
      </c>
      <c r="C25" t="s">
        <v>96</v>
      </c>
      <c r="D25" t="str">
        <f>"4."&amp;C25</f>
        <v>4.ALL</v>
      </c>
      <c r="E25">
        <v>1</v>
      </c>
      <c r="F25" t="s">
        <v>188</v>
      </c>
      <c r="G25" s="13">
        <v>8.9380137615631607</v>
      </c>
      <c r="H25" s="13">
        <v>7.1640197155522296</v>
      </c>
      <c r="I25" s="13">
        <v>0.54658692543370901</v>
      </c>
      <c r="J25" s="13">
        <v>7.8786325896825096</v>
      </c>
      <c r="K25" s="13">
        <v>5.3779223406756298</v>
      </c>
      <c r="L25" s="13">
        <v>0.39357667406389801</v>
      </c>
      <c r="M25">
        <v>0.26266763540183202</v>
      </c>
      <c r="N25">
        <v>4.82080078125</v>
      </c>
      <c r="O25" s="13">
        <v>0.35856878623634098</v>
      </c>
      <c r="P25" t="s">
        <v>95</v>
      </c>
    </row>
    <row r="26" spans="1:16" x14ac:dyDescent="0.6">
      <c r="A26">
        <v>10</v>
      </c>
      <c r="B26" t="s">
        <v>99</v>
      </c>
      <c r="C26" t="s">
        <v>8</v>
      </c>
      <c r="D26" t="str">
        <f>"1."&amp;C26</f>
        <v>1.Macro Only</v>
      </c>
      <c r="E26">
        <v>1</v>
      </c>
      <c r="F26" t="s">
        <v>123</v>
      </c>
      <c r="G26">
        <v>8.69163</v>
      </c>
      <c r="H26">
        <v>6.9685360000000003</v>
      </c>
      <c r="I26">
        <v>0.53141499999999997</v>
      </c>
      <c r="J26">
        <v>7.1164800000000001</v>
      </c>
      <c r="K26" s="13">
        <v>5.7225223888050403</v>
      </c>
      <c r="L26" s="13">
        <v>0.417181750445344</v>
      </c>
      <c r="M26">
        <v>0.30258052650601697</v>
      </c>
      <c r="N26">
        <v>4.81048583984375</v>
      </c>
      <c r="O26" s="13">
        <v>0.34794145670430998</v>
      </c>
      <c r="P26" t="s">
        <v>152</v>
      </c>
    </row>
    <row r="27" spans="1:16" x14ac:dyDescent="0.6">
      <c r="A27">
        <v>10</v>
      </c>
      <c r="B27" t="s">
        <v>99</v>
      </c>
      <c r="C27" t="s">
        <v>9</v>
      </c>
      <c r="D27" t="str">
        <f>"2."&amp;C27</f>
        <v>2.Macro + Event</v>
      </c>
      <c r="E27">
        <v>1</v>
      </c>
      <c r="F27" t="s">
        <v>117</v>
      </c>
      <c r="G27">
        <v>8.6712380000000007</v>
      </c>
      <c r="H27">
        <v>6.9364549999999996</v>
      </c>
      <c r="I27">
        <v>0.52906200000000003</v>
      </c>
      <c r="J27">
        <v>7.0868869999999999</v>
      </c>
      <c r="K27">
        <v>5.4568960000000004</v>
      </c>
      <c r="L27">
        <v>0.397374</v>
      </c>
      <c r="M27">
        <v>0.27160000000000001</v>
      </c>
      <c r="N27">
        <v>4.4688720000000002</v>
      </c>
      <c r="O27">
        <v>0.32714700000000002</v>
      </c>
      <c r="P27" t="s">
        <v>128</v>
      </c>
    </row>
    <row r="28" spans="1:16" x14ac:dyDescent="0.6">
      <c r="A28">
        <v>10</v>
      </c>
      <c r="B28" t="s">
        <v>99</v>
      </c>
      <c r="C28" t="s">
        <v>93</v>
      </c>
      <c r="D28" t="str">
        <f>"3."&amp;C28</f>
        <v>3.Macro + Sentiment</v>
      </c>
      <c r="E28">
        <v>1</v>
      </c>
      <c r="F28" t="s">
        <v>130</v>
      </c>
      <c r="G28">
        <v>8.7073999999999998</v>
      </c>
      <c r="H28">
        <v>6.9808899999999996</v>
      </c>
      <c r="I28">
        <v>0.53244000000000002</v>
      </c>
      <c r="J28">
        <v>7.1488699999999996</v>
      </c>
      <c r="K28" s="13">
        <v>5.6872961544296103</v>
      </c>
      <c r="L28">
        <v>0.41507311278542303</v>
      </c>
      <c r="M28">
        <v>0.28401633670786602</v>
      </c>
      <c r="N28">
        <v>4.5816650390625</v>
      </c>
      <c r="O28" s="13">
        <v>0.33531632982638598</v>
      </c>
      <c r="P28" t="s">
        <v>101</v>
      </c>
    </row>
    <row r="29" spans="1:16" x14ac:dyDescent="0.6">
      <c r="A29">
        <v>10</v>
      </c>
      <c r="B29" t="s">
        <v>99</v>
      </c>
      <c r="C29" t="s">
        <v>96</v>
      </c>
      <c r="D29" t="str">
        <f>"4."&amp;C29</f>
        <v>4.ALL</v>
      </c>
      <c r="E29">
        <v>1</v>
      </c>
      <c r="F29" t="s">
        <v>115</v>
      </c>
      <c r="G29">
        <v>8.7466059999999999</v>
      </c>
      <c r="H29">
        <v>7.0144960000000003</v>
      </c>
      <c r="I29">
        <v>0.53488500000000005</v>
      </c>
      <c r="J29">
        <v>7.0831780000000002</v>
      </c>
      <c r="K29">
        <v>5.4186059999999996</v>
      </c>
      <c r="L29">
        <v>0.39645900000000001</v>
      </c>
      <c r="M29">
        <v>0.26180000000000003</v>
      </c>
      <c r="N29">
        <v>4.3173830000000004</v>
      </c>
      <c r="O29">
        <v>0.32121499999999997</v>
      </c>
      <c r="P29" t="s">
        <v>95</v>
      </c>
    </row>
    <row r="30" spans="1:16" x14ac:dyDescent="0.6">
      <c r="A30">
        <v>10</v>
      </c>
      <c r="B30" t="s">
        <v>108</v>
      </c>
      <c r="C30" t="s">
        <v>8</v>
      </c>
      <c r="D30" t="str">
        <f>"1."&amp;C30</f>
        <v>1.Macro Only</v>
      </c>
      <c r="E30">
        <v>1</v>
      </c>
      <c r="F30" t="s">
        <v>154</v>
      </c>
      <c r="G30">
        <v>8.6307679999999998</v>
      </c>
      <c r="H30">
        <v>6.9221069999999996</v>
      </c>
      <c r="I30">
        <v>0.527922</v>
      </c>
      <c r="J30">
        <v>7.2915239999999999</v>
      </c>
      <c r="K30" s="13">
        <v>5.7484637173739301</v>
      </c>
      <c r="L30" s="13">
        <v>0.41920186875356302</v>
      </c>
      <c r="M30">
        <v>0.30560981843080198</v>
      </c>
      <c r="N30">
        <v>4.50982666015625</v>
      </c>
      <c r="O30">
        <v>0.32744125759083598</v>
      </c>
      <c r="P30" t="s">
        <v>152</v>
      </c>
    </row>
    <row r="31" spans="1:16" x14ac:dyDescent="0.6">
      <c r="A31">
        <v>10</v>
      </c>
      <c r="B31" t="s">
        <v>108</v>
      </c>
      <c r="C31" t="s">
        <v>9</v>
      </c>
      <c r="D31" t="str">
        <f>"2."&amp;C31</f>
        <v>2.Macro + Event</v>
      </c>
      <c r="E31">
        <v>1</v>
      </c>
      <c r="F31" t="s">
        <v>121</v>
      </c>
      <c r="G31">
        <v>8.6456389999999992</v>
      </c>
      <c r="H31">
        <v>6.8323669999999996</v>
      </c>
      <c r="I31">
        <v>0.52072099999999999</v>
      </c>
      <c r="J31">
        <v>7.1114889999999997</v>
      </c>
      <c r="K31" s="13">
        <v>5.3940382127637898</v>
      </c>
      <c r="L31" s="13">
        <v>0.39588277358062901</v>
      </c>
      <c r="M31">
        <v>0.27593425972084501</v>
      </c>
      <c r="N31">
        <v>4.6175537109375</v>
      </c>
      <c r="O31" s="13">
        <v>0.338844693192139</v>
      </c>
      <c r="P31" t="s">
        <v>95</v>
      </c>
    </row>
    <row r="32" spans="1:16" x14ac:dyDescent="0.6">
      <c r="A32">
        <v>10</v>
      </c>
      <c r="B32" t="s">
        <v>108</v>
      </c>
      <c r="C32" t="s">
        <v>93</v>
      </c>
      <c r="D32" t="str">
        <f>"3."&amp;C32</f>
        <v>3.Macro + Sentiment</v>
      </c>
      <c r="E32">
        <v>1</v>
      </c>
      <c r="F32" t="s">
        <v>119</v>
      </c>
      <c r="G32">
        <v>8.659948</v>
      </c>
      <c r="H32">
        <v>6.9043580000000002</v>
      </c>
      <c r="I32">
        <v>0.52632100000000004</v>
      </c>
      <c r="J32">
        <v>7.0888549999999997</v>
      </c>
      <c r="K32" s="13">
        <v>5.6469062197524797</v>
      </c>
      <c r="L32" s="13">
        <v>0.41345179830305501</v>
      </c>
      <c r="M32">
        <v>0.28487297967471198</v>
      </c>
      <c r="N32">
        <v>4.73565673828125</v>
      </c>
      <c r="O32" s="13">
        <v>0.34955737827894601</v>
      </c>
      <c r="P32" t="s">
        <v>95</v>
      </c>
    </row>
    <row r="33" spans="1:16" x14ac:dyDescent="0.6">
      <c r="A33">
        <v>10</v>
      </c>
      <c r="B33" t="s">
        <v>108</v>
      </c>
      <c r="C33" t="s">
        <v>96</v>
      </c>
      <c r="D33" t="str">
        <f>"4."&amp;C33</f>
        <v>4.ALL</v>
      </c>
      <c r="E33">
        <v>1</v>
      </c>
      <c r="F33" t="s">
        <v>112</v>
      </c>
      <c r="G33">
        <v>8.7135820000000006</v>
      </c>
      <c r="H33">
        <v>7.0103419999999996</v>
      </c>
      <c r="I33">
        <v>0.53457200000000005</v>
      </c>
      <c r="J33">
        <v>7.0696479999999999</v>
      </c>
      <c r="K33" s="13">
        <v>5.3544643365063704</v>
      </c>
      <c r="L33" s="13">
        <v>0.39158716586970299</v>
      </c>
      <c r="M33">
        <v>0.26048837702643801</v>
      </c>
      <c r="N33">
        <v>4.52813720703125</v>
      </c>
      <c r="O33" s="13">
        <v>0.33064387364049003</v>
      </c>
      <c r="P33" t="s">
        <v>101</v>
      </c>
    </row>
    <row r="34" spans="1:16" x14ac:dyDescent="0.6">
      <c r="A34">
        <v>20</v>
      </c>
      <c r="B34" t="s">
        <v>7</v>
      </c>
      <c r="C34" t="s">
        <v>8</v>
      </c>
      <c r="D34" t="str">
        <f>"1."&amp;C34</f>
        <v>1.Macro Only</v>
      </c>
      <c r="E34">
        <v>1</v>
      </c>
      <c r="F34" t="s">
        <v>98</v>
      </c>
      <c r="G34">
        <v>8.7130313918846696</v>
      </c>
      <c r="H34" s="13">
        <v>6.9552887626316204</v>
      </c>
      <c r="I34" s="13">
        <v>0.53077105769889898</v>
      </c>
      <c r="J34" s="13">
        <v>6.9281274884322803</v>
      </c>
      <c r="K34" s="13">
        <v>5.8563513291620497</v>
      </c>
      <c r="L34" s="13">
        <v>0.42847433538913698</v>
      </c>
      <c r="M34">
        <v>0.30700049499795001</v>
      </c>
      <c r="N34">
        <v>4.71337890625</v>
      </c>
      <c r="O34" s="13">
        <v>0.34797289463790698</v>
      </c>
      <c r="P34" t="s">
        <v>95</v>
      </c>
    </row>
    <row r="35" spans="1:16" x14ac:dyDescent="0.6">
      <c r="A35">
        <v>20</v>
      </c>
      <c r="B35" t="s">
        <v>7</v>
      </c>
      <c r="C35" t="s">
        <v>9</v>
      </c>
      <c r="D35" t="str">
        <f>"2."&amp;C35</f>
        <v>2.Macro + Event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>
        <v>5.4543119999999998</v>
      </c>
      <c r="L35">
        <v>0.400171</v>
      </c>
      <c r="M35">
        <v>0.27739999999999998</v>
      </c>
      <c r="N35">
        <v>4.3620609999999997</v>
      </c>
      <c r="O35">
        <v>0.32153599999999999</v>
      </c>
      <c r="P35" t="s">
        <v>95</v>
      </c>
    </row>
    <row r="36" spans="1:16" x14ac:dyDescent="0.6">
      <c r="A36">
        <v>20</v>
      </c>
      <c r="B36" t="s">
        <v>7</v>
      </c>
      <c r="C36" t="s">
        <v>93</v>
      </c>
      <c r="D36" t="str">
        <f>"3."&amp;C36</f>
        <v>3.Macro + Sentiment</v>
      </c>
      <c r="E36">
        <v>1</v>
      </c>
      <c r="F36" t="s">
        <v>94</v>
      </c>
      <c r="G36" s="13">
        <v>8.6783813515881096</v>
      </c>
      <c r="H36" s="13">
        <v>6.9783926571116703</v>
      </c>
      <c r="I36" s="13">
        <v>0.53238123502110701</v>
      </c>
      <c r="J36" s="13">
        <v>6.8881908498624496</v>
      </c>
      <c r="K36">
        <v>5.629149</v>
      </c>
      <c r="L36">
        <v>0.40935500000000002</v>
      </c>
      <c r="M36">
        <v>0.2848</v>
      </c>
      <c r="N36">
        <v>4.5522460000000002</v>
      </c>
      <c r="O36">
        <v>0.33660400000000001</v>
      </c>
      <c r="P36" t="s">
        <v>128</v>
      </c>
    </row>
    <row r="37" spans="1:16" x14ac:dyDescent="0.6">
      <c r="A37">
        <v>20</v>
      </c>
      <c r="B37" t="s">
        <v>7</v>
      </c>
      <c r="C37" t="s">
        <v>96</v>
      </c>
      <c r="D37" t="str">
        <f>"4."&amp;C37</f>
        <v>4.ALL</v>
      </c>
      <c r="E37">
        <v>1</v>
      </c>
      <c r="F37" t="s">
        <v>97</v>
      </c>
      <c r="G37" s="13">
        <v>8.7098256545445594</v>
      </c>
      <c r="H37" s="13">
        <v>7.0671367011106803</v>
      </c>
      <c r="I37" s="13">
        <v>0.53908413282116197</v>
      </c>
      <c r="J37" s="13">
        <v>6.9015758180726801</v>
      </c>
      <c r="K37" s="13">
        <v>5.3826164313122202</v>
      </c>
      <c r="L37" s="13">
        <v>0.394732501653973</v>
      </c>
      <c r="M37">
        <v>0.26525875391023002</v>
      </c>
      <c r="N37">
        <v>4.49322509765625</v>
      </c>
      <c r="O37" s="13">
        <v>0.33505722785023201</v>
      </c>
      <c r="P37" t="s">
        <v>95</v>
      </c>
    </row>
    <row r="38" spans="1:16" x14ac:dyDescent="0.6">
      <c r="A38">
        <v>20</v>
      </c>
      <c r="B38" t="s">
        <v>10</v>
      </c>
      <c r="C38" t="s">
        <v>8</v>
      </c>
      <c r="D38" t="str">
        <f>"1."&amp;C38</f>
        <v>1.Macro Only</v>
      </c>
      <c r="E38">
        <v>1</v>
      </c>
      <c r="F38" t="s">
        <v>145</v>
      </c>
      <c r="G38" s="13">
        <v>8.7757982914965407</v>
      </c>
      <c r="H38" s="13">
        <v>7.0594505251520996</v>
      </c>
      <c r="I38" s="13">
        <v>0.53841825360541395</v>
      </c>
      <c r="J38">
        <v>7.2321264129907004</v>
      </c>
      <c r="K38" s="13">
        <v>5.89081877180673</v>
      </c>
      <c r="L38" s="13">
        <v>0.429472085769944</v>
      </c>
      <c r="M38">
        <v>0.30891904762220601</v>
      </c>
      <c r="N38">
        <v>4.89654541015625</v>
      </c>
      <c r="O38" s="13">
        <v>0.36789645511561497</v>
      </c>
      <c r="P38" t="s">
        <v>101</v>
      </c>
    </row>
    <row r="39" spans="1:16" x14ac:dyDescent="0.6">
      <c r="A39">
        <v>20</v>
      </c>
      <c r="B39" t="s">
        <v>10</v>
      </c>
      <c r="C39" t="s">
        <v>9</v>
      </c>
      <c r="D39" t="str">
        <f>"2."&amp;C39</f>
        <v>2.Macro + Event</v>
      </c>
      <c r="E39">
        <v>1</v>
      </c>
      <c r="F39" t="s">
        <v>105</v>
      </c>
      <c r="G39" s="13">
        <v>8.6669084631691398</v>
      </c>
      <c r="H39" s="13">
        <v>6.9536505306468204</v>
      </c>
      <c r="I39" s="13">
        <v>0.53038521894520296</v>
      </c>
      <c r="J39" s="13">
        <v>6.9988769277651004</v>
      </c>
      <c r="K39" s="13">
        <v>5.4374060166620497</v>
      </c>
      <c r="L39" s="13">
        <v>0.39856606711291298</v>
      </c>
      <c r="M39">
        <v>0.27673687531393298</v>
      </c>
      <c r="N39">
        <v>4.5518798828125</v>
      </c>
      <c r="O39" s="13">
        <v>0.340928896822143</v>
      </c>
      <c r="P39" t="s">
        <v>95</v>
      </c>
    </row>
    <row r="40" spans="1:16" x14ac:dyDescent="0.6">
      <c r="A40">
        <v>20</v>
      </c>
      <c r="B40" t="s">
        <v>10</v>
      </c>
      <c r="C40" t="s">
        <v>93</v>
      </c>
      <c r="D40" t="str">
        <f>"3."&amp;C40</f>
        <v>3.Macro + Sentiment</v>
      </c>
      <c r="E40">
        <v>1</v>
      </c>
      <c r="F40" t="s">
        <v>193</v>
      </c>
      <c r="G40" s="13">
        <v>8.6495056021726295</v>
      </c>
      <c r="H40" s="13">
        <v>6.9748476033320497</v>
      </c>
      <c r="I40" s="13">
        <v>0.53231565016327698</v>
      </c>
      <c r="J40" s="13">
        <v>8.5862845011260003</v>
      </c>
      <c r="K40" s="13">
        <v>5.6326327389233697</v>
      </c>
      <c r="L40" s="13">
        <v>0.40964829381471402</v>
      </c>
      <c r="M40">
        <v>0.28613758622900298</v>
      </c>
      <c r="N40">
        <v>4.36944580078125</v>
      </c>
      <c r="O40" s="13">
        <v>0.31713756380722002</v>
      </c>
      <c r="P40" t="s">
        <v>128</v>
      </c>
    </row>
    <row r="41" spans="1:16" x14ac:dyDescent="0.6">
      <c r="A41">
        <v>20</v>
      </c>
      <c r="B41" t="s">
        <v>10</v>
      </c>
      <c r="C41" t="s">
        <v>96</v>
      </c>
      <c r="D41" t="str">
        <f>"4."&amp;C41</f>
        <v>4.ALL</v>
      </c>
      <c r="E41">
        <v>1</v>
      </c>
      <c r="F41" t="s">
        <v>168</v>
      </c>
      <c r="G41" s="13">
        <v>8.8739346136558197</v>
      </c>
      <c r="H41" s="13">
        <v>7.1076314004180903</v>
      </c>
      <c r="I41" s="13">
        <v>0.54234329760458599</v>
      </c>
      <c r="J41">
        <v>7.4022666783059101</v>
      </c>
      <c r="K41" s="13">
        <v>5.5268981341019403</v>
      </c>
      <c r="L41" s="13">
        <v>0.40375467204619397</v>
      </c>
      <c r="M41">
        <v>0.26607777874826699</v>
      </c>
      <c r="N41">
        <v>4.767333984375</v>
      </c>
      <c r="O41">
        <v>0.34972680165453801</v>
      </c>
      <c r="P41" t="s">
        <v>101</v>
      </c>
    </row>
    <row r="42" spans="1:16" x14ac:dyDescent="0.6">
      <c r="A42">
        <v>20</v>
      </c>
      <c r="B42" t="s">
        <v>99</v>
      </c>
      <c r="C42" t="s">
        <v>8</v>
      </c>
      <c r="D42" t="str">
        <f>"1."&amp;C42</f>
        <v>1.Macro Only</v>
      </c>
      <c r="E42">
        <v>1</v>
      </c>
      <c r="F42" t="s">
        <v>104</v>
      </c>
      <c r="G42">
        <v>8.6380149999999993</v>
      </c>
      <c r="H42">
        <v>6.9175190000000004</v>
      </c>
      <c r="I42">
        <v>0.52787499999999998</v>
      </c>
      <c r="J42">
        <v>6.9952860000000001</v>
      </c>
      <c r="K42" s="13">
        <v>5.7968616224314999</v>
      </c>
      <c r="L42" s="13">
        <v>0.42226395848126103</v>
      </c>
      <c r="M42">
        <v>0.30849102457509403</v>
      </c>
      <c r="N42">
        <v>4.65606689453125</v>
      </c>
      <c r="O42">
        <v>0.34097527650461101</v>
      </c>
      <c r="P42" t="s">
        <v>128</v>
      </c>
    </row>
    <row r="43" spans="1:16" x14ac:dyDescent="0.6">
      <c r="A43">
        <v>20</v>
      </c>
      <c r="B43" t="s">
        <v>99</v>
      </c>
      <c r="C43" t="s">
        <v>9</v>
      </c>
      <c r="D43" t="str">
        <f>"2."&amp;C43</f>
        <v>2.Macro + Event</v>
      </c>
      <c r="E43">
        <v>1</v>
      </c>
      <c r="F43" t="s">
        <v>103</v>
      </c>
      <c r="G43">
        <v>8.6638490000000008</v>
      </c>
      <c r="H43">
        <v>6.9750420000000002</v>
      </c>
      <c r="I43">
        <v>0.53221399999999996</v>
      </c>
      <c r="J43">
        <v>6.9888719999999998</v>
      </c>
      <c r="K43">
        <v>5.4565830000000002</v>
      </c>
      <c r="L43">
        <v>0.40040500000000001</v>
      </c>
      <c r="M43">
        <v>0.2772</v>
      </c>
      <c r="N43">
        <v>4.5373539999999997</v>
      </c>
      <c r="O43">
        <v>0.32225999999999999</v>
      </c>
      <c r="P43" t="s">
        <v>95</v>
      </c>
    </row>
    <row r="44" spans="1:16" x14ac:dyDescent="0.6">
      <c r="A44">
        <v>20</v>
      </c>
      <c r="B44" t="s">
        <v>99</v>
      </c>
      <c r="C44" t="s">
        <v>93</v>
      </c>
      <c r="D44" t="str">
        <f>"3."&amp;C44</f>
        <v>3.Macro + Sentiment</v>
      </c>
      <c r="E44">
        <v>1</v>
      </c>
      <c r="F44" t="s">
        <v>116</v>
      </c>
      <c r="G44">
        <v>8.6972710000000006</v>
      </c>
      <c r="H44">
        <v>6.9969169999999998</v>
      </c>
      <c r="I44">
        <v>0.53404499999999999</v>
      </c>
      <c r="J44">
        <v>7.0836389999999998</v>
      </c>
      <c r="K44" s="13">
        <v>5.6081220618574097</v>
      </c>
      <c r="L44">
        <v>0.411520670803107</v>
      </c>
      <c r="M44">
        <v>0.29046865405218203</v>
      </c>
      <c r="N44">
        <v>4.8148193359375</v>
      </c>
      <c r="O44" s="13">
        <v>0.35828804138801001</v>
      </c>
      <c r="P44" t="s">
        <v>95</v>
      </c>
    </row>
    <row r="45" spans="1:16" x14ac:dyDescent="0.6">
      <c r="A45">
        <v>20</v>
      </c>
      <c r="B45" t="s">
        <v>99</v>
      </c>
      <c r="C45" t="s">
        <v>96</v>
      </c>
      <c r="D45" t="str">
        <f>"4."&amp;C45</f>
        <v>4.ALL</v>
      </c>
      <c r="E45">
        <v>1</v>
      </c>
      <c r="F45" t="s">
        <v>107</v>
      </c>
      <c r="G45">
        <v>8.6882070000000002</v>
      </c>
      <c r="H45">
        <v>6.9651059999999996</v>
      </c>
      <c r="I45">
        <v>0.53150699999999995</v>
      </c>
      <c r="J45">
        <v>7.0427470000000003</v>
      </c>
      <c r="K45">
        <v>5.4657520000000002</v>
      </c>
      <c r="L45">
        <v>0.39968100000000001</v>
      </c>
      <c r="M45">
        <v>0.26519999999999999</v>
      </c>
      <c r="N45">
        <v>4.5834960000000002</v>
      </c>
      <c r="O45">
        <v>0.338308</v>
      </c>
      <c r="P45" t="s">
        <v>95</v>
      </c>
    </row>
    <row r="46" spans="1:16" x14ac:dyDescent="0.6">
      <c r="A46">
        <v>20</v>
      </c>
      <c r="B46" t="s">
        <v>108</v>
      </c>
      <c r="C46" t="s">
        <v>8</v>
      </c>
      <c r="D46" t="str">
        <f>"1."&amp;C46</f>
        <v>1.Macro Only</v>
      </c>
      <c r="E46">
        <v>1</v>
      </c>
      <c r="F46" t="s">
        <v>111</v>
      </c>
      <c r="G46">
        <v>8.6930429999999994</v>
      </c>
      <c r="H46">
        <v>6.9213950000000004</v>
      </c>
      <c r="I46">
        <v>0.52815900000000005</v>
      </c>
      <c r="J46">
        <v>7.0688050000000002</v>
      </c>
      <c r="K46" s="13">
        <v>5.9513658497431496</v>
      </c>
      <c r="L46">
        <v>0.43191930452456301</v>
      </c>
      <c r="M46">
        <v>0.30664734052742898</v>
      </c>
      <c r="N46">
        <v>4.63812255859375</v>
      </c>
      <c r="O46" s="13">
        <v>0.33464390093780699</v>
      </c>
      <c r="P46" t="s">
        <v>128</v>
      </c>
    </row>
    <row r="47" spans="1:16" x14ac:dyDescent="0.6">
      <c r="A47">
        <v>20</v>
      </c>
      <c r="B47" t="s">
        <v>108</v>
      </c>
      <c r="C47" t="s">
        <v>9</v>
      </c>
      <c r="D47" t="str">
        <f>"2."&amp;C47</f>
        <v>2.Macro + Event</v>
      </c>
      <c r="E47">
        <v>1</v>
      </c>
      <c r="F47" t="s">
        <v>143</v>
      </c>
      <c r="G47">
        <v>8.7377050000000001</v>
      </c>
      <c r="H47">
        <v>6.9227350000000003</v>
      </c>
      <c r="I47">
        <v>0.528366</v>
      </c>
      <c r="J47">
        <v>7.224634</v>
      </c>
      <c r="K47" s="13">
        <v>5.4973658808955399</v>
      </c>
      <c r="L47" s="13">
        <v>0.402926704755806</v>
      </c>
      <c r="M47">
        <v>0.27791071598327999</v>
      </c>
      <c r="N47">
        <v>4.43603515625</v>
      </c>
      <c r="O47" s="13">
        <v>0.32673135791585201</v>
      </c>
      <c r="P47" t="s">
        <v>95</v>
      </c>
    </row>
    <row r="48" spans="1:16" x14ac:dyDescent="0.6">
      <c r="A48">
        <v>20</v>
      </c>
      <c r="B48" t="s">
        <v>108</v>
      </c>
      <c r="C48" t="s">
        <v>93</v>
      </c>
      <c r="D48" t="str">
        <f>"3."&amp;C48</f>
        <v>3.Macro + Sentiment</v>
      </c>
      <c r="E48">
        <v>1</v>
      </c>
      <c r="F48" t="s">
        <v>113</v>
      </c>
      <c r="G48">
        <v>8.6534899999999997</v>
      </c>
      <c r="H48">
        <v>7.0178289999999999</v>
      </c>
      <c r="I48">
        <v>0.53542100000000004</v>
      </c>
      <c r="J48">
        <v>7.072762</v>
      </c>
      <c r="K48" s="13">
        <v>5.5375347715435597</v>
      </c>
      <c r="L48" s="13">
        <v>0.40675142695829603</v>
      </c>
      <c r="M48">
        <v>0.29100392754160498</v>
      </c>
      <c r="N48">
        <v>4.356201171875</v>
      </c>
      <c r="O48" s="13">
        <v>0.32653469062791601</v>
      </c>
      <c r="P48" t="s">
        <v>95</v>
      </c>
    </row>
    <row r="49" spans="1:16" x14ac:dyDescent="0.6">
      <c r="A49">
        <v>20</v>
      </c>
      <c r="B49" t="s">
        <v>108</v>
      </c>
      <c r="C49" t="s">
        <v>96</v>
      </c>
      <c r="D49" t="str">
        <f>"4."&amp;C49</f>
        <v>4.ALL</v>
      </c>
      <c r="E49">
        <v>1</v>
      </c>
      <c r="F49" t="s">
        <v>109</v>
      </c>
      <c r="G49">
        <v>8.7090610000000002</v>
      </c>
      <c r="H49">
        <v>7.035984</v>
      </c>
      <c r="I49">
        <v>0.53685899999999998</v>
      </c>
      <c r="J49">
        <v>7.0516189999999996</v>
      </c>
      <c r="K49">
        <v>5.4507180000000002</v>
      </c>
      <c r="L49">
        <v>0.39877899999999999</v>
      </c>
      <c r="M49">
        <v>0.26629999999999998</v>
      </c>
      <c r="N49">
        <v>4.5579219999999996</v>
      </c>
      <c r="O49">
        <v>0.33674999999999999</v>
      </c>
      <c r="P49" t="s">
        <v>95</v>
      </c>
    </row>
    <row r="50" spans="1:16" x14ac:dyDescent="0.6">
      <c r="A50">
        <v>30</v>
      </c>
      <c r="B50" t="s">
        <v>7</v>
      </c>
      <c r="C50" t="s">
        <v>8</v>
      </c>
      <c r="D50" t="str">
        <f>"1."&amp;C50</f>
        <v>1.Macro Only</v>
      </c>
      <c r="E50">
        <v>1</v>
      </c>
      <c r="F50" t="s">
        <v>114</v>
      </c>
      <c r="G50" s="13">
        <v>8.8823086150320698</v>
      </c>
      <c r="H50" s="13">
        <v>7.1348947151254603</v>
      </c>
      <c r="I50" s="13">
        <v>0.54528725498835795</v>
      </c>
      <c r="J50" s="13">
        <v>7.0741044869479301</v>
      </c>
      <c r="K50" s="13">
        <v>5.8700829074807297</v>
      </c>
      <c r="L50" s="13">
        <v>0.42678540174651503</v>
      </c>
      <c r="M50">
        <v>0.30990582236091596</v>
      </c>
      <c r="N50">
        <v>4.2069091796875</v>
      </c>
      <c r="O50" s="13">
        <v>0.30388860369993198</v>
      </c>
      <c r="P50" t="s">
        <v>128</v>
      </c>
    </row>
    <row r="51" spans="1:16" x14ac:dyDescent="0.6">
      <c r="A51">
        <v>30</v>
      </c>
      <c r="B51" t="s">
        <v>7</v>
      </c>
      <c r="C51" t="s">
        <v>9</v>
      </c>
      <c r="D51" t="str">
        <f>"2."&amp;C51</f>
        <v>2.Macro + Event</v>
      </c>
      <c r="E51">
        <v>1</v>
      </c>
      <c r="F51" t="s">
        <v>171</v>
      </c>
      <c r="G51" s="13">
        <v>8.9019591773170497</v>
      </c>
      <c r="H51" s="13">
        <v>7.1205688681895198</v>
      </c>
      <c r="I51" s="13">
        <v>0.54399636865956602</v>
      </c>
      <c r="J51" s="13">
        <v>7.4534726521353596</v>
      </c>
      <c r="K51">
        <v>5.5053179999999999</v>
      </c>
      <c r="L51">
        <v>0.40247699999999997</v>
      </c>
      <c r="M51">
        <v>0.27739999999999998</v>
      </c>
      <c r="N51">
        <v>5.0181269999999998</v>
      </c>
      <c r="O51">
        <v>0.36741200000000002</v>
      </c>
      <c r="P51" t="s">
        <v>101</v>
      </c>
    </row>
    <row r="52" spans="1:16" x14ac:dyDescent="0.6">
      <c r="A52">
        <v>30</v>
      </c>
      <c r="B52" t="s">
        <v>7</v>
      </c>
      <c r="C52" t="s">
        <v>93</v>
      </c>
      <c r="D52" t="str">
        <f>"3."&amp;C52</f>
        <v>3.Macro + Sentiment</v>
      </c>
      <c r="E52">
        <v>1</v>
      </c>
      <c r="F52" t="s">
        <v>102</v>
      </c>
      <c r="G52">
        <v>8.8322457835879398</v>
      </c>
      <c r="H52" s="13">
        <v>7.1152062700815399</v>
      </c>
      <c r="I52">
        <v>0.54368540026102397</v>
      </c>
      <c r="J52" s="13">
        <v>6.9718347171281696</v>
      </c>
      <c r="K52">
        <v>5.657025</v>
      </c>
      <c r="L52">
        <v>0.411939</v>
      </c>
      <c r="M52">
        <v>0.2863</v>
      </c>
      <c r="N52">
        <v>4.9416500000000001</v>
      </c>
      <c r="O52">
        <v>0.35875200000000002</v>
      </c>
      <c r="P52" t="s">
        <v>152</v>
      </c>
    </row>
    <row r="53" spans="1:16" x14ac:dyDescent="0.6">
      <c r="A53">
        <v>30</v>
      </c>
      <c r="B53" t="s">
        <v>7</v>
      </c>
      <c r="C53" t="s">
        <v>96</v>
      </c>
      <c r="D53" t="str">
        <f>"4."&amp;C53</f>
        <v>4.ALL</v>
      </c>
      <c r="E53">
        <v>1</v>
      </c>
      <c r="F53" t="s">
        <v>110</v>
      </c>
      <c r="G53">
        <v>8.9079266362909593</v>
      </c>
      <c r="H53" s="13">
        <v>7.1633787163172098</v>
      </c>
      <c r="I53" s="13">
        <v>0.54742892336382498</v>
      </c>
      <c r="J53" s="13">
        <v>7.0593916444464098</v>
      </c>
      <c r="K53">
        <v>5.412121</v>
      </c>
      <c r="L53">
        <v>0.39660400000000001</v>
      </c>
      <c r="M53">
        <v>0.26900000000000002</v>
      </c>
      <c r="N53">
        <v>4.6882929999999998</v>
      </c>
      <c r="O53">
        <v>0.34257300000000002</v>
      </c>
      <c r="P53" t="s">
        <v>95</v>
      </c>
    </row>
    <row r="54" spans="1:16" x14ac:dyDescent="0.6">
      <c r="A54">
        <v>30</v>
      </c>
      <c r="B54" t="s">
        <v>10</v>
      </c>
      <c r="C54" t="s">
        <v>8</v>
      </c>
      <c r="D54" t="str">
        <f>"1."&amp;C54</f>
        <v>1.Macro Only</v>
      </c>
      <c r="E54">
        <v>1</v>
      </c>
      <c r="F54" t="s">
        <v>147</v>
      </c>
      <c r="G54" s="13">
        <v>8.8739930205350408</v>
      </c>
      <c r="H54" s="13">
        <v>7.1211096376205703</v>
      </c>
      <c r="I54" s="13">
        <v>0.54376340261262601</v>
      </c>
      <c r="J54" s="13">
        <v>7.2593668102643196</v>
      </c>
      <c r="K54">
        <v>5.8081255826083096</v>
      </c>
      <c r="L54" s="13">
        <v>0.42361236748120401</v>
      </c>
      <c r="M54">
        <v>0.31321900543304299</v>
      </c>
      <c r="N54">
        <v>4.75750732421875</v>
      </c>
      <c r="O54" s="13">
        <v>0.349641073896789</v>
      </c>
      <c r="P54" t="s">
        <v>152</v>
      </c>
    </row>
    <row r="55" spans="1:16" x14ac:dyDescent="0.6">
      <c r="A55">
        <v>30</v>
      </c>
      <c r="B55" t="s">
        <v>10</v>
      </c>
      <c r="C55" t="s">
        <v>9</v>
      </c>
      <c r="D55" t="str">
        <f>"2."&amp;C55</f>
        <v>2.Macro + Event</v>
      </c>
      <c r="E55">
        <v>1</v>
      </c>
      <c r="F55" t="s">
        <v>163</v>
      </c>
      <c r="G55" s="13">
        <v>8.9341371463538</v>
      </c>
      <c r="H55" s="13">
        <v>7.18222605430147</v>
      </c>
      <c r="I55" s="13">
        <v>0.54882554776852699</v>
      </c>
      <c r="J55" s="13">
        <v>7.6305046082067403</v>
      </c>
      <c r="K55" s="13">
        <v>5.5506528383725602</v>
      </c>
      <c r="L55" s="13">
        <v>0.40683450336588101</v>
      </c>
      <c r="M55">
        <v>0.27856673564490098</v>
      </c>
      <c r="N55">
        <v>4.5689697265625</v>
      </c>
      <c r="O55" s="13">
        <v>0.340649860177346</v>
      </c>
      <c r="P55" t="s">
        <v>95</v>
      </c>
    </row>
    <row r="56" spans="1:16" x14ac:dyDescent="0.6">
      <c r="A56">
        <v>30</v>
      </c>
      <c r="B56" t="s">
        <v>10</v>
      </c>
      <c r="C56" t="s">
        <v>93</v>
      </c>
      <c r="D56" t="str">
        <f>"3."&amp;C56</f>
        <v>3.Macro + Sentiment</v>
      </c>
      <c r="E56">
        <v>1</v>
      </c>
      <c r="F56" t="s">
        <v>155</v>
      </c>
      <c r="G56">
        <v>8.8962374999247107</v>
      </c>
      <c r="H56" s="13">
        <v>7.1862785268772296</v>
      </c>
      <c r="I56" s="13">
        <v>0.54889679437861105</v>
      </c>
      <c r="J56" s="13">
        <v>7.3052304439284397</v>
      </c>
      <c r="K56" s="13">
        <v>5.6495085415774797</v>
      </c>
      <c r="L56" s="13">
        <v>0.41088423851464601</v>
      </c>
      <c r="M56">
        <v>0.28858870310324397</v>
      </c>
      <c r="N56">
        <v>4.7451171875</v>
      </c>
      <c r="O56" s="13">
        <v>0.34456918415495102</v>
      </c>
      <c r="P56" t="s">
        <v>128</v>
      </c>
    </row>
    <row r="57" spans="1:16" x14ac:dyDescent="0.6">
      <c r="A57">
        <v>30</v>
      </c>
      <c r="B57" t="s">
        <v>10</v>
      </c>
      <c r="C57" t="s">
        <v>96</v>
      </c>
      <c r="D57" t="str">
        <f>"4."&amp;C57</f>
        <v>4.ALL</v>
      </c>
      <c r="E57">
        <v>1</v>
      </c>
      <c r="F57" t="s">
        <v>186</v>
      </c>
      <c r="G57" s="13">
        <v>8.93502389691856</v>
      </c>
      <c r="H57" s="13">
        <v>7.2152602802915</v>
      </c>
      <c r="I57" s="13">
        <v>0.55121006608379697</v>
      </c>
      <c r="J57" s="13">
        <v>7.7712941842448204</v>
      </c>
      <c r="K57" s="13">
        <v>5.39117490898058</v>
      </c>
      <c r="L57" s="13">
        <v>0.39437584931035502</v>
      </c>
      <c r="M57">
        <v>0.26864105538190697</v>
      </c>
      <c r="N57">
        <v>4.47637939453125</v>
      </c>
      <c r="O57" s="13">
        <v>0.31870420142372202</v>
      </c>
      <c r="P57" t="s">
        <v>101</v>
      </c>
    </row>
    <row r="58" spans="1:16" x14ac:dyDescent="0.6">
      <c r="A58">
        <v>30</v>
      </c>
      <c r="B58" t="s">
        <v>99</v>
      </c>
      <c r="C58" t="s">
        <v>8</v>
      </c>
      <c r="D58" t="str">
        <f>"1."&amp;C58</f>
        <v>1.Macro Only</v>
      </c>
      <c r="E58">
        <v>1</v>
      </c>
      <c r="F58" t="s">
        <v>120</v>
      </c>
      <c r="G58">
        <v>8.8445169999999997</v>
      </c>
      <c r="H58">
        <v>7.1684669999999997</v>
      </c>
      <c r="I58">
        <v>0.54779999999999995</v>
      </c>
      <c r="J58">
        <v>7.102481</v>
      </c>
      <c r="K58">
        <v>5.7508946248929798</v>
      </c>
      <c r="L58" s="13">
        <v>0.419060877069794</v>
      </c>
      <c r="M58">
        <v>0.31240044621066199</v>
      </c>
      <c r="N58">
        <v>4.26141357421875</v>
      </c>
      <c r="O58" s="13">
        <v>0.312370312256608</v>
      </c>
      <c r="P58" t="s">
        <v>128</v>
      </c>
    </row>
    <row r="59" spans="1:16" x14ac:dyDescent="0.6">
      <c r="A59">
        <v>30</v>
      </c>
      <c r="B59" t="s">
        <v>99</v>
      </c>
      <c r="C59" t="s">
        <v>9</v>
      </c>
      <c r="D59" t="str">
        <f>"2."&amp;C59</f>
        <v>2.Macro + Event</v>
      </c>
      <c r="E59">
        <v>1</v>
      </c>
      <c r="F59" t="s">
        <v>167</v>
      </c>
      <c r="G59">
        <v>8.8409189999999995</v>
      </c>
      <c r="H59">
        <v>7.1143619999999999</v>
      </c>
      <c r="I59">
        <v>0.54365799999999997</v>
      </c>
      <c r="J59">
        <v>7.3824569999999996</v>
      </c>
      <c r="K59">
        <v>5.4625450000000004</v>
      </c>
      <c r="L59">
        <v>0.39982099999999998</v>
      </c>
      <c r="M59">
        <v>0.27810000000000001</v>
      </c>
      <c r="N59">
        <v>4.546265</v>
      </c>
      <c r="O59">
        <v>0.327484</v>
      </c>
      <c r="P59" t="s">
        <v>101</v>
      </c>
    </row>
    <row r="60" spans="1:16" x14ac:dyDescent="0.6">
      <c r="A60">
        <v>30</v>
      </c>
      <c r="B60" t="s">
        <v>99</v>
      </c>
      <c r="C60" t="s">
        <v>93</v>
      </c>
      <c r="D60" t="str">
        <f>"3."&amp;C60</f>
        <v>3.Macro + Sentiment</v>
      </c>
      <c r="E60">
        <v>1</v>
      </c>
      <c r="F60" t="s">
        <v>118</v>
      </c>
      <c r="G60">
        <v>8.8698530000000009</v>
      </c>
      <c r="H60">
        <v>7.1660959999999996</v>
      </c>
      <c r="I60">
        <v>0.54752800000000001</v>
      </c>
      <c r="J60">
        <v>7.0879009999999996</v>
      </c>
      <c r="K60">
        <v>5.6173570000000002</v>
      </c>
      <c r="L60">
        <v>0.40954499999999999</v>
      </c>
      <c r="M60">
        <v>0.28809999999999997</v>
      </c>
      <c r="N60">
        <v>4.5057980000000004</v>
      </c>
      <c r="O60">
        <v>0.330175</v>
      </c>
      <c r="P60" t="s">
        <v>152</v>
      </c>
    </row>
    <row r="61" spans="1:16" x14ac:dyDescent="0.6">
      <c r="A61">
        <v>30</v>
      </c>
      <c r="B61" t="s">
        <v>99</v>
      </c>
      <c r="C61" t="s">
        <v>96</v>
      </c>
      <c r="D61" t="str">
        <f>"4."&amp;C61</f>
        <v>4.ALL</v>
      </c>
      <c r="E61">
        <v>1</v>
      </c>
      <c r="F61" t="s">
        <v>100</v>
      </c>
      <c r="G61">
        <v>8.9151129999999998</v>
      </c>
      <c r="H61">
        <v>7.1801870000000001</v>
      </c>
      <c r="I61">
        <v>0.54869800000000002</v>
      </c>
      <c r="J61">
        <v>6.9670030000000001</v>
      </c>
      <c r="K61">
        <v>5.4607749999999999</v>
      </c>
      <c r="L61">
        <v>0.39980300000000002</v>
      </c>
      <c r="M61">
        <v>0.26840000000000003</v>
      </c>
      <c r="N61">
        <v>4.8067019999999996</v>
      </c>
      <c r="O61">
        <v>0.34881099999999998</v>
      </c>
      <c r="P61" t="s">
        <v>95</v>
      </c>
    </row>
    <row r="62" spans="1:16" x14ac:dyDescent="0.6">
      <c r="A62">
        <v>30</v>
      </c>
      <c r="B62" t="s">
        <v>108</v>
      </c>
      <c r="C62" t="s">
        <v>8</v>
      </c>
      <c r="D62" t="str">
        <f>"1."&amp;C62</f>
        <v>1.Macro Only</v>
      </c>
      <c r="E62">
        <v>1</v>
      </c>
      <c r="F62" t="s">
        <v>149</v>
      </c>
      <c r="G62">
        <v>8.8176419999999993</v>
      </c>
      <c r="H62">
        <v>7.1333419999999998</v>
      </c>
      <c r="I62">
        <v>0.54507499999999998</v>
      </c>
      <c r="J62">
        <v>7.2696249999999996</v>
      </c>
      <c r="K62">
        <v>6.1267018734830101</v>
      </c>
      <c r="L62" s="13">
        <v>0.44711377205408898</v>
      </c>
      <c r="M62">
        <v>0.32168777640263996</v>
      </c>
      <c r="N62">
        <v>5.2047119140625</v>
      </c>
      <c r="O62">
        <v>0.37442910115878097</v>
      </c>
      <c r="P62" t="s">
        <v>101</v>
      </c>
    </row>
    <row r="63" spans="1:16" x14ac:dyDescent="0.6">
      <c r="A63">
        <v>30</v>
      </c>
      <c r="B63" t="s">
        <v>108</v>
      </c>
      <c r="C63" t="s">
        <v>9</v>
      </c>
      <c r="D63" t="str">
        <f>"2."&amp;C63</f>
        <v>2.Macro + Event</v>
      </c>
      <c r="E63">
        <v>1</v>
      </c>
      <c r="F63" t="s">
        <v>138</v>
      </c>
      <c r="G63">
        <v>8.9601459999999999</v>
      </c>
      <c r="H63">
        <v>7.140936</v>
      </c>
      <c r="I63">
        <v>0.545902</v>
      </c>
      <c r="J63">
        <v>7.1938149999999998</v>
      </c>
      <c r="K63" s="13">
        <v>5.4466844406802997</v>
      </c>
      <c r="L63" s="13">
        <v>0.39956306720509099</v>
      </c>
      <c r="M63">
        <v>0.27834729912177703</v>
      </c>
      <c r="N63">
        <v>4.5809326171875</v>
      </c>
      <c r="O63" s="13">
        <v>0.33484432489892202</v>
      </c>
      <c r="P63" t="s">
        <v>95</v>
      </c>
    </row>
    <row r="64" spans="1:16" x14ac:dyDescent="0.6">
      <c r="A64">
        <v>30</v>
      </c>
      <c r="B64" t="s">
        <v>108</v>
      </c>
      <c r="C64" t="s">
        <v>93</v>
      </c>
      <c r="D64" t="str">
        <f>"3."&amp;C64</f>
        <v>3.Macro + Sentiment</v>
      </c>
      <c r="E64">
        <v>1</v>
      </c>
      <c r="F64" t="s">
        <v>137</v>
      </c>
      <c r="G64">
        <v>8.9580760000000001</v>
      </c>
      <c r="H64">
        <v>7.1996510000000002</v>
      </c>
      <c r="I64">
        <v>0.55013800000000002</v>
      </c>
      <c r="J64">
        <v>7.1920529999999996</v>
      </c>
      <c r="K64">
        <v>5.7279540000000004</v>
      </c>
      <c r="L64">
        <v>0.41683500000000001</v>
      </c>
      <c r="M64">
        <v>0.28709999999999997</v>
      </c>
      <c r="N64">
        <v>4.6701050000000004</v>
      </c>
      <c r="O64">
        <v>0.34315699999999999</v>
      </c>
      <c r="P64" t="s">
        <v>152</v>
      </c>
    </row>
    <row r="65" spans="1:16" x14ac:dyDescent="0.6">
      <c r="A65">
        <v>30</v>
      </c>
      <c r="B65" t="s">
        <v>108</v>
      </c>
      <c r="C65" t="s">
        <v>96</v>
      </c>
      <c r="D65" t="str">
        <f>"4."&amp;C65</f>
        <v>4.ALL</v>
      </c>
      <c r="E65">
        <v>1</v>
      </c>
      <c r="F65" t="s">
        <v>124</v>
      </c>
      <c r="G65">
        <v>8.8981779999999997</v>
      </c>
      <c r="H65">
        <v>7.1759000000000004</v>
      </c>
      <c r="I65">
        <v>0.54813199999999995</v>
      </c>
      <c r="J65">
        <v>7.11876</v>
      </c>
      <c r="K65">
        <v>5.4878910000000003</v>
      </c>
      <c r="L65">
        <v>0.401694</v>
      </c>
      <c r="M65">
        <v>0.26840000000000003</v>
      </c>
      <c r="N65">
        <v>4.5192259999999997</v>
      </c>
      <c r="O65">
        <v>0.33579300000000001</v>
      </c>
      <c r="P65" t="s">
        <v>95</v>
      </c>
    </row>
    <row r="66" spans="1:16" x14ac:dyDescent="0.6">
      <c r="A66">
        <v>60</v>
      </c>
      <c r="B66" t="s">
        <v>7</v>
      </c>
      <c r="C66" t="s">
        <v>8</v>
      </c>
      <c r="D66" t="str">
        <f>"1."&amp;C66</f>
        <v>1.Macro Only</v>
      </c>
      <c r="E66">
        <v>1</v>
      </c>
      <c r="F66" t="s">
        <v>185</v>
      </c>
      <c r="G66" s="13">
        <v>8.4227743809161897</v>
      </c>
      <c r="H66" s="13">
        <v>6.7781490284007901</v>
      </c>
      <c r="I66" s="13">
        <v>0.52416896339033703</v>
      </c>
      <c r="J66" s="13">
        <v>7.64761302942697</v>
      </c>
      <c r="K66" s="13">
        <v>6.2645000110972999</v>
      </c>
      <c r="L66" s="13">
        <v>0.455952470003331</v>
      </c>
      <c r="M66">
        <v>0.33479018714641401</v>
      </c>
      <c r="N66">
        <v>5.20068359375</v>
      </c>
      <c r="O66" s="13">
        <v>0.37611949842550002</v>
      </c>
      <c r="P66" t="s">
        <v>152</v>
      </c>
    </row>
    <row r="67" spans="1:16" x14ac:dyDescent="0.6">
      <c r="A67">
        <v>60</v>
      </c>
      <c r="B67" t="s">
        <v>7</v>
      </c>
      <c r="C67" t="s">
        <v>9</v>
      </c>
      <c r="D67" t="str">
        <f>"2."&amp;C67</f>
        <v>2.Macro + Event</v>
      </c>
      <c r="E67">
        <v>1</v>
      </c>
      <c r="F67" t="s">
        <v>176</v>
      </c>
      <c r="G67" s="13">
        <v>8.4546367438248797</v>
      </c>
      <c r="H67" s="13">
        <v>6.7967955201536698</v>
      </c>
      <c r="I67" s="13">
        <v>0.52560094765660204</v>
      </c>
      <c r="J67" s="13">
        <v>7.5197311902796899</v>
      </c>
      <c r="K67">
        <v>5.4710340000000004</v>
      </c>
      <c r="L67">
        <v>0.40113599999999999</v>
      </c>
      <c r="M67">
        <v>0.28079999999999999</v>
      </c>
      <c r="N67">
        <v>4.3646240000000001</v>
      </c>
      <c r="O67">
        <v>0.32753700000000002</v>
      </c>
      <c r="P67" t="s">
        <v>95</v>
      </c>
    </row>
    <row r="68" spans="1:16" x14ac:dyDescent="0.6">
      <c r="A68">
        <v>60</v>
      </c>
      <c r="B68" t="s">
        <v>7</v>
      </c>
      <c r="C68" t="s">
        <v>93</v>
      </c>
      <c r="D68" t="str">
        <f>"3."&amp;C68</f>
        <v>3.Macro + Sentiment</v>
      </c>
      <c r="E68">
        <v>1</v>
      </c>
      <c r="F68" t="s">
        <v>178</v>
      </c>
      <c r="G68" s="13">
        <v>8.4624834686603005</v>
      </c>
      <c r="H68" s="13">
        <v>6.8987900450989397</v>
      </c>
      <c r="I68" s="13">
        <v>0.53339425898286497</v>
      </c>
      <c r="J68" s="13">
        <v>7.5239068287530602</v>
      </c>
      <c r="K68">
        <v>5.6595329999999997</v>
      </c>
      <c r="L68">
        <v>0.414576</v>
      </c>
      <c r="M68">
        <v>0.29289999999999999</v>
      </c>
      <c r="N68">
        <v>4.6522220000000001</v>
      </c>
      <c r="O68">
        <v>0.335337</v>
      </c>
      <c r="P68" t="s">
        <v>95</v>
      </c>
    </row>
    <row r="69" spans="1:16" x14ac:dyDescent="0.6">
      <c r="A69">
        <v>60</v>
      </c>
      <c r="B69" t="s">
        <v>7</v>
      </c>
      <c r="C69" t="s">
        <v>96</v>
      </c>
      <c r="D69" t="str">
        <f>"4."&amp;C69</f>
        <v>4.ALL</v>
      </c>
      <c r="E69">
        <v>1</v>
      </c>
      <c r="F69" t="s">
        <v>189</v>
      </c>
      <c r="G69" s="13">
        <v>8.55463022385503</v>
      </c>
      <c r="H69" s="13">
        <v>6.8661991999699499</v>
      </c>
      <c r="I69" s="13">
        <v>0.53076900355323298</v>
      </c>
      <c r="J69" s="13">
        <v>7.9337629726784096</v>
      </c>
      <c r="K69">
        <v>5.4787720000000002</v>
      </c>
      <c r="L69">
        <v>0.400393</v>
      </c>
      <c r="M69">
        <v>0.26869999999999999</v>
      </c>
      <c r="N69">
        <v>4.5903320000000001</v>
      </c>
      <c r="O69">
        <v>0.33632800000000002</v>
      </c>
      <c r="P69" t="s">
        <v>101</v>
      </c>
    </row>
    <row r="70" spans="1:16" x14ac:dyDescent="0.6">
      <c r="A70">
        <v>60</v>
      </c>
      <c r="B70" t="s">
        <v>10</v>
      </c>
      <c r="C70" t="s">
        <v>8</v>
      </c>
      <c r="D70" t="str">
        <f>"1."&amp;C70</f>
        <v>1.Macro Only</v>
      </c>
      <c r="E70">
        <v>1</v>
      </c>
      <c r="F70" t="s">
        <v>175</v>
      </c>
      <c r="G70" s="13">
        <v>8.4122978795674204</v>
      </c>
      <c r="H70" s="13">
        <v>6.7384807880108104</v>
      </c>
      <c r="I70" s="13">
        <v>0.52093204641101198</v>
      </c>
      <c r="J70" s="13">
        <v>7.4964709123166404</v>
      </c>
      <c r="K70">
        <v>6.2034996660240802</v>
      </c>
      <c r="L70" s="13">
        <v>0.45389565388400499</v>
      </c>
      <c r="M70">
        <v>0.33435530630523297</v>
      </c>
      <c r="N70">
        <v>4.714599609375</v>
      </c>
      <c r="O70" s="13">
        <v>0.34957932121485502</v>
      </c>
      <c r="P70" t="s">
        <v>95</v>
      </c>
    </row>
    <row r="71" spans="1:16" x14ac:dyDescent="0.6">
      <c r="A71">
        <v>60</v>
      </c>
      <c r="B71" t="s">
        <v>10</v>
      </c>
      <c r="C71" t="s">
        <v>9</v>
      </c>
      <c r="D71" t="str">
        <f>"2."&amp;C71</f>
        <v>2.Macro + Event</v>
      </c>
      <c r="E71">
        <v>1</v>
      </c>
      <c r="F71" t="s">
        <v>179</v>
      </c>
      <c r="G71" s="13">
        <v>8.2972098186660403</v>
      </c>
      <c r="H71" s="13">
        <v>6.7172210190322303</v>
      </c>
      <c r="I71" s="13">
        <v>0.51941760302013795</v>
      </c>
      <c r="J71" s="13">
        <v>7.5538931316901596</v>
      </c>
      <c r="K71">
        <v>5.5475659999999998</v>
      </c>
      <c r="L71">
        <v>0.40374199999999999</v>
      </c>
      <c r="M71">
        <v>0.27789999999999998</v>
      </c>
      <c r="N71">
        <v>4.4656370000000001</v>
      </c>
      <c r="O71">
        <v>0.32366</v>
      </c>
      <c r="P71" t="s">
        <v>128</v>
      </c>
    </row>
    <row r="72" spans="1:16" x14ac:dyDescent="0.6">
      <c r="A72">
        <v>60</v>
      </c>
      <c r="B72" t="s">
        <v>10</v>
      </c>
      <c r="C72" t="s">
        <v>93</v>
      </c>
      <c r="D72" t="str">
        <f>"3."&amp;C72</f>
        <v>3.Macro + Sentiment</v>
      </c>
      <c r="E72">
        <v>1</v>
      </c>
      <c r="F72" t="s">
        <v>191</v>
      </c>
      <c r="G72" s="13">
        <v>8.4964795513762503</v>
      </c>
      <c r="H72" s="13">
        <v>6.8499881618625498</v>
      </c>
      <c r="I72" s="13">
        <v>0.52963375338303997</v>
      </c>
      <c r="J72" s="13">
        <v>7.9697804515775603</v>
      </c>
      <c r="K72">
        <v>5.7939259999999999</v>
      </c>
      <c r="L72">
        <v>0.42299999999999999</v>
      </c>
      <c r="M72">
        <v>0.2903</v>
      </c>
      <c r="N72">
        <v>4.7860719999999999</v>
      </c>
      <c r="O72">
        <v>0.34620400000000001</v>
      </c>
      <c r="P72" t="s">
        <v>101</v>
      </c>
    </row>
    <row r="73" spans="1:16" x14ac:dyDescent="0.6">
      <c r="A73">
        <v>60</v>
      </c>
      <c r="B73" t="s">
        <v>10</v>
      </c>
      <c r="C73" t="s">
        <v>96</v>
      </c>
      <c r="D73" t="str">
        <f>"4."&amp;C73</f>
        <v>4.ALL</v>
      </c>
      <c r="E73">
        <v>1</v>
      </c>
      <c r="F73" t="s">
        <v>173</v>
      </c>
      <c r="G73" s="13">
        <v>8.5689327389553895</v>
      </c>
      <c r="H73">
        <v>6.8815357082492703</v>
      </c>
      <c r="I73">
        <v>0.53180865677393996</v>
      </c>
      <c r="J73" s="13">
        <v>7.4635255430508503</v>
      </c>
      <c r="K73">
        <v>5.4353389999999999</v>
      </c>
      <c r="L73">
        <v>0.398316</v>
      </c>
      <c r="M73">
        <v>0.2702</v>
      </c>
      <c r="N73">
        <v>4.7739260000000003</v>
      </c>
      <c r="O73">
        <v>0.35355300000000001</v>
      </c>
      <c r="P73" t="s">
        <v>95</v>
      </c>
    </row>
    <row r="74" spans="1:16" x14ac:dyDescent="0.6">
      <c r="A74">
        <v>60</v>
      </c>
      <c r="B74" t="s">
        <v>99</v>
      </c>
      <c r="C74" t="s">
        <v>8</v>
      </c>
      <c r="D74" t="str">
        <f>"1."&amp;C74</f>
        <v>1.Macro Only</v>
      </c>
      <c r="E74">
        <v>1</v>
      </c>
      <c r="F74" t="s">
        <v>151</v>
      </c>
      <c r="G74">
        <v>8.4138420000000007</v>
      </c>
      <c r="H74">
        <v>6.8743990000000004</v>
      </c>
      <c r="I74">
        <v>0.53144800000000003</v>
      </c>
      <c r="J74">
        <v>7.2754630000000002</v>
      </c>
      <c r="K74">
        <v>5.987158</v>
      </c>
      <c r="L74">
        <v>0.43723400000000001</v>
      </c>
      <c r="M74">
        <v>0.33429999999999999</v>
      </c>
      <c r="N74">
        <v>4.4137570000000004</v>
      </c>
      <c r="O74">
        <v>0.31723600000000002</v>
      </c>
      <c r="P74" t="s">
        <v>128</v>
      </c>
    </row>
    <row r="75" spans="1:16" x14ac:dyDescent="0.6">
      <c r="A75">
        <v>60</v>
      </c>
      <c r="B75" t="s">
        <v>99</v>
      </c>
      <c r="C75" t="s">
        <v>9</v>
      </c>
      <c r="D75" t="str">
        <f>"2."&amp;C75</f>
        <v>2.Macro + Event</v>
      </c>
      <c r="E75">
        <v>1</v>
      </c>
      <c r="F75" t="s">
        <v>161</v>
      </c>
      <c r="G75">
        <v>8.4649870000000007</v>
      </c>
      <c r="H75">
        <v>6.9158369999999998</v>
      </c>
      <c r="I75">
        <v>0.53463700000000003</v>
      </c>
      <c r="J75">
        <v>7.3410529999999996</v>
      </c>
      <c r="K75">
        <v>5.4656419999999999</v>
      </c>
      <c r="L75">
        <v>0.40090300000000001</v>
      </c>
      <c r="M75">
        <v>0.27989999999999998</v>
      </c>
      <c r="N75">
        <v>4.653931</v>
      </c>
      <c r="O75">
        <v>0.34745199999999998</v>
      </c>
      <c r="P75" t="s">
        <v>95</v>
      </c>
    </row>
    <row r="76" spans="1:16" x14ac:dyDescent="0.6">
      <c r="A76">
        <v>60</v>
      </c>
      <c r="B76" t="s">
        <v>99</v>
      </c>
      <c r="C76" t="s">
        <v>93</v>
      </c>
      <c r="D76" t="str">
        <f>"3."&amp;C76</f>
        <v>3.Macro + Sentiment</v>
      </c>
      <c r="E76">
        <v>1</v>
      </c>
      <c r="F76" t="s">
        <v>160</v>
      </c>
      <c r="G76">
        <v>8.4562080000000002</v>
      </c>
      <c r="H76">
        <v>6.8272550000000001</v>
      </c>
      <c r="I76">
        <v>0.52789200000000003</v>
      </c>
      <c r="J76">
        <v>7.3331540000000004</v>
      </c>
      <c r="K76">
        <v>5.6419259999999998</v>
      </c>
      <c r="L76">
        <v>0.41033900000000001</v>
      </c>
      <c r="M76">
        <v>0.28849999999999998</v>
      </c>
      <c r="N76">
        <v>4.6347659999999999</v>
      </c>
      <c r="O76">
        <v>0.33742</v>
      </c>
      <c r="P76" t="s">
        <v>128</v>
      </c>
    </row>
    <row r="77" spans="1:16" x14ac:dyDescent="0.6">
      <c r="A77">
        <v>60</v>
      </c>
      <c r="B77" t="s">
        <v>99</v>
      </c>
      <c r="C77" t="s">
        <v>96</v>
      </c>
      <c r="D77" t="str">
        <f>"4."&amp;C77</f>
        <v>4.ALL</v>
      </c>
      <c r="E77">
        <v>1</v>
      </c>
      <c r="F77" t="s">
        <v>162</v>
      </c>
      <c r="G77">
        <v>8.4616469999999993</v>
      </c>
      <c r="H77">
        <v>6.8616859999999997</v>
      </c>
      <c r="I77">
        <v>0.53054699999999999</v>
      </c>
      <c r="J77">
        <v>7.3495939999999997</v>
      </c>
      <c r="K77">
        <v>5.4448350000000003</v>
      </c>
      <c r="L77">
        <v>0.39889000000000002</v>
      </c>
      <c r="M77">
        <v>0.2697</v>
      </c>
      <c r="N77">
        <v>4.5971070000000003</v>
      </c>
      <c r="O77">
        <v>0.342026</v>
      </c>
      <c r="P77" t="s">
        <v>95</v>
      </c>
    </row>
    <row r="78" spans="1:16" x14ac:dyDescent="0.6">
      <c r="A78">
        <v>60</v>
      </c>
      <c r="B78" t="s">
        <v>108</v>
      </c>
      <c r="C78" t="s">
        <v>8</v>
      </c>
      <c r="D78" t="str">
        <f>"1."&amp;C78</f>
        <v>1.Macro Only</v>
      </c>
      <c r="E78">
        <v>1</v>
      </c>
      <c r="F78" t="s">
        <v>169</v>
      </c>
      <c r="G78">
        <v>8.5050179999999997</v>
      </c>
      <c r="H78">
        <v>6.8979920000000003</v>
      </c>
      <c r="I78">
        <v>0.53338200000000002</v>
      </c>
      <c r="J78">
        <v>7.4350009999999997</v>
      </c>
      <c r="K78" s="13">
        <v>6.12739333431277</v>
      </c>
      <c r="L78" s="13">
        <v>0.44940648761558299</v>
      </c>
      <c r="M78">
        <v>0.334915149632106</v>
      </c>
      <c r="N78">
        <v>4.92559814453125</v>
      </c>
      <c r="O78" s="13">
        <v>0.35994201494044797</v>
      </c>
      <c r="P78" t="s">
        <v>95</v>
      </c>
    </row>
    <row r="79" spans="1:16" x14ac:dyDescent="0.6">
      <c r="A79">
        <v>60</v>
      </c>
      <c r="B79" t="s">
        <v>108</v>
      </c>
      <c r="C79" t="s">
        <v>9</v>
      </c>
      <c r="D79" t="str">
        <f>"2."&amp;C79</f>
        <v>2.Macro + Event</v>
      </c>
      <c r="E79">
        <v>1</v>
      </c>
      <c r="F79" t="s">
        <v>170</v>
      </c>
      <c r="G79">
        <v>8.3207690000000003</v>
      </c>
      <c r="H79">
        <v>6.7146280000000003</v>
      </c>
      <c r="I79">
        <v>0.51918600000000004</v>
      </c>
      <c r="J79">
        <v>7.4376990000000003</v>
      </c>
      <c r="K79" s="13">
        <v>5.5325652944061101</v>
      </c>
      <c r="L79" s="13">
        <v>0.40542799991422601</v>
      </c>
      <c r="M79">
        <v>0.27969763887461402</v>
      </c>
      <c r="N79">
        <v>4.523193359375</v>
      </c>
      <c r="O79" s="13">
        <v>0.33638539514433902</v>
      </c>
      <c r="P79" t="s">
        <v>95</v>
      </c>
    </row>
    <row r="80" spans="1:16" x14ac:dyDescent="0.6">
      <c r="A80">
        <v>60</v>
      </c>
      <c r="B80" t="s">
        <v>108</v>
      </c>
      <c r="C80" t="s">
        <v>93</v>
      </c>
      <c r="D80" t="str">
        <f>"3."&amp;C80</f>
        <v>3.Macro + Sentiment</v>
      </c>
      <c r="E80">
        <v>1</v>
      </c>
      <c r="F80" t="s">
        <v>174</v>
      </c>
      <c r="G80">
        <v>8.3870319999999996</v>
      </c>
      <c r="H80">
        <v>6.8625210000000001</v>
      </c>
      <c r="I80">
        <v>0.53032900000000005</v>
      </c>
      <c r="J80">
        <v>7.4794070000000001</v>
      </c>
      <c r="K80">
        <v>5.6873170000000002</v>
      </c>
      <c r="L80">
        <v>0.41402600000000001</v>
      </c>
      <c r="M80">
        <v>0.28920000000000001</v>
      </c>
      <c r="N80">
        <v>4.9049680000000002</v>
      </c>
      <c r="O80">
        <v>0.35776799999999997</v>
      </c>
      <c r="P80" t="s">
        <v>152</v>
      </c>
    </row>
    <row r="81" spans="1:16" x14ac:dyDescent="0.6">
      <c r="A81">
        <v>60</v>
      </c>
      <c r="B81" t="s">
        <v>108</v>
      </c>
      <c r="C81" t="s">
        <v>96</v>
      </c>
      <c r="D81" t="str">
        <f>"4."&amp;C81</f>
        <v>4.ALL</v>
      </c>
      <c r="E81">
        <v>1</v>
      </c>
      <c r="F81" t="s">
        <v>165</v>
      </c>
      <c r="G81">
        <v>8.4572190000000003</v>
      </c>
      <c r="H81">
        <v>6.8813490000000002</v>
      </c>
      <c r="I81">
        <v>0.53214700000000004</v>
      </c>
      <c r="J81">
        <v>7.3721079999999999</v>
      </c>
      <c r="K81">
        <v>5.4940230000000003</v>
      </c>
      <c r="L81">
        <v>0.40163100000000002</v>
      </c>
      <c r="M81">
        <v>0.2681</v>
      </c>
      <c r="N81">
        <v>4.7504270000000002</v>
      </c>
      <c r="O81">
        <v>0.34342899999999998</v>
      </c>
      <c r="P81" t="s">
        <v>95</v>
      </c>
    </row>
    <row r="82" spans="1:16" x14ac:dyDescent="0.6">
      <c r="A82">
        <v>90</v>
      </c>
      <c r="B82" t="s">
        <v>7</v>
      </c>
      <c r="C82" t="s">
        <v>8</v>
      </c>
      <c r="D82" t="str">
        <f>"1."&amp;C82</f>
        <v>1.Macro Only</v>
      </c>
      <c r="E82">
        <v>1</v>
      </c>
      <c r="F82" t="s">
        <v>163</v>
      </c>
      <c r="G82" s="13">
        <v>7.1817983365045803</v>
      </c>
      <c r="H82" s="13">
        <v>5.6679317589962102</v>
      </c>
      <c r="I82" s="13">
        <v>0.44214617009805801</v>
      </c>
      <c r="J82" s="13">
        <v>7.3646177135076796</v>
      </c>
      <c r="K82" s="13">
        <v>6.2817639437588699</v>
      </c>
      <c r="L82" s="13">
        <v>0.45642186443342198</v>
      </c>
      <c r="M82">
        <v>0.33579147461077596</v>
      </c>
      <c r="N82">
        <v>4.86346435546875</v>
      </c>
      <c r="O82" s="13">
        <v>0.352021622832561</v>
      </c>
      <c r="P82" t="s">
        <v>152</v>
      </c>
    </row>
    <row r="83" spans="1:16" x14ac:dyDescent="0.6">
      <c r="A83">
        <v>90</v>
      </c>
      <c r="B83" t="s">
        <v>7</v>
      </c>
      <c r="C83" t="s">
        <v>9</v>
      </c>
      <c r="D83" t="str">
        <f>"2."&amp;C83</f>
        <v>2.Macro + Event</v>
      </c>
      <c r="E83">
        <v>1</v>
      </c>
      <c r="F83" t="s">
        <v>146</v>
      </c>
      <c r="G83" s="13">
        <v>7.1958020834312499</v>
      </c>
      <c r="H83" s="13">
        <v>5.6418420040246202</v>
      </c>
      <c r="I83" s="13">
        <v>0.43988792502686003</v>
      </c>
      <c r="J83" s="13">
        <v>7.2547915348356202</v>
      </c>
      <c r="K83">
        <v>5.5137689999999999</v>
      </c>
      <c r="L83">
        <v>0.40135700000000002</v>
      </c>
      <c r="M83">
        <v>0.27850000000000003</v>
      </c>
      <c r="N83">
        <v>4.4532470000000002</v>
      </c>
      <c r="O83">
        <v>0.32051600000000002</v>
      </c>
      <c r="P83" t="s">
        <v>128</v>
      </c>
    </row>
    <row r="84" spans="1:16" x14ac:dyDescent="0.6">
      <c r="A84">
        <v>90</v>
      </c>
      <c r="B84" t="s">
        <v>7</v>
      </c>
      <c r="C84" t="s">
        <v>93</v>
      </c>
      <c r="D84" t="str">
        <f>"3."&amp;C84</f>
        <v>3.Macro + Sentiment</v>
      </c>
      <c r="E84">
        <v>1</v>
      </c>
      <c r="F84" t="s">
        <v>183</v>
      </c>
      <c r="G84" s="13">
        <v>7.0132860566650796</v>
      </c>
      <c r="H84">
        <v>5.5050973603219697</v>
      </c>
      <c r="I84" s="13">
        <v>0.42918796578950502</v>
      </c>
      <c r="J84" s="13">
        <v>7.6388015764852497</v>
      </c>
      <c r="K84">
        <v>5.6944710000000001</v>
      </c>
      <c r="L84">
        <v>0.41458800000000001</v>
      </c>
      <c r="M84">
        <v>0.29450000000000004</v>
      </c>
      <c r="N84">
        <v>4.959778</v>
      </c>
      <c r="O84">
        <v>0.34940700000000002</v>
      </c>
      <c r="P84" t="s">
        <v>152</v>
      </c>
    </row>
    <row r="85" spans="1:16" x14ac:dyDescent="0.6">
      <c r="A85">
        <v>90</v>
      </c>
      <c r="B85" t="s">
        <v>7</v>
      </c>
      <c r="C85" t="s">
        <v>96</v>
      </c>
      <c r="D85" t="str">
        <f>"4."&amp;C85</f>
        <v>4.ALL</v>
      </c>
      <c r="E85">
        <v>1</v>
      </c>
      <c r="F85" t="s">
        <v>150</v>
      </c>
      <c r="G85" s="13">
        <v>6.9765846041725101</v>
      </c>
      <c r="H85" s="13">
        <v>5.5259528882575699</v>
      </c>
      <c r="I85" s="13">
        <v>0.43113195886723998</v>
      </c>
      <c r="J85" s="13">
        <v>7.2697324668168699</v>
      </c>
      <c r="K85">
        <v>5.4254749999999996</v>
      </c>
      <c r="L85">
        <v>0.39750799999999997</v>
      </c>
      <c r="M85">
        <v>0.27039999999999997</v>
      </c>
      <c r="N85">
        <v>4.3987429999999996</v>
      </c>
      <c r="O85">
        <v>0.32528800000000002</v>
      </c>
      <c r="P85" t="s">
        <v>95</v>
      </c>
    </row>
    <row r="86" spans="1:16" x14ac:dyDescent="0.6">
      <c r="A86">
        <v>90</v>
      </c>
      <c r="B86" t="s">
        <v>10</v>
      </c>
      <c r="C86" t="s">
        <v>8</v>
      </c>
      <c r="D86" t="str">
        <f>"1."&amp;C86</f>
        <v>1.Macro Only</v>
      </c>
      <c r="E86">
        <v>1</v>
      </c>
      <c r="F86" t="s">
        <v>182</v>
      </c>
      <c r="G86" s="13">
        <v>6.8653947856092001</v>
      </c>
      <c r="H86" s="13">
        <v>5.4196222478693103</v>
      </c>
      <c r="I86" s="13">
        <v>0.422612175926948</v>
      </c>
      <c r="J86" s="13">
        <v>7.6237277753961603</v>
      </c>
      <c r="K86" s="13">
        <v>6.9376265914351798</v>
      </c>
      <c r="L86" s="13">
        <v>0.50555735523604595</v>
      </c>
      <c r="M86">
        <v>0.38922951899318703</v>
      </c>
      <c r="N86">
        <v>6.6702880859375</v>
      </c>
      <c r="O86" s="13">
        <v>0.48616309933490998</v>
      </c>
      <c r="P86" t="s">
        <v>95</v>
      </c>
    </row>
    <row r="87" spans="1:16" x14ac:dyDescent="0.6">
      <c r="A87">
        <v>90</v>
      </c>
      <c r="B87" t="s">
        <v>10</v>
      </c>
      <c r="C87" t="s">
        <v>9</v>
      </c>
      <c r="D87" t="str">
        <f>"2."&amp;C87</f>
        <v>2.Macro + Event</v>
      </c>
      <c r="E87">
        <v>1</v>
      </c>
      <c r="F87" t="s">
        <v>159</v>
      </c>
      <c r="G87" s="13">
        <v>6.96366010782336</v>
      </c>
      <c r="H87" s="13">
        <v>5.5858117305871202</v>
      </c>
      <c r="I87" s="13">
        <v>0.436744165825657</v>
      </c>
      <c r="J87" s="13">
        <v>7.3328223195886002</v>
      </c>
      <c r="K87" s="13">
        <v>5.5785319010416599</v>
      </c>
      <c r="L87" s="13">
        <v>0.40792258672520099</v>
      </c>
      <c r="M87">
        <v>0.27998303400910501</v>
      </c>
      <c r="N87">
        <v>4.66253662109375</v>
      </c>
      <c r="O87" s="13">
        <v>0.34455413704927101</v>
      </c>
      <c r="P87" t="s">
        <v>95</v>
      </c>
    </row>
    <row r="88" spans="1:16" x14ac:dyDescent="0.6">
      <c r="A88">
        <v>90</v>
      </c>
      <c r="B88" t="s">
        <v>10</v>
      </c>
      <c r="C88" t="s">
        <v>93</v>
      </c>
      <c r="D88" t="str">
        <f>"3."&amp;C88</f>
        <v>3.Macro + Sentiment</v>
      </c>
      <c r="E88">
        <v>1</v>
      </c>
      <c r="F88" t="s">
        <v>181</v>
      </c>
      <c r="G88">
        <v>6.6759537159477</v>
      </c>
      <c r="H88" s="13">
        <v>5.4448131214488598</v>
      </c>
      <c r="I88" s="13">
        <v>0.42489933078599401</v>
      </c>
      <c r="J88" s="13">
        <v>7.5994227765418696</v>
      </c>
      <c r="K88">
        <v>5.7304399999999998</v>
      </c>
      <c r="L88">
        <v>0.41740500000000003</v>
      </c>
      <c r="M88">
        <v>0.29480000000000001</v>
      </c>
      <c r="N88">
        <v>4.920471</v>
      </c>
      <c r="O88">
        <v>0.36538900000000002</v>
      </c>
      <c r="P88" t="s">
        <v>152</v>
      </c>
    </row>
    <row r="89" spans="1:16" x14ac:dyDescent="0.6">
      <c r="A89">
        <v>90</v>
      </c>
      <c r="B89" t="s">
        <v>10</v>
      </c>
      <c r="C89" t="s">
        <v>96</v>
      </c>
      <c r="D89" t="str">
        <f>"4."&amp;C89</f>
        <v>4.ALL</v>
      </c>
      <c r="E89">
        <v>1</v>
      </c>
      <c r="F89" t="s">
        <v>184</v>
      </c>
      <c r="G89" s="13">
        <v>7.5993251011002902</v>
      </c>
      <c r="H89" s="13">
        <v>6.0605616714015103</v>
      </c>
      <c r="I89" s="13">
        <v>0.47315778526525898</v>
      </c>
      <c r="J89" s="13">
        <v>7.6412420393954799</v>
      </c>
      <c r="K89">
        <v>5.4471646924039501</v>
      </c>
      <c r="L89" s="13">
        <v>0.39951339398770702</v>
      </c>
      <c r="M89">
        <v>0.27282936708517097</v>
      </c>
      <c r="N89">
        <v>4.6483154296875</v>
      </c>
      <c r="O89">
        <v>0.34642043943666301</v>
      </c>
      <c r="P89" t="s">
        <v>95</v>
      </c>
    </row>
    <row r="90" spans="1:16" x14ac:dyDescent="0.6">
      <c r="A90">
        <v>90</v>
      </c>
      <c r="B90" t="s">
        <v>99</v>
      </c>
      <c r="C90" t="s">
        <v>8</v>
      </c>
      <c r="D90" t="str">
        <f>"1."&amp;C90</f>
        <v>1.Macro Only</v>
      </c>
      <c r="E90">
        <v>1</v>
      </c>
      <c r="F90" t="s">
        <v>127</v>
      </c>
      <c r="G90">
        <v>6.9550789999999996</v>
      </c>
      <c r="H90">
        <v>5.5282980000000004</v>
      </c>
      <c r="I90">
        <v>0.43144399999999999</v>
      </c>
      <c r="J90">
        <v>7.1349489999999998</v>
      </c>
      <c r="K90">
        <v>6.1162039999999998</v>
      </c>
      <c r="L90">
        <v>0.44723200000000002</v>
      </c>
      <c r="M90">
        <v>0.3372</v>
      </c>
      <c r="N90">
        <v>5.09314</v>
      </c>
      <c r="O90">
        <v>0.36770399999999998</v>
      </c>
      <c r="P90" t="s">
        <v>95</v>
      </c>
    </row>
    <row r="91" spans="1:16" x14ac:dyDescent="0.6">
      <c r="A91">
        <v>90</v>
      </c>
      <c r="B91" t="s">
        <v>99</v>
      </c>
      <c r="C91" t="s">
        <v>9</v>
      </c>
      <c r="D91" t="str">
        <f>"2."&amp;C91</f>
        <v>2.Macro + Event</v>
      </c>
      <c r="E91">
        <v>1</v>
      </c>
      <c r="F91" t="s">
        <v>187</v>
      </c>
      <c r="G91">
        <v>6.9823729999999999</v>
      </c>
      <c r="H91">
        <v>5.4585850000000002</v>
      </c>
      <c r="I91">
        <v>0.42615500000000001</v>
      </c>
      <c r="J91">
        <v>7.8758290000000004</v>
      </c>
      <c r="K91" s="13">
        <v>5.5410415440389498</v>
      </c>
      <c r="L91" s="13">
        <v>0.40317481381355702</v>
      </c>
      <c r="M91">
        <v>0.28035698350448901</v>
      </c>
      <c r="N91">
        <v>4.28924560546875</v>
      </c>
      <c r="O91" s="13">
        <v>0.31656264755650998</v>
      </c>
      <c r="P91" t="s">
        <v>128</v>
      </c>
    </row>
    <row r="92" spans="1:16" x14ac:dyDescent="0.6">
      <c r="A92">
        <v>90</v>
      </c>
      <c r="B92" t="s">
        <v>99</v>
      </c>
      <c r="C92" t="s">
        <v>93</v>
      </c>
      <c r="D92" t="str">
        <f>"3."&amp;C92</f>
        <v>3.Macro + Sentiment</v>
      </c>
      <c r="E92">
        <v>1</v>
      </c>
      <c r="F92" t="s">
        <v>144</v>
      </c>
      <c r="G92">
        <v>7.0145809999999997</v>
      </c>
      <c r="H92">
        <v>5.5760540000000001</v>
      </c>
      <c r="I92">
        <v>0.435255</v>
      </c>
      <c r="J92">
        <v>7.2275549999999997</v>
      </c>
      <c r="K92" s="13">
        <v>5.7942923086660798</v>
      </c>
      <c r="L92" s="13">
        <v>0.42361425655239898</v>
      </c>
      <c r="M92">
        <v>0.292942639058209</v>
      </c>
      <c r="N92">
        <v>4.92608642578125</v>
      </c>
      <c r="O92" s="13">
        <v>0.35692120059707</v>
      </c>
      <c r="P92" t="s">
        <v>95</v>
      </c>
    </row>
    <row r="93" spans="1:16" x14ac:dyDescent="0.6">
      <c r="A93">
        <v>90</v>
      </c>
      <c r="B93" t="s">
        <v>99</v>
      </c>
      <c r="C93" t="s">
        <v>96</v>
      </c>
      <c r="D93" t="str">
        <f>"4."&amp;C93</f>
        <v>4.ALL</v>
      </c>
      <c r="E93">
        <v>1</v>
      </c>
      <c r="F93" t="s">
        <v>156</v>
      </c>
      <c r="G93">
        <v>6.9670399999999999</v>
      </c>
      <c r="H93">
        <v>5.5330130000000004</v>
      </c>
      <c r="I93">
        <v>0.43177900000000002</v>
      </c>
      <c r="J93">
        <v>7.3186289999999996</v>
      </c>
      <c r="K93">
        <v>5.5047560000000004</v>
      </c>
      <c r="L93">
        <v>0.402221</v>
      </c>
      <c r="M93">
        <v>0.26960000000000001</v>
      </c>
      <c r="N93">
        <v>4.533569</v>
      </c>
      <c r="O93">
        <v>0.33159</v>
      </c>
      <c r="P93" t="s">
        <v>101</v>
      </c>
    </row>
    <row r="94" spans="1:16" x14ac:dyDescent="0.6">
      <c r="A94">
        <v>90</v>
      </c>
      <c r="B94" t="s">
        <v>108</v>
      </c>
      <c r="C94" t="s">
        <v>8</v>
      </c>
      <c r="D94" t="str">
        <f>"1."&amp;C94</f>
        <v>1.Macro Only</v>
      </c>
      <c r="E94">
        <v>1</v>
      </c>
      <c r="F94" t="s">
        <v>164</v>
      </c>
      <c r="G94">
        <v>6.9688939999999997</v>
      </c>
      <c r="H94">
        <v>5.5165740000000003</v>
      </c>
      <c r="I94">
        <v>0.43058000000000002</v>
      </c>
      <c r="J94">
        <v>7.3648809999999996</v>
      </c>
      <c r="K94">
        <v>6.2709910000000004</v>
      </c>
      <c r="L94">
        <v>0.454932</v>
      </c>
      <c r="M94">
        <v>0.34099999999999997</v>
      </c>
      <c r="N94">
        <v>4.9745480000000004</v>
      </c>
      <c r="O94">
        <v>0.35916199999999998</v>
      </c>
      <c r="P94" t="s">
        <v>128</v>
      </c>
    </row>
    <row r="95" spans="1:16" x14ac:dyDescent="0.6">
      <c r="A95">
        <v>90</v>
      </c>
      <c r="B95" t="s">
        <v>108</v>
      </c>
      <c r="C95" t="s">
        <v>9</v>
      </c>
      <c r="D95" t="str">
        <f>"2."&amp;C95</f>
        <v>2.Macro + Event</v>
      </c>
      <c r="E95">
        <v>1</v>
      </c>
      <c r="F95" t="s">
        <v>142</v>
      </c>
      <c r="G95">
        <v>6.9404859999999999</v>
      </c>
      <c r="H95">
        <v>5.3550909999999998</v>
      </c>
      <c r="I95">
        <v>0.417993</v>
      </c>
      <c r="J95">
        <v>7.2208379999999996</v>
      </c>
      <c r="K95">
        <v>5.581995</v>
      </c>
      <c r="L95">
        <v>0.40810000000000002</v>
      </c>
      <c r="M95">
        <v>0.27929999999999999</v>
      </c>
      <c r="N95">
        <v>4.4867549999999996</v>
      </c>
      <c r="O95">
        <v>0.32525700000000002</v>
      </c>
      <c r="P95" t="s">
        <v>95</v>
      </c>
    </row>
    <row r="96" spans="1:16" x14ac:dyDescent="0.6">
      <c r="A96">
        <v>90</v>
      </c>
      <c r="B96" t="s">
        <v>108</v>
      </c>
      <c r="C96" t="s">
        <v>93</v>
      </c>
      <c r="D96" t="str">
        <f>"3."&amp;C96</f>
        <v>3.Macro + Sentiment</v>
      </c>
      <c r="E96">
        <v>1</v>
      </c>
      <c r="F96" t="s">
        <v>192</v>
      </c>
      <c r="G96">
        <v>6.8807119999999999</v>
      </c>
      <c r="H96">
        <v>5.5028059999999996</v>
      </c>
      <c r="I96">
        <v>0.42892799999999998</v>
      </c>
      <c r="J96">
        <v>8.0426500000000001</v>
      </c>
      <c r="K96" s="13">
        <v>5.6844968332827603</v>
      </c>
      <c r="L96" s="13">
        <v>0.41555569837169198</v>
      </c>
      <c r="M96">
        <v>0.297923999794178</v>
      </c>
      <c r="N96">
        <v>4.8734130859375</v>
      </c>
      <c r="O96">
        <v>0.35191326993736</v>
      </c>
      <c r="P96" t="s">
        <v>101</v>
      </c>
    </row>
    <row r="97" spans="1:16" x14ac:dyDescent="0.6">
      <c r="A97">
        <v>90</v>
      </c>
      <c r="B97" t="s">
        <v>108</v>
      </c>
      <c r="C97" t="s">
        <v>96</v>
      </c>
      <c r="D97" t="str">
        <f>"4."&amp;C97</f>
        <v>4.ALL</v>
      </c>
      <c r="E97">
        <v>1</v>
      </c>
      <c r="F97" t="s">
        <v>177</v>
      </c>
      <c r="G97">
        <v>7.1718039999999998</v>
      </c>
      <c r="H97">
        <v>5.7255950000000002</v>
      </c>
      <c r="I97">
        <v>0.44732499999999997</v>
      </c>
      <c r="J97">
        <v>7.5216200000000004</v>
      </c>
      <c r="K97">
        <v>5.431991</v>
      </c>
      <c r="L97">
        <v>0.39815299999999998</v>
      </c>
      <c r="M97">
        <v>0.2722</v>
      </c>
      <c r="N97">
        <v>4.627014</v>
      </c>
      <c r="O97">
        <v>0.34491699999999997</v>
      </c>
      <c r="P97" t="s">
        <v>95</v>
      </c>
    </row>
  </sheetData>
  <autoFilter ref="A1:J97" xr:uid="{B481732D-18EF-48B1-A897-DA0D69DD0AAE}">
    <sortState xmlns:xlrd2="http://schemas.microsoft.com/office/spreadsheetml/2017/richdata2" ref="A2:J97">
      <sortCondition ref="C1:C97"/>
    </sortState>
  </autoFilter>
  <sortState xmlns:xlrd2="http://schemas.microsoft.com/office/spreadsheetml/2017/richdata2" ref="A2:P97">
    <sortCondition ref="A2:A97"/>
    <sortCondition descending="1" ref="B2:B97"/>
    <sortCondition ref="D2:D97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5D0DB-EF4F-4AEB-AC89-90059089C40A}">
  <dimension ref="A1:P97"/>
  <sheetViews>
    <sheetView topLeftCell="A63" workbookViewId="0">
      <selection activeCell="J82" sqref="J82:O97"/>
    </sheetView>
  </sheetViews>
  <sheetFormatPr defaultRowHeight="16.899999999999999" x14ac:dyDescent="0.6"/>
  <cols>
    <col min="1" max="1" width="11" bestFit="1" customWidth="1"/>
    <col min="2" max="2" width="10.5625" bestFit="1" customWidth="1"/>
    <col min="3" max="3" width="18" bestFit="1" customWidth="1"/>
    <col min="4" max="4" width="21.375" customWidth="1"/>
    <col min="5" max="5" width="6.8125" customWidth="1"/>
    <col min="6" max="6" width="84.5625" customWidth="1"/>
    <col min="7" max="7" width="15" customWidth="1"/>
    <col min="8" max="8" width="14" customWidth="1"/>
    <col min="9" max="9" width="15.125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20</v>
      </c>
      <c r="B1" t="s">
        <v>13</v>
      </c>
      <c r="C1" t="s">
        <v>27</v>
      </c>
      <c r="D1" t="s">
        <v>32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89</v>
      </c>
      <c r="L1" t="s">
        <v>87</v>
      </c>
      <c r="M1" t="s">
        <v>88</v>
      </c>
      <c r="N1" t="s">
        <v>90</v>
      </c>
      <c r="O1" t="s">
        <v>91</v>
      </c>
      <c r="P1" t="s">
        <v>92</v>
      </c>
    </row>
    <row r="2" spans="1:16" x14ac:dyDescent="0.6">
      <c r="A2">
        <v>5</v>
      </c>
      <c r="B2" t="s">
        <v>7</v>
      </c>
      <c r="C2" t="s">
        <v>8</v>
      </c>
      <c r="D2" t="str">
        <f>"1."&amp;C2</f>
        <v>1.Macro Only</v>
      </c>
      <c r="E2">
        <v>1</v>
      </c>
      <c r="F2" t="s">
        <v>140</v>
      </c>
      <c r="G2" s="13">
        <v>8.6922131329482308</v>
      </c>
      <c r="H2" s="13">
        <v>6.9978791915434799</v>
      </c>
      <c r="I2" s="13">
        <v>0.53388464913963296</v>
      </c>
      <c r="J2">
        <v>7.2118313209826104</v>
      </c>
      <c r="K2">
        <v>0.29788420786338898</v>
      </c>
      <c r="L2" s="13">
        <v>5.6901945634321702</v>
      </c>
      <c r="M2" s="13">
        <v>0.41487732666673899</v>
      </c>
      <c r="N2">
        <v>4.31427001953125</v>
      </c>
      <c r="O2" s="13">
        <v>0.30903714593416998</v>
      </c>
      <c r="P2" t="s">
        <v>152</v>
      </c>
    </row>
    <row r="3" spans="1:16" x14ac:dyDescent="0.6">
      <c r="A3">
        <v>5</v>
      </c>
      <c r="B3" t="s">
        <v>7</v>
      </c>
      <c r="C3" t="s">
        <v>9</v>
      </c>
      <c r="D3" t="str">
        <f>"2."&amp;C3</f>
        <v>2.Macro + Event</v>
      </c>
      <c r="E3">
        <v>1</v>
      </c>
      <c r="F3" t="s">
        <v>129</v>
      </c>
      <c r="G3" s="13">
        <v>8.6961930600441004</v>
      </c>
      <c r="H3" s="13">
        <v>6.9890003081928302</v>
      </c>
      <c r="I3" s="13">
        <v>0.53325289059635905</v>
      </c>
      <c r="J3" s="13">
        <v>7.1444564286316004</v>
      </c>
      <c r="K3">
        <v>0.27200000000000002</v>
      </c>
      <c r="L3">
        <v>5.4687929999999998</v>
      </c>
      <c r="M3">
        <v>0.40054499999999998</v>
      </c>
      <c r="N3">
        <v>4.6674189999999998</v>
      </c>
      <c r="O3">
        <v>0.34352199999999999</v>
      </c>
      <c r="P3" t="s">
        <v>95</v>
      </c>
    </row>
    <row r="4" spans="1:16" x14ac:dyDescent="0.6">
      <c r="A4">
        <v>5</v>
      </c>
      <c r="B4" t="s">
        <v>7</v>
      </c>
      <c r="C4" t="s">
        <v>93</v>
      </c>
      <c r="D4" t="str">
        <f>"3."&amp;C4</f>
        <v>3.Macro + Sentiment</v>
      </c>
      <c r="E4">
        <v>1</v>
      </c>
      <c r="F4" t="s">
        <v>122</v>
      </c>
      <c r="G4" s="13">
        <v>8.7281372972559499</v>
      </c>
      <c r="H4">
        <v>6.9915363082825603</v>
      </c>
      <c r="I4" s="13">
        <v>0.53338542474259898</v>
      </c>
      <c r="J4" s="13">
        <v>7.1959661176296699</v>
      </c>
      <c r="K4">
        <v>0.28290686131512799</v>
      </c>
      <c r="L4" s="13">
        <v>5.6067413060011004</v>
      </c>
      <c r="M4" s="13">
        <v>0.41041722261715402</v>
      </c>
      <c r="N4">
        <v>4.60052490234375</v>
      </c>
      <c r="O4" s="13">
        <v>0.34298178101701499</v>
      </c>
      <c r="P4" t="s">
        <v>95</v>
      </c>
    </row>
    <row r="5" spans="1:16" x14ac:dyDescent="0.6">
      <c r="A5">
        <v>5</v>
      </c>
      <c r="B5" t="s">
        <v>7</v>
      </c>
      <c r="C5" t="s">
        <v>96</v>
      </c>
      <c r="D5" t="str">
        <f>"4."&amp;C5</f>
        <v>4.ALL</v>
      </c>
      <c r="E5">
        <v>1</v>
      </c>
      <c r="F5" t="s">
        <v>122</v>
      </c>
      <c r="G5" s="13">
        <v>8.7206533396327792</v>
      </c>
      <c r="H5" s="13">
        <v>6.9798379319702804</v>
      </c>
      <c r="I5">
        <v>0.53249668749286705</v>
      </c>
      <c r="J5" s="13">
        <v>7.1139842906178696</v>
      </c>
      <c r="K5">
        <v>0.254372860049494</v>
      </c>
      <c r="L5" s="13">
        <v>5.3294564706307801</v>
      </c>
      <c r="M5" s="13">
        <v>0.39007840166920299</v>
      </c>
      <c r="N5">
        <v>4.6673583984375</v>
      </c>
      <c r="O5" s="13">
        <v>0.342286514697697</v>
      </c>
      <c r="P5" t="s">
        <v>95</v>
      </c>
    </row>
    <row r="6" spans="1:16" x14ac:dyDescent="0.6">
      <c r="A6">
        <v>5</v>
      </c>
      <c r="B6" t="s">
        <v>10</v>
      </c>
      <c r="C6" t="s">
        <v>8</v>
      </c>
      <c r="D6" t="str">
        <f>"1."&amp;C6</f>
        <v>1.Macro Only</v>
      </c>
      <c r="E6">
        <v>1</v>
      </c>
      <c r="F6" t="s">
        <v>125</v>
      </c>
      <c r="G6" s="13">
        <v>8.7253390382096292</v>
      </c>
      <c r="H6" s="13">
        <v>7.0337735848200698</v>
      </c>
      <c r="I6" s="13">
        <v>0.53622051354803102</v>
      </c>
      <c r="J6" s="13">
        <v>7.9057553230941702</v>
      </c>
      <c r="K6">
        <v>0.2994</v>
      </c>
      <c r="L6">
        <v>5.6867190000000001</v>
      </c>
      <c r="M6">
        <v>0.41473599999999999</v>
      </c>
      <c r="N6">
        <v>4.4887079999999999</v>
      </c>
      <c r="O6">
        <v>0.33013799999999999</v>
      </c>
      <c r="P6" t="s">
        <v>152</v>
      </c>
    </row>
    <row r="7" spans="1:16" x14ac:dyDescent="0.6">
      <c r="A7">
        <v>5</v>
      </c>
      <c r="B7" t="s">
        <v>10</v>
      </c>
      <c r="C7" t="s">
        <v>9</v>
      </c>
      <c r="D7" t="str">
        <f>"2."&amp;C7</f>
        <v>2.Macro + Event</v>
      </c>
      <c r="E7">
        <v>1</v>
      </c>
      <c r="F7" t="s">
        <v>172</v>
      </c>
      <c r="G7">
        <v>8.7686811137446092</v>
      </c>
      <c r="H7" s="13">
        <v>7.10564446403641</v>
      </c>
      <c r="I7">
        <v>0.54185787204528801</v>
      </c>
      <c r="J7" s="13">
        <v>7.4566945306430696</v>
      </c>
      <c r="K7">
        <v>0.27490000000000003</v>
      </c>
      <c r="L7">
        <v>5.4028590000000003</v>
      </c>
      <c r="M7">
        <v>0.39662399999999998</v>
      </c>
      <c r="N7">
        <v>4.5946040000000004</v>
      </c>
      <c r="O7">
        <v>0.33372499999999999</v>
      </c>
      <c r="P7" t="s">
        <v>95</v>
      </c>
    </row>
    <row r="8" spans="1:16" x14ac:dyDescent="0.6">
      <c r="A8">
        <v>5</v>
      </c>
      <c r="B8" t="s">
        <v>10</v>
      </c>
      <c r="C8" t="s">
        <v>93</v>
      </c>
      <c r="D8" t="str">
        <f>"3."&amp;C8</f>
        <v>3.Macro + Sentiment</v>
      </c>
      <c r="E8">
        <v>1</v>
      </c>
      <c r="F8" t="s">
        <v>158</v>
      </c>
      <c r="G8" s="13">
        <v>8.8351072816589795</v>
      </c>
      <c r="H8" s="13">
        <v>7.0694780103822801</v>
      </c>
      <c r="I8" s="13">
        <v>0.53956887468716797</v>
      </c>
      <c r="J8" s="13">
        <v>7.3325710918834899</v>
      </c>
      <c r="K8">
        <v>0.28449999999999998</v>
      </c>
      <c r="L8">
        <v>5.5980309999999998</v>
      </c>
      <c r="M8">
        <v>0.40990300000000002</v>
      </c>
      <c r="N8">
        <v>4.5358890000000001</v>
      </c>
      <c r="O8">
        <v>0.332318</v>
      </c>
      <c r="P8" t="s">
        <v>101</v>
      </c>
    </row>
    <row r="9" spans="1:16" x14ac:dyDescent="0.6">
      <c r="A9">
        <v>5</v>
      </c>
      <c r="B9" t="s">
        <v>10</v>
      </c>
      <c r="C9" t="s">
        <v>96</v>
      </c>
      <c r="D9" t="str">
        <f>"4."&amp;C9</f>
        <v>4.ALL</v>
      </c>
      <c r="E9">
        <v>1</v>
      </c>
      <c r="F9" t="s">
        <v>157</v>
      </c>
      <c r="G9" s="13">
        <v>8.7057449768609896</v>
      </c>
      <c r="H9" s="13">
        <v>6.9133210338433102</v>
      </c>
      <c r="I9">
        <v>0.52720932434323697</v>
      </c>
      <c r="J9" s="13">
        <v>7.3298170573686798</v>
      </c>
      <c r="K9">
        <v>0.25990000000000002</v>
      </c>
      <c r="L9">
        <v>5.3962750000000002</v>
      </c>
      <c r="M9">
        <v>0.39446300000000001</v>
      </c>
      <c r="N9">
        <v>4.6044309999999999</v>
      </c>
      <c r="O9">
        <v>0.33909299999999998</v>
      </c>
      <c r="P9" t="s">
        <v>101</v>
      </c>
    </row>
    <row r="10" spans="1:16" x14ac:dyDescent="0.6">
      <c r="A10">
        <v>5</v>
      </c>
      <c r="B10" t="s">
        <v>99</v>
      </c>
      <c r="C10" t="s">
        <v>8</v>
      </c>
      <c r="D10" t="str">
        <f>"1."&amp;C10</f>
        <v>1.Macro Only</v>
      </c>
      <c r="E10">
        <v>1</v>
      </c>
      <c r="F10" t="s">
        <v>190</v>
      </c>
      <c r="G10">
        <v>8.7052849999999999</v>
      </c>
      <c r="H10">
        <v>6.9406249999999998</v>
      </c>
      <c r="I10">
        <v>0.52950699999999995</v>
      </c>
      <c r="J10">
        <v>7.942977</v>
      </c>
      <c r="K10">
        <v>0.29857578610777497</v>
      </c>
      <c r="L10" s="13">
        <v>5.80583121559836</v>
      </c>
      <c r="M10" s="13">
        <v>0.42238218251780701</v>
      </c>
      <c r="N10">
        <v>5.040283203125</v>
      </c>
      <c r="O10" s="13">
        <v>0.36676610353741701</v>
      </c>
      <c r="P10" t="s">
        <v>152</v>
      </c>
    </row>
    <row r="11" spans="1:16" x14ac:dyDescent="0.6">
      <c r="A11">
        <v>5</v>
      </c>
      <c r="B11" t="s">
        <v>99</v>
      </c>
      <c r="C11" t="s">
        <v>9</v>
      </c>
      <c r="D11" t="str">
        <f>"2."&amp;C11</f>
        <v>2.Macro + Event</v>
      </c>
      <c r="E11">
        <v>1</v>
      </c>
      <c r="F11" t="s">
        <v>131</v>
      </c>
      <c r="G11">
        <v>8.7020579999999992</v>
      </c>
      <c r="H11">
        <v>6.9538469999999997</v>
      </c>
      <c r="I11">
        <v>0.53055399999999997</v>
      </c>
      <c r="J11">
        <v>7.1516469999999996</v>
      </c>
      <c r="K11">
        <v>0.27110000000000001</v>
      </c>
      <c r="L11">
        <v>5.4960550000000001</v>
      </c>
      <c r="M11">
        <v>0.40162900000000001</v>
      </c>
      <c r="N11">
        <v>4.5627440000000004</v>
      </c>
      <c r="O11">
        <v>0.33720600000000001</v>
      </c>
      <c r="P11" t="s">
        <v>101</v>
      </c>
    </row>
    <row r="12" spans="1:16" x14ac:dyDescent="0.6">
      <c r="A12">
        <v>5</v>
      </c>
      <c r="B12" t="s">
        <v>99</v>
      </c>
      <c r="C12" t="s">
        <v>93</v>
      </c>
      <c r="D12" t="str">
        <f>"3."&amp;C12</f>
        <v>3.Macro + Sentiment</v>
      </c>
      <c r="E12">
        <v>1</v>
      </c>
      <c r="F12" t="s">
        <v>126</v>
      </c>
      <c r="G12">
        <v>8.7163679999999992</v>
      </c>
      <c r="H12">
        <v>6.9471379999999998</v>
      </c>
      <c r="I12">
        <v>0.53001200000000004</v>
      </c>
      <c r="J12">
        <v>7.1286649999999998</v>
      </c>
      <c r="K12">
        <v>0.281065693167936</v>
      </c>
      <c r="L12" s="13">
        <v>5.6277566557948999</v>
      </c>
      <c r="M12" s="13">
        <v>0.41086201470158601</v>
      </c>
      <c r="N12">
        <v>4.9595947265625</v>
      </c>
      <c r="O12" s="13">
        <v>0.35968189239605097</v>
      </c>
      <c r="P12" t="s">
        <v>101</v>
      </c>
    </row>
    <row r="13" spans="1:16" x14ac:dyDescent="0.6">
      <c r="A13">
        <v>5</v>
      </c>
      <c r="B13" t="s">
        <v>99</v>
      </c>
      <c r="C13" t="s">
        <v>96</v>
      </c>
      <c r="D13" t="str">
        <f>"4."&amp;C13</f>
        <v>4.ALL</v>
      </c>
      <c r="E13">
        <v>1</v>
      </c>
      <c r="F13" t="s">
        <v>134</v>
      </c>
      <c r="G13">
        <v>8.6954879999999992</v>
      </c>
      <c r="H13">
        <v>6.9672080000000003</v>
      </c>
      <c r="I13">
        <v>0.53156199999999998</v>
      </c>
      <c r="J13">
        <v>7.1667379999999996</v>
      </c>
      <c r="K13">
        <v>0.25519712707174297</v>
      </c>
      <c r="L13" s="13">
        <v>5.3747569896556699</v>
      </c>
      <c r="M13" s="13">
        <v>0.39338314687199699</v>
      </c>
      <c r="N13">
        <v>4.52496337890625</v>
      </c>
      <c r="O13">
        <v>0.32217329668037997</v>
      </c>
      <c r="P13" t="s">
        <v>95</v>
      </c>
    </row>
    <row r="14" spans="1:16" x14ac:dyDescent="0.6">
      <c r="A14">
        <v>5</v>
      </c>
      <c r="B14" t="s">
        <v>108</v>
      </c>
      <c r="C14" t="s">
        <v>8</v>
      </c>
      <c r="D14" t="str">
        <f>"1."&amp;C14</f>
        <v>1.Macro Only</v>
      </c>
      <c r="E14">
        <v>1</v>
      </c>
      <c r="F14" t="s">
        <v>132</v>
      </c>
      <c r="G14">
        <v>8.6862169999999992</v>
      </c>
      <c r="H14">
        <v>7.0010690000000002</v>
      </c>
      <c r="I14">
        <v>0.53403500000000004</v>
      </c>
      <c r="J14">
        <v>7.1601179999999998</v>
      </c>
      <c r="K14">
        <v>0.29974140145656802</v>
      </c>
      <c r="L14" s="13">
        <v>5.6596484163622804</v>
      </c>
      <c r="M14" s="13">
        <v>0.41482800306756601</v>
      </c>
      <c r="N14">
        <v>4.5623779296875</v>
      </c>
      <c r="O14" s="13">
        <v>0.33639218466642101</v>
      </c>
      <c r="P14" t="s">
        <v>95</v>
      </c>
    </row>
    <row r="15" spans="1:16" x14ac:dyDescent="0.6">
      <c r="A15">
        <v>5</v>
      </c>
      <c r="B15" t="s">
        <v>108</v>
      </c>
      <c r="C15" t="s">
        <v>9</v>
      </c>
      <c r="D15" t="str">
        <f>"2."&amp;C15</f>
        <v>2.Macro + Event</v>
      </c>
      <c r="E15">
        <v>1</v>
      </c>
      <c r="F15" t="s">
        <v>141</v>
      </c>
      <c r="G15">
        <v>8.7029510000000005</v>
      </c>
      <c r="H15">
        <v>6.9362820000000003</v>
      </c>
      <c r="I15">
        <v>0.52915000000000001</v>
      </c>
      <c r="J15">
        <v>7.2173910000000001</v>
      </c>
      <c r="K15">
        <v>0.27202697693296696</v>
      </c>
      <c r="L15" s="13">
        <v>5.5489361518252203</v>
      </c>
      <c r="M15" s="13">
        <v>0.40615376344681398</v>
      </c>
      <c r="N15">
        <v>4.69781494140625</v>
      </c>
      <c r="O15" s="13">
        <v>0.34369776764759602</v>
      </c>
      <c r="P15" t="s">
        <v>95</v>
      </c>
    </row>
    <row r="16" spans="1:16" x14ac:dyDescent="0.6">
      <c r="A16">
        <v>5</v>
      </c>
      <c r="B16" t="s">
        <v>108</v>
      </c>
      <c r="C16" t="s">
        <v>93</v>
      </c>
      <c r="D16" t="str">
        <f>"3."&amp;C16</f>
        <v>3.Macro + Sentiment</v>
      </c>
      <c r="E16">
        <v>1</v>
      </c>
      <c r="F16" t="s">
        <v>166</v>
      </c>
      <c r="G16">
        <v>8.7276670000000003</v>
      </c>
      <c r="H16">
        <v>6.9826040000000003</v>
      </c>
      <c r="I16">
        <v>0.53261700000000001</v>
      </c>
      <c r="J16">
        <v>7.3812639999999998</v>
      </c>
      <c r="K16">
        <v>0.28222178417118104</v>
      </c>
      <c r="L16" s="13">
        <v>5.5637089977525598</v>
      </c>
      <c r="M16" s="13">
        <v>0.40512325639341601</v>
      </c>
      <c r="N16">
        <v>4.3341064453125</v>
      </c>
      <c r="O16" s="13">
        <v>0.31378042266703698</v>
      </c>
      <c r="P16" t="s">
        <v>128</v>
      </c>
    </row>
    <row r="17" spans="1:16" x14ac:dyDescent="0.6">
      <c r="A17">
        <v>5</v>
      </c>
      <c r="B17" t="s">
        <v>108</v>
      </c>
      <c r="C17" t="s">
        <v>96</v>
      </c>
      <c r="D17" t="str">
        <f>"4."&amp;C17</f>
        <v>4.ALL</v>
      </c>
      <c r="E17">
        <v>1</v>
      </c>
      <c r="F17" t="s">
        <v>194</v>
      </c>
      <c r="G17">
        <v>8.6918469999999992</v>
      </c>
      <c r="H17">
        <v>6.9637180000000001</v>
      </c>
      <c r="I17">
        <v>0.53137299999999998</v>
      </c>
      <c r="J17">
        <v>7.2023380000000001</v>
      </c>
      <c r="K17">
        <v>0.25781232054696102</v>
      </c>
      <c r="L17" s="13">
        <v>5.3343183729383599</v>
      </c>
      <c r="M17" s="13">
        <v>0.390580985948002</v>
      </c>
      <c r="N17">
        <v>4.38385009765625</v>
      </c>
      <c r="O17">
        <v>0.31687311333132101</v>
      </c>
      <c r="P17" t="s">
        <v>95</v>
      </c>
    </row>
    <row r="18" spans="1:16" x14ac:dyDescent="0.6">
      <c r="A18">
        <v>10</v>
      </c>
      <c r="B18" t="s">
        <v>7</v>
      </c>
      <c r="C18" t="s">
        <v>8</v>
      </c>
      <c r="D18" t="str">
        <f>"1."&amp;C18</f>
        <v>1.Macro Only</v>
      </c>
      <c r="E18">
        <v>1</v>
      </c>
      <c r="F18" t="s">
        <v>148</v>
      </c>
      <c r="G18" s="13">
        <v>8.7002373541890794</v>
      </c>
      <c r="H18">
        <v>6.9711880460943396</v>
      </c>
      <c r="I18" s="13">
        <v>0.53148353868904796</v>
      </c>
      <c r="J18" s="13">
        <v>7.2635887135389696</v>
      </c>
      <c r="K18">
        <v>0.30341223214458801</v>
      </c>
      <c r="L18" s="13">
        <v>5.7743017023259897</v>
      </c>
      <c r="M18">
        <v>0.421312826030042</v>
      </c>
      <c r="N18">
        <v>4.69329833984375</v>
      </c>
      <c r="O18" s="13">
        <v>0.342182534395848</v>
      </c>
      <c r="P18" t="s">
        <v>152</v>
      </c>
    </row>
    <row r="19" spans="1:16" x14ac:dyDescent="0.6">
      <c r="A19">
        <v>10</v>
      </c>
      <c r="B19" t="s">
        <v>7</v>
      </c>
      <c r="C19" t="s">
        <v>9</v>
      </c>
      <c r="D19" t="str">
        <f>"2."&amp;C19</f>
        <v>2.Macro + Event</v>
      </c>
      <c r="E19">
        <v>1</v>
      </c>
      <c r="F19" t="s">
        <v>133</v>
      </c>
      <c r="G19" s="13">
        <v>8.6998498845051593</v>
      </c>
      <c r="H19" s="13">
        <v>6.9260883129919604</v>
      </c>
      <c r="I19" s="13">
        <v>0.528211974005666</v>
      </c>
      <c r="J19" s="13">
        <v>7.1650203889964903</v>
      </c>
      <c r="K19">
        <v>0.2742</v>
      </c>
      <c r="L19">
        <v>5.4943720000000003</v>
      </c>
      <c r="M19">
        <v>0.402252</v>
      </c>
      <c r="N19">
        <v>4.7616579999999997</v>
      </c>
      <c r="O19">
        <v>0.35395199999999999</v>
      </c>
      <c r="P19" t="s">
        <v>95</v>
      </c>
    </row>
    <row r="20" spans="1:16" x14ac:dyDescent="0.6">
      <c r="A20">
        <v>10</v>
      </c>
      <c r="B20" t="s">
        <v>7</v>
      </c>
      <c r="C20" t="s">
        <v>93</v>
      </c>
      <c r="D20" t="str">
        <f>"3."&amp;C20</f>
        <v>3.Macro + Sentiment</v>
      </c>
      <c r="E20">
        <v>1</v>
      </c>
      <c r="F20" t="s">
        <v>125</v>
      </c>
      <c r="G20" s="13">
        <v>8.7510526967028408</v>
      </c>
      <c r="H20">
        <v>7.0463331633923101</v>
      </c>
      <c r="I20" s="13">
        <v>0.53728140356800802</v>
      </c>
      <c r="J20">
        <v>7.12726758717778</v>
      </c>
      <c r="K20">
        <v>0.28720000000000001</v>
      </c>
      <c r="L20">
        <v>5.5767559999999996</v>
      </c>
      <c r="M20">
        <v>0.40916400000000003</v>
      </c>
      <c r="N20">
        <v>4.4080810000000001</v>
      </c>
      <c r="O20">
        <v>0.32418999999999998</v>
      </c>
      <c r="P20" t="s">
        <v>95</v>
      </c>
    </row>
    <row r="21" spans="1:16" x14ac:dyDescent="0.6">
      <c r="A21">
        <v>10</v>
      </c>
      <c r="B21" t="s">
        <v>7</v>
      </c>
      <c r="C21" t="s">
        <v>96</v>
      </c>
      <c r="D21" t="str">
        <f>"4."&amp;C21</f>
        <v>4.ALL</v>
      </c>
      <c r="E21">
        <v>1</v>
      </c>
      <c r="F21" t="s">
        <v>153</v>
      </c>
      <c r="G21" s="13">
        <v>8.7763590978722608</v>
      </c>
      <c r="H21">
        <v>7.0493457961046504</v>
      </c>
      <c r="I21" s="13">
        <v>0.53751972651799895</v>
      </c>
      <c r="J21">
        <v>7.2876127684860004</v>
      </c>
      <c r="K21">
        <v>0.26189999999999997</v>
      </c>
      <c r="L21">
        <v>5.434768</v>
      </c>
      <c r="M21">
        <v>0.39750799999999997</v>
      </c>
      <c r="N21">
        <v>4.5741579999999997</v>
      </c>
      <c r="O21">
        <v>0.33750200000000002</v>
      </c>
      <c r="P21" t="s">
        <v>95</v>
      </c>
    </row>
    <row r="22" spans="1:16" x14ac:dyDescent="0.6">
      <c r="A22">
        <v>10</v>
      </c>
      <c r="B22" t="s">
        <v>10</v>
      </c>
      <c r="C22" t="s">
        <v>8</v>
      </c>
      <c r="D22" t="str">
        <f>"1."&amp;C22</f>
        <v>1.Macro Only</v>
      </c>
      <c r="E22">
        <v>1</v>
      </c>
      <c r="F22" t="s">
        <v>136</v>
      </c>
      <c r="G22" s="13">
        <v>8.7049245325305602</v>
      </c>
      <c r="H22" s="13">
        <v>6.9094022632903798</v>
      </c>
      <c r="I22" s="13">
        <v>0.52690443855720204</v>
      </c>
      <c r="J22" s="13">
        <v>7.1804869378807403</v>
      </c>
      <c r="K22">
        <v>0.2999</v>
      </c>
      <c r="L22">
        <v>5.7498740000000002</v>
      </c>
      <c r="M22">
        <v>0.41781299999999999</v>
      </c>
      <c r="N22">
        <v>4.9365839999999999</v>
      </c>
      <c r="O22">
        <v>0.35901300000000003</v>
      </c>
      <c r="P22" t="s">
        <v>128</v>
      </c>
    </row>
    <row r="23" spans="1:16" x14ac:dyDescent="0.6">
      <c r="A23">
        <v>10</v>
      </c>
      <c r="B23" t="s">
        <v>10</v>
      </c>
      <c r="C23" t="s">
        <v>9</v>
      </c>
      <c r="D23" t="str">
        <f>"2."&amp;C23</f>
        <v>2.Macro + Event</v>
      </c>
      <c r="E23">
        <v>1</v>
      </c>
      <c r="F23" t="s">
        <v>180</v>
      </c>
      <c r="G23" s="13">
        <v>8.7932978914653397</v>
      </c>
      <c r="H23">
        <v>6.9862463305259004</v>
      </c>
      <c r="I23" s="13">
        <v>0.53310595664150895</v>
      </c>
      <c r="J23" s="13">
        <v>7.5700876998084103</v>
      </c>
      <c r="K23">
        <v>0.27659999999999996</v>
      </c>
      <c r="L23">
        <v>5.4203900000000003</v>
      </c>
      <c r="M23">
        <v>0.397868</v>
      </c>
      <c r="N23">
        <v>4.642944</v>
      </c>
      <c r="O23">
        <v>0.33465699999999998</v>
      </c>
      <c r="P23" t="s">
        <v>95</v>
      </c>
    </row>
    <row r="24" spans="1:16" x14ac:dyDescent="0.6">
      <c r="A24">
        <v>10</v>
      </c>
      <c r="B24" t="s">
        <v>10</v>
      </c>
      <c r="C24" t="s">
        <v>93</v>
      </c>
      <c r="D24" t="str">
        <f>"3."&amp;C24</f>
        <v>3.Macro + Sentiment</v>
      </c>
      <c r="E24">
        <v>1</v>
      </c>
      <c r="F24" t="s">
        <v>106</v>
      </c>
      <c r="G24" s="13">
        <v>8.8035537469052798</v>
      </c>
      <c r="H24" s="13">
        <v>7.0949205309377303</v>
      </c>
      <c r="I24" s="13">
        <v>0.54150261559254398</v>
      </c>
      <c r="J24" s="13">
        <v>7.0142449105703699</v>
      </c>
      <c r="K24">
        <v>0.28189999999999998</v>
      </c>
      <c r="L24">
        <v>5.5962430000000003</v>
      </c>
      <c r="M24">
        <v>0.40754000000000001</v>
      </c>
      <c r="N24">
        <v>4.4950559999999999</v>
      </c>
      <c r="O24">
        <v>0.33418700000000001</v>
      </c>
      <c r="P24" t="s">
        <v>152</v>
      </c>
    </row>
    <row r="25" spans="1:16" x14ac:dyDescent="0.6">
      <c r="A25">
        <v>10</v>
      </c>
      <c r="B25" t="s">
        <v>10</v>
      </c>
      <c r="C25" t="s">
        <v>96</v>
      </c>
      <c r="D25" t="str">
        <f>"4."&amp;C25</f>
        <v>4.ALL</v>
      </c>
      <c r="E25">
        <v>1</v>
      </c>
      <c r="F25" t="s">
        <v>188</v>
      </c>
      <c r="G25" s="13">
        <v>8.9380137615631607</v>
      </c>
      <c r="H25" s="13">
        <v>7.1640197155522296</v>
      </c>
      <c r="I25" s="13">
        <v>0.54658692543370901</v>
      </c>
      <c r="J25" s="13">
        <v>7.8786325896825096</v>
      </c>
      <c r="K25">
        <v>0.26266763540183202</v>
      </c>
      <c r="L25" s="13">
        <v>5.3779223406756298</v>
      </c>
      <c r="M25" s="13">
        <v>0.39357667406389801</v>
      </c>
      <c r="N25">
        <v>4.82080078125</v>
      </c>
      <c r="O25" s="13">
        <v>0.35856878623634098</v>
      </c>
      <c r="P25" t="s">
        <v>95</v>
      </c>
    </row>
    <row r="26" spans="1:16" x14ac:dyDescent="0.6">
      <c r="A26">
        <v>10</v>
      </c>
      <c r="B26" t="s">
        <v>99</v>
      </c>
      <c r="C26" t="s">
        <v>8</v>
      </c>
      <c r="D26" t="str">
        <f>"1."&amp;C26</f>
        <v>1.Macro Only</v>
      </c>
      <c r="E26">
        <v>1</v>
      </c>
      <c r="F26" t="s">
        <v>123</v>
      </c>
      <c r="G26">
        <v>8.69163</v>
      </c>
      <c r="H26">
        <v>6.9685360000000003</v>
      </c>
      <c r="I26">
        <v>0.53141499999999997</v>
      </c>
      <c r="J26">
        <v>7.1164800000000001</v>
      </c>
      <c r="K26">
        <v>0.30258052650601697</v>
      </c>
      <c r="L26" s="13">
        <v>5.7225223888050403</v>
      </c>
      <c r="M26" s="13">
        <v>0.417181750445344</v>
      </c>
      <c r="N26">
        <v>4.81048583984375</v>
      </c>
      <c r="O26" s="13">
        <v>0.34794145670430998</v>
      </c>
      <c r="P26" t="s">
        <v>152</v>
      </c>
    </row>
    <row r="27" spans="1:16" x14ac:dyDescent="0.6">
      <c r="A27">
        <v>10</v>
      </c>
      <c r="B27" t="s">
        <v>99</v>
      </c>
      <c r="C27" t="s">
        <v>9</v>
      </c>
      <c r="D27" t="str">
        <f>"2."&amp;C27</f>
        <v>2.Macro + Event</v>
      </c>
      <c r="E27">
        <v>1</v>
      </c>
      <c r="F27" t="s">
        <v>117</v>
      </c>
      <c r="G27">
        <v>8.6712380000000007</v>
      </c>
      <c r="H27">
        <v>6.9364549999999996</v>
      </c>
      <c r="I27">
        <v>0.52906200000000003</v>
      </c>
      <c r="J27">
        <v>7.0868869999999999</v>
      </c>
      <c r="K27">
        <v>0.27160000000000001</v>
      </c>
      <c r="L27">
        <v>5.4568960000000004</v>
      </c>
      <c r="M27">
        <v>0.397374</v>
      </c>
      <c r="N27">
        <v>4.4688720000000002</v>
      </c>
      <c r="O27">
        <v>0.32714700000000002</v>
      </c>
      <c r="P27" t="s">
        <v>128</v>
      </c>
    </row>
    <row r="28" spans="1:16" x14ac:dyDescent="0.6">
      <c r="A28">
        <v>10</v>
      </c>
      <c r="B28" t="s">
        <v>99</v>
      </c>
      <c r="C28" t="s">
        <v>93</v>
      </c>
      <c r="D28" t="str">
        <f>"3."&amp;C28</f>
        <v>3.Macro + Sentiment</v>
      </c>
      <c r="E28">
        <v>1</v>
      </c>
      <c r="F28" t="s">
        <v>130</v>
      </c>
      <c r="G28">
        <v>8.7073999999999998</v>
      </c>
      <c r="H28">
        <v>6.9808899999999996</v>
      </c>
      <c r="I28">
        <v>0.53244000000000002</v>
      </c>
      <c r="J28">
        <v>7.1488699999999996</v>
      </c>
      <c r="K28">
        <v>0.28401633670786602</v>
      </c>
      <c r="L28" s="13">
        <v>5.6872961544296103</v>
      </c>
      <c r="M28">
        <v>0.41507311278542303</v>
      </c>
      <c r="N28">
        <v>4.5816650390625</v>
      </c>
      <c r="O28" s="13">
        <v>0.33531632982638598</v>
      </c>
      <c r="P28" t="s">
        <v>101</v>
      </c>
    </row>
    <row r="29" spans="1:16" x14ac:dyDescent="0.6">
      <c r="A29">
        <v>10</v>
      </c>
      <c r="B29" t="s">
        <v>99</v>
      </c>
      <c r="C29" t="s">
        <v>96</v>
      </c>
      <c r="D29" t="str">
        <f>"4."&amp;C29</f>
        <v>4.ALL</v>
      </c>
      <c r="E29">
        <v>1</v>
      </c>
      <c r="F29" t="s">
        <v>115</v>
      </c>
      <c r="G29">
        <v>8.7466059999999999</v>
      </c>
      <c r="H29">
        <v>7.0144960000000003</v>
      </c>
      <c r="I29">
        <v>0.53488500000000005</v>
      </c>
      <c r="J29">
        <v>7.0831780000000002</v>
      </c>
      <c r="K29">
        <v>0.26180000000000003</v>
      </c>
      <c r="L29">
        <v>5.4186059999999996</v>
      </c>
      <c r="M29">
        <v>0.39645900000000001</v>
      </c>
      <c r="N29">
        <v>4.3173830000000004</v>
      </c>
      <c r="O29">
        <v>0.32121499999999997</v>
      </c>
      <c r="P29" t="s">
        <v>95</v>
      </c>
    </row>
    <row r="30" spans="1:16" x14ac:dyDescent="0.6">
      <c r="A30">
        <v>10</v>
      </c>
      <c r="B30" t="s">
        <v>108</v>
      </c>
      <c r="C30" t="s">
        <v>8</v>
      </c>
      <c r="D30" t="str">
        <f>"1."&amp;C30</f>
        <v>1.Macro Only</v>
      </c>
      <c r="E30">
        <v>1</v>
      </c>
      <c r="F30" t="s">
        <v>154</v>
      </c>
      <c r="G30">
        <v>8.6307679999999998</v>
      </c>
      <c r="H30">
        <v>6.9221069999999996</v>
      </c>
      <c r="I30">
        <v>0.527922</v>
      </c>
      <c r="J30">
        <v>7.2915239999999999</v>
      </c>
      <c r="K30">
        <v>0.30560981843080198</v>
      </c>
      <c r="L30" s="13">
        <v>5.7484637173739301</v>
      </c>
      <c r="M30" s="13">
        <v>0.41920186875356302</v>
      </c>
      <c r="N30">
        <v>4.50982666015625</v>
      </c>
      <c r="O30">
        <v>0.32744125759083598</v>
      </c>
      <c r="P30" t="s">
        <v>152</v>
      </c>
    </row>
    <row r="31" spans="1:16" x14ac:dyDescent="0.6">
      <c r="A31">
        <v>10</v>
      </c>
      <c r="B31" t="s">
        <v>108</v>
      </c>
      <c r="C31" t="s">
        <v>9</v>
      </c>
      <c r="D31" t="str">
        <f>"2."&amp;C31</f>
        <v>2.Macro + Event</v>
      </c>
      <c r="E31">
        <v>1</v>
      </c>
      <c r="F31" t="s">
        <v>121</v>
      </c>
      <c r="G31">
        <v>8.6456389999999992</v>
      </c>
      <c r="H31">
        <v>6.8323669999999996</v>
      </c>
      <c r="I31">
        <v>0.52072099999999999</v>
      </c>
      <c r="J31">
        <v>7.1114889999999997</v>
      </c>
      <c r="K31">
        <v>0.27593425972084501</v>
      </c>
      <c r="L31" s="13">
        <v>5.3940382127637898</v>
      </c>
      <c r="M31" s="13">
        <v>0.39588277358062901</v>
      </c>
      <c r="N31">
        <v>4.6175537109375</v>
      </c>
      <c r="O31" s="13">
        <v>0.338844693192139</v>
      </c>
      <c r="P31" t="s">
        <v>95</v>
      </c>
    </row>
    <row r="32" spans="1:16" x14ac:dyDescent="0.6">
      <c r="A32">
        <v>10</v>
      </c>
      <c r="B32" t="s">
        <v>108</v>
      </c>
      <c r="C32" t="s">
        <v>93</v>
      </c>
      <c r="D32" t="str">
        <f>"3."&amp;C32</f>
        <v>3.Macro + Sentiment</v>
      </c>
      <c r="E32">
        <v>1</v>
      </c>
      <c r="F32" t="s">
        <v>119</v>
      </c>
      <c r="G32">
        <v>8.659948</v>
      </c>
      <c r="H32">
        <v>6.9043580000000002</v>
      </c>
      <c r="I32">
        <v>0.52632100000000004</v>
      </c>
      <c r="J32">
        <v>7.0888549999999997</v>
      </c>
      <c r="K32">
        <v>0.28487297967471198</v>
      </c>
      <c r="L32" s="13">
        <v>5.6469062197524797</v>
      </c>
      <c r="M32" s="13">
        <v>0.41345179830305501</v>
      </c>
      <c r="N32">
        <v>4.73565673828125</v>
      </c>
      <c r="O32" s="13">
        <v>0.34955737827894601</v>
      </c>
      <c r="P32" t="s">
        <v>95</v>
      </c>
    </row>
    <row r="33" spans="1:16" x14ac:dyDescent="0.6">
      <c r="A33">
        <v>10</v>
      </c>
      <c r="B33" t="s">
        <v>108</v>
      </c>
      <c r="C33" t="s">
        <v>96</v>
      </c>
      <c r="D33" t="str">
        <f>"4."&amp;C33</f>
        <v>4.ALL</v>
      </c>
      <c r="E33">
        <v>1</v>
      </c>
      <c r="F33" t="s">
        <v>112</v>
      </c>
      <c r="G33">
        <v>8.7135820000000006</v>
      </c>
      <c r="H33">
        <v>7.0103419999999996</v>
      </c>
      <c r="I33">
        <v>0.53457200000000005</v>
      </c>
      <c r="J33">
        <v>7.0696479999999999</v>
      </c>
      <c r="K33">
        <v>0.26048837702643801</v>
      </c>
      <c r="L33" s="13">
        <v>5.3544643365063704</v>
      </c>
      <c r="M33" s="13">
        <v>0.39158716586970299</v>
      </c>
      <c r="N33">
        <v>4.52813720703125</v>
      </c>
      <c r="O33" s="13">
        <v>0.33064387364049003</v>
      </c>
      <c r="P33" t="s">
        <v>101</v>
      </c>
    </row>
    <row r="34" spans="1:16" x14ac:dyDescent="0.6">
      <c r="A34">
        <v>20</v>
      </c>
      <c r="B34" t="s">
        <v>7</v>
      </c>
      <c r="C34" t="s">
        <v>8</v>
      </c>
      <c r="D34" t="str">
        <f>"1."&amp;C34</f>
        <v>1.Macro Only</v>
      </c>
      <c r="E34">
        <v>1</v>
      </c>
      <c r="F34" t="s">
        <v>98</v>
      </c>
      <c r="G34">
        <v>8.7130313918846696</v>
      </c>
      <c r="H34" s="13">
        <v>6.9552887626316204</v>
      </c>
      <c r="I34" s="13">
        <v>0.53077105769889898</v>
      </c>
      <c r="J34" s="13">
        <v>6.9281274884322803</v>
      </c>
      <c r="K34">
        <v>0.30700049499795001</v>
      </c>
      <c r="L34" s="13">
        <v>5.8563513291620497</v>
      </c>
      <c r="M34" s="13">
        <v>0.42847433538913698</v>
      </c>
      <c r="N34">
        <v>4.71337890625</v>
      </c>
      <c r="O34" s="13">
        <v>0.34797289463790698</v>
      </c>
      <c r="P34" t="s">
        <v>95</v>
      </c>
    </row>
    <row r="35" spans="1:16" x14ac:dyDescent="0.6">
      <c r="A35">
        <v>20</v>
      </c>
      <c r="B35" t="s">
        <v>7</v>
      </c>
      <c r="C35" t="s">
        <v>9</v>
      </c>
      <c r="D35" t="str">
        <f>"2."&amp;C35</f>
        <v>2.Macro + Event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>
        <v>0.27739999999999998</v>
      </c>
      <c r="L35">
        <v>5.4543119999999998</v>
      </c>
      <c r="M35">
        <v>0.400171</v>
      </c>
      <c r="N35">
        <v>4.3620609999999997</v>
      </c>
      <c r="O35">
        <v>0.32153599999999999</v>
      </c>
      <c r="P35" t="s">
        <v>95</v>
      </c>
    </row>
    <row r="36" spans="1:16" x14ac:dyDescent="0.6">
      <c r="A36">
        <v>20</v>
      </c>
      <c r="B36" t="s">
        <v>7</v>
      </c>
      <c r="C36" t="s">
        <v>93</v>
      </c>
      <c r="D36" t="str">
        <f>"3."&amp;C36</f>
        <v>3.Macro + Sentiment</v>
      </c>
      <c r="E36">
        <v>1</v>
      </c>
      <c r="F36" t="s">
        <v>94</v>
      </c>
      <c r="G36" s="13">
        <v>8.6783813515881096</v>
      </c>
      <c r="H36" s="13">
        <v>6.9783926571116703</v>
      </c>
      <c r="I36" s="13">
        <v>0.53238123502110701</v>
      </c>
      <c r="J36" s="13">
        <v>6.8881908498624496</v>
      </c>
      <c r="K36">
        <v>0.2848</v>
      </c>
      <c r="L36">
        <v>5.629149</v>
      </c>
      <c r="M36">
        <v>0.40935500000000002</v>
      </c>
      <c r="N36">
        <v>4.5522460000000002</v>
      </c>
      <c r="O36">
        <v>0.33660400000000001</v>
      </c>
      <c r="P36" t="s">
        <v>128</v>
      </c>
    </row>
    <row r="37" spans="1:16" x14ac:dyDescent="0.6">
      <c r="A37">
        <v>20</v>
      </c>
      <c r="B37" t="s">
        <v>7</v>
      </c>
      <c r="C37" t="s">
        <v>96</v>
      </c>
      <c r="D37" t="str">
        <f>"4."&amp;C37</f>
        <v>4.ALL</v>
      </c>
      <c r="E37">
        <v>1</v>
      </c>
      <c r="F37" t="s">
        <v>97</v>
      </c>
      <c r="G37" s="13">
        <v>8.7098256545445594</v>
      </c>
      <c r="H37" s="13">
        <v>7.0671367011106803</v>
      </c>
      <c r="I37" s="13">
        <v>0.53908413282116197</v>
      </c>
      <c r="J37" s="13">
        <v>6.9015758180726801</v>
      </c>
      <c r="K37">
        <v>0.26525875391023002</v>
      </c>
      <c r="L37" s="13">
        <v>5.3826164313122202</v>
      </c>
      <c r="M37" s="13">
        <v>0.394732501653973</v>
      </c>
      <c r="N37">
        <v>4.49322509765625</v>
      </c>
      <c r="O37" s="13">
        <v>0.33505722785023201</v>
      </c>
      <c r="P37" t="s">
        <v>95</v>
      </c>
    </row>
    <row r="38" spans="1:16" x14ac:dyDescent="0.6">
      <c r="A38">
        <v>20</v>
      </c>
      <c r="B38" t="s">
        <v>10</v>
      </c>
      <c r="C38" t="s">
        <v>8</v>
      </c>
      <c r="D38" t="str">
        <f>"1."&amp;C38</f>
        <v>1.Macro Only</v>
      </c>
      <c r="E38">
        <v>1</v>
      </c>
      <c r="F38" t="s">
        <v>145</v>
      </c>
      <c r="G38" s="13">
        <v>8.7757982914965407</v>
      </c>
      <c r="H38" s="13">
        <v>7.0594505251520996</v>
      </c>
      <c r="I38" s="13">
        <v>0.53841825360541395</v>
      </c>
      <c r="J38">
        <v>7.2321264129907004</v>
      </c>
      <c r="K38">
        <v>0.30891904762220601</v>
      </c>
      <c r="L38" s="13">
        <v>5.89081877180673</v>
      </c>
      <c r="M38" s="13">
        <v>0.429472085769944</v>
      </c>
      <c r="N38">
        <v>4.89654541015625</v>
      </c>
      <c r="O38" s="13">
        <v>0.36789645511561497</v>
      </c>
      <c r="P38" t="s">
        <v>101</v>
      </c>
    </row>
    <row r="39" spans="1:16" x14ac:dyDescent="0.6">
      <c r="A39">
        <v>20</v>
      </c>
      <c r="B39" t="s">
        <v>10</v>
      </c>
      <c r="C39" t="s">
        <v>9</v>
      </c>
      <c r="D39" t="str">
        <f>"2."&amp;C39</f>
        <v>2.Macro + Event</v>
      </c>
      <c r="E39">
        <v>1</v>
      </c>
      <c r="F39" t="s">
        <v>105</v>
      </c>
      <c r="G39" s="13">
        <v>8.6669084631691398</v>
      </c>
      <c r="H39" s="13">
        <v>6.9536505306468204</v>
      </c>
      <c r="I39" s="13">
        <v>0.53038521894520296</v>
      </c>
      <c r="J39" s="13">
        <v>6.9988769277651004</v>
      </c>
      <c r="K39">
        <v>0.27673687531393298</v>
      </c>
      <c r="L39" s="13">
        <v>5.4374060166620497</v>
      </c>
      <c r="M39" s="13">
        <v>0.39856606711291298</v>
      </c>
      <c r="N39">
        <v>4.5518798828125</v>
      </c>
      <c r="O39" s="13">
        <v>0.340928896822143</v>
      </c>
      <c r="P39" t="s">
        <v>95</v>
      </c>
    </row>
    <row r="40" spans="1:16" x14ac:dyDescent="0.6">
      <c r="A40">
        <v>20</v>
      </c>
      <c r="B40" t="s">
        <v>10</v>
      </c>
      <c r="C40" t="s">
        <v>93</v>
      </c>
      <c r="D40" t="str">
        <f>"3."&amp;C40</f>
        <v>3.Macro + Sentiment</v>
      </c>
      <c r="E40">
        <v>1</v>
      </c>
      <c r="F40" t="s">
        <v>193</v>
      </c>
      <c r="G40" s="13">
        <v>8.6495056021726295</v>
      </c>
      <c r="H40" s="13">
        <v>6.9748476033320497</v>
      </c>
      <c r="I40" s="13">
        <v>0.53231565016327698</v>
      </c>
      <c r="J40" s="13">
        <v>8.5862845011260003</v>
      </c>
      <c r="K40">
        <v>0.28613758622900298</v>
      </c>
      <c r="L40" s="13">
        <v>5.6326327389233697</v>
      </c>
      <c r="M40" s="13">
        <v>0.40964829381471402</v>
      </c>
      <c r="N40">
        <v>4.36944580078125</v>
      </c>
      <c r="O40" s="13">
        <v>0.31713756380722002</v>
      </c>
      <c r="P40" t="s">
        <v>128</v>
      </c>
    </row>
    <row r="41" spans="1:16" x14ac:dyDescent="0.6">
      <c r="A41">
        <v>20</v>
      </c>
      <c r="B41" t="s">
        <v>10</v>
      </c>
      <c r="C41" t="s">
        <v>96</v>
      </c>
      <c r="D41" t="str">
        <f>"4."&amp;C41</f>
        <v>4.ALL</v>
      </c>
      <c r="E41">
        <v>1</v>
      </c>
      <c r="F41" t="s">
        <v>168</v>
      </c>
      <c r="G41" s="13">
        <v>8.8739346136558197</v>
      </c>
      <c r="H41" s="13">
        <v>7.1076314004180903</v>
      </c>
      <c r="I41" s="13">
        <v>0.54234329760458599</v>
      </c>
      <c r="J41">
        <v>7.4022666783059101</v>
      </c>
      <c r="K41">
        <v>0.26607777874826699</v>
      </c>
      <c r="L41" s="13">
        <v>5.5268981341019403</v>
      </c>
      <c r="M41" s="13">
        <v>0.40375467204619397</v>
      </c>
      <c r="N41">
        <v>4.767333984375</v>
      </c>
      <c r="O41">
        <v>0.34972680165453801</v>
      </c>
      <c r="P41" t="s">
        <v>101</v>
      </c>
    </row>
    <row r="42" spans="1:16" x14ac:dyDescent="0.6">
      <c r="A42">
        <v>20</v>
      </c>
      <c r="B42" t="s">
        <v>99</v>
      </c>
      <c r="C42" t="s">
        <v>8</v>
      </c>
      <c r="D42" t="str">
        <f>"1."&amp;C42</f>
        <v>1.Macro Only</v>
      </c>
      <c r="E42">
        <v>1</v>
      </c>
      <c r="F42" t="s">
        <v>104</v>
      </c>
      <c r="G42">
        <v>8.6380149999999993</v>
      </c>
      <c r="H42">
        <v>6.9175190000000004</v>
      </c>
      <c r="I42">
        <v>0.52787499999999998</v>
      </c>
      <c r="J42">
        <v>6.9952860000000001</v>
      </c>
      <c r="K42">
        <v>0.30849102457509403</v>
      </c>
      <c r="L42" s="13">
        <v>5.7968616224314999</v>
      </c>
      <c r="M42" s="13">
        <v>0.42226395848126103</v>
      </c>
      <c r="N42">
        <v>4.65606689453125</v>
      </c>
      <c r="O42">
        <v>0.34097527650461101</v>
      </c>
      <c r="P42" t="s">
        <v>128</v>
      </c>
    </row>
    <row r="43" spans="1:16" x14ac:dyDescent="0.6">
      <c r="A43">
        <v>20</v>
      </c>
      <c r="B43" t="s">
        <v>99</v>
      </c>
      <c r="C43" t="s">
        <v>9</v>
      </c>
      <c r="D43" t="str">
        <f>"2."&amp;C43</f>
        <v>2.Macro + Event</v>
      </c>
      <c r="E43">
        <v>1</v>
      </c>
      <c r="F43" t="s">
        <v>103</v>
      </c>
      <c r="G43">
        <v>8.6638490000000008</v>
      </c>
      <c r="H43">
        <v>6.9750420000000002</v>
      </c>
      <c r="I43">
        <v>0.53221399999999996</v>
      </c>
      <c r="J43">
        <v>6.9888719999999998</v>
      </c>
      <c r="K43">
        <v>0.2772</v>
      </c>
      <c r="L43">
        <v>5.4565830000000002</v>
      </c>
      <c r="M43">
        <v>0.40040500000000001</v>
      </c>
      <c r="N43">
        <v>4.5373539999999997</v>
      </c>
      <c r="O43">
        <v>0.32225999999999999</v>
      </c>
      <c r="P43" t="s">
        <v>95</v>
      </c>
    </row>
    <row r="44" spans="1:16" x14ac:dyDescent="0.6">
      <c r="A44">
        <v>20</v>
      </c>
      <c r="B44" t="s">
        <v>99</v>
      </c>
      <c r="C44" t="s">
        <v>93</v>
      </c>
      <c r="D44" t="str">
        <f>"3."&amp;C44</f>
        <v>3.Macro + Sentiment</v>
      </c>
      <c r="E44">
        <v>1</v>
      </c>
      <c r="F44" t="s">
        <v>116</v>
      </c>
      <c r="G44">
        <v>8.6972710000000006</v>
      </c>
      <c r="H44">
        <v>6.9969169999999998</v>
      </c>
      <c r="I44">
        <v>0.53404499999999999</v>
      </c>
      <c r="J44">
        <v>7.0836389999999998</v>
      </c>
      <c r="K44">
        <v>0.29046865405218203</v>
      </c>
      <c r="L44" s="13">
        <v>5.6081220618574097</v>
      </c>
      <c r="M44">
        <v>0.411520670803107</v>
      </c>
      <c r="N44">
        <v>4.8148193359375</v>
      </c>
      <c r="O44" s="13">
        <v>0.35828804138801001</v>
      </c>
      <c r="P44" t="s">
        <v>95</v>
      </c>
    </row>
    <row r="45" spans="1:16" x14ac:dyDescent="0.6">
      <c r="A45">
        <v>20</v>
      </c>
      <c r="B45" t="s">
        <v>99</v>
      </c>
      <c r="C45" t="s">
        <v>96</v>
      </c>
      <c r="D45" t="str">
        <f>"4."&amp;C45</f>
        <v>4.ALL</v>
      </c>
      <c r="E45">
        <v>1</v>
      </c>
      <c r="F45" t="s">
        <v>107</v>
      </c>
      <c r="G45">
        <v>8.6882070000000002</v>
      </c>
      <c r="H45">
        <v>6.9651059999999996</v>
      </c>
      <c r="I45">
        <v>0.53150699999999995</v>
      </c>
      <c r="J45">
        <v>7.0427470000000003</v>
      </c>
      <c r="K45">
        <v>0.26519999999999999</v>
      </c>
      <c r="L45">
        <v>5.4657520000000002</v>
      </c>
      <c r="M45">
        <v>0.39968100000000001</v>
      </c>
      <c r="N45">
        <v>4.5834960000000002</v>
      </c>
      <c r="O45">
        <v>0.338308</v>
      </c>
      <c r="P45" t="s">
        <v>95</v>
      </c>
    </row>
    <row r="46" spans="1:16" x14ac:dyDescent="0.6">
      <c r="A46">
        <v>20</v>
      </c>
      <c r="B46" t="s">
        <v>108</v>
      </c>
      <c r="C46" t="s">
        <v>8</v>
      </c>
      <c r="D46" t="str">
        <f>"1."&amp;C46</f>
        <v>1.Macro Only</v>
      </c>
      <c r="E46">
        <v>1</v>
      </c>
      <c r="F46" t="s">
        <v>111</v>
      </c>
      <c r="G46">
        <v>8.6930429999999994</v>
      </c>
      <c r="H46">
        <v>6.9213950000000004</v>
      </c>
      <c r="I46">
        <v>0.52815900000000005</v>
      </c>
      <c r="J46">
        <v>7.0688050000000002</v>
      </c>
      <c r="K46">
        <v>0.30664734052742898</v>
      </c>
      <c r="L46" s="13">
        <v>5.9513658497431496</v>
      </c>
      <c r="M46">
        <v>0.43191930452456301</v>
      </c>
      <c r="N46">
        <v>4.63812255859375</v>
      </c>
      <c r="O46" s="13">
        <v>0.33464390093780699</v>
      </c>
      <c r="P46" t="s">
        <v>128</v>
      </c>
    </row>
    <row r="47" spans="1:16" x14ac:dyDescent="0.6">
      <c r="A47">
        <v>20</v>
      </c>
      <c r="B47" t="s">
        <v>108</v>
      </c>
      <c r="C47" t="s">
        <v>9</v>
      </c>
      <c r="D47" t="str">
        <f>"2."&amp;C47</f>
        <v>2.Macro + Event</v>
      </c>
      <c r="E47">
        <v>1</v>
      </c>
      <c r="F47" t="s">
        <v>143</v>
      </c>
      <c r="G47">
        <v>8.7377050000000001</v>
      </c>
      <c r="H47">
        <v>6.9227350000000003</v>
      </c>
      <c r="I47">
        <v>0.528366</v>
      </c>
      <c r="J47">
        <v>7.224634</v>
      </c>
      <c r="K47">
        <v>0.27791071598327999</v>
      </c>
      <c r="L47" s="13">
        <v>5.4973658808955399</v>
      </c>
      <c r="M47" s="13">
        <v>0.402926704755806</v>
      </c>
      <c r="N47">
        <v>4.43603515625</v>
      </c>
      <c r="O47" s="13">
        <v>0.32673135791585201</v>
      </c>
      <c r="P47" t="s">
        <v>95</v>
      </c>
    </row>
    <row r="48" spans="1:16" x14ac:dyDescent="0.6">
      <c r="A48">
        <v>20</v>
      </c>
      <c r="B48" t="s">
        <v>108</v>
      </c>
      <c r="C48" t="s">
        <v>93</v>
      </c>
      <c r="D48" t="str">
        <f>"3."&amp;C48</f>
        <v>3.Macro + Sentiment</v>
      </c>
      <c r="E48">
        <v>1</v>
      </c>
      <c r="F48" t="s">
        <v>113</v>
      </c>
      <c r="G48">
        <v>8.6534899999999997</v>
      </c>
      <c r="H48">
        <v>7.0178289999999999</v>
      </c>
      <c r="I48">
        <v>0.53542100000000004</v>
      </c>
      <c r="J48">
        <v>7.072762</v>
      </c>
      <c r="K48">
        <v>0.29100392754160498</v>
      </c>
      <c r="L48" s="13">
        <v>5.5375347715435597</v>
      </c>
      <c r="M48" s="13">
        <v>0.40675142695829603</v>
      </c>
      <c r="N48">
        <v>4.356201171875</v>
      </c>
      <c r="O48" s="13">
        <v>0.32653469062791601</v>
      </c>
      <c r="P48" t="s">
        <v>95</v>
      </c>
    </row>
    <row r="49" spans="1:16" x14ac:dyDescent="0.6">
      <c r="A49">
        <v>20</v>
      </c>
      <c r="B49" t="s">
        <v>108</v>
      </c>
      <c r="C49" t="s">
        <v>96</v>
      </c>
      <c r="D49" t="str">
        <f>"4."&amp;C49</f>
        <v>4.ALL</v>
      </c>
      <c r="E49">
        <v>1</v>
      </c>
      <c r="F49" t="s">
        <v>109</v>
      </c>
      <c r="G49">
        <v>8.7090610000000002</v>
      </c>
      <c r="H49">
        <v>7.035984</v>
      </c>
      <c r="I49">
        <v>0.53685899999999998</v>
      </c>
      <c r="J49">
        <v>7.0516189999999996</v>
      </c>
      <c r="K49">
        <v>0.26629999999999998</v>
      </c>
      <c r="L49">
        <v>5.4507180000000002</v>
      </c>
      <c r="M49">
        <v>0.39877899999999999</v>
      </c>
      <c r="N49">
        <v>4.5579219999999996</v>
      </c>
      <c r="O49">
        <v>0.33674999999999999</v>
      </c>
      <c r="P49" t="s">
        <v>95</v>
      </c>
    </row>
    <row r="50" spans="1:16" x14ac:dyDescent="0.6">
      <c r="A50">
        <v>30</v>
      </c>
      <c r="B50" t="s">
        <v>7</v>
      </c>
      <c r="C50" t="s">
        <v>8</v>
      </c>
      <c r="D50" t="str">
        <f>"1."&amp;C50</f>
        <v>1.Macro Only</v>
      </c>
      <c r="E50">
        <v>1</v>
      </c>
      <c r="F50" t="s">
        <v>114</v>
      </c>
      <c r="G50" s="13">
        <v>8.8823086150320698</v>
      </c>
      <c r="H50" s="13">
        <v>7.1348947151254603</v>
      </c>
      <c r="I50" s="13">
        <v>0.54528725498835795</v>
      </c>
      <c r="J50" s="13">
        <v>7.0741044869479301</v>
      </c>
      <c r="K50">
        <v>0.30990582236091596</v>
      </c>
      <c r="L50" s="13">
        <v>5.8700829074807297</v>
      </c>
      <c r="M50" s="13">
        <v>0.42678540174651503</v>
      </c>
      <c r="N50">
        <v>4.2069091796875</v>
      </c>
      <c r="O50" s="13">
        <v>0.30388860369993198</v>
      </c>
      <c r="P50" t="s">
        <v>128</v>
      </c>
    </row>
    <row r="51" spans="1:16" x14ac:dyDescent="0.6">
      <c r="A51">
        <v>30</v>
      </c>
      <c r="B51" t="s">
        <v>7</v>
      </c>
      <c r="C51" t="s">
        <v>9</v>
      </c>
      <c r="D51" t="str">
        <f>"2."&amp;C51</f>
        <v>2.Macro + Event</v>
      </c>
      <c r="E51">
        <v>1</v>
      </c>
      <c r="F51" t="s">
        <v>171</v>
      </c>
      <c r="G51" s="13">
        <v>8.9019591773170497</v>
      </c>
      <c r="H51" s="13">
        <v>7.1205688681895198</v>
      </c>
      <c r="I51" s="13">
        <v>0.54399636865956602</v>
      </c>
      <c r="J51" s="13">
        <v>7.4534726521353596</v>
      </c>
      <c r="K51">
        <v>0.27739999999999998</v>
      </c>
      <c r="L51">
        <v>5.5053179999999999</v>
      </c>
      <c r="M51">
        <v>0.40247699999999997</v>
      </c>
      <c r="N51">
        <v>5.0181269999999998</v>
      </c>
      <c r="O51">
        <v>0.36741200000000002</v>
      </c>
      <c r="P51" t="s">
        <v>101</v>
      </c>
    </row>
    <row r="52" spans="1:16" x14ac:dyDescent="0.6">
      <c r="A52">
        <v>30</v>
      </c>
      <c r="B52" t="s">
        <v>7</v>
      </c>
      <c r="C52" t="s">
        <v>93</v>
      </c>
      <c r="D52" t="str">
        <f>"3."&amp;C52</f>
        <v>3.Macro + Sentiment</v>
      </c>
      <c r="E52">
        <v>1</v>
      </c>
      <c r="F52" t="s">
        <v>102</v>
      </c>
      <c r="G52">
        <v>8.8322457835879398</v>
      </c>
      <c r="H52" s="13">
        <v>7.1152062700815399</v>
      </c>
      <c r="I52">
        <v>0.54368540026102397</v>
      </c>
      <c r="J52" s="13">
        <v>6.9718347171281696</v>
      </c>
      <c r="K52">
        <v>0.2863</v>
      </c>
      <c r="L52">
        <v>5.657025</v>
      </c>
      <c r="M52">
        <v>0.411939</v>
      </c>
      <c r="N52">
        <v>4.9416500000000001</v>
      </c>
      <c r="O52">
        <v>0.35875200000000002</v>
      </c>
      <c r="P52" t="s">
        <v>152</v>
      </c>
    </row>
    <row r="53" spans="1:16" x14ac:dyDescent="0.6">
      <c r="A53">
        <v>30</v>
      </c>
      <c r="B53" t="s">
        <v>7</v>
      </c>
      <c r="C53" t="s">
        <v>96</v>
      </c>
      <c r="D53" t="str">
        <f>"4."&amp;C53</f>
        <v>4.ALL</v>
      </c>
      <c r="E53">
        <v>1</v>
      </c>
      <c r="F53" t="s">
        <v>110</v>
      </c>
      <c r="G53">
        <v>8.9079266362909593</v>
      </c>
      <c r="H53" s="13">
        <v>7.1633787163172098</v>
      </c>
      <c r="I53" s="13">
        <v>0.54742892336382498</v>
      </c>
      <c r="J53" s="13">
        <v>7.0593916444464098</v>
      </c>
      <c r="K53">
        <v>0.26900000000000002</v>
      </c>
      <c r="L53">
        <v>5.412121</v>
      </c>
      <c r="M53">
        <v>0.39660400000000001</v>
      </c>
      <c r="N53">
        <v>4.6882929999999998</v>
      </c>
      <c r="O53">
        <v>0.34257300000000002</v>
      </c>
      <c r="P53" t="s">
        <v>95</v>
      </c>
    </row>
    <row r="54" spans="1:16" x14ac:dyDescent="0.6">
      <c r="A54">
        <v>30</v>
      </c>
      <c r="B54" t="s">
        <v>10</v>
      </c>
      <c r="C54" t="s">
        <v>8</v>
      </c>
      <c r="D54" t="str">
        <f>"1."&amp;C54</f>
        <v>1.Macro Only</v>
      </c>
      <c r="E54">
        <v>1</v>
      </c>
      <c r="F54" t="s">
        <v>147</v>
      </c>
      <c r="G54" s="13">
        <v>8.8739930205350408</v>
      </c>
      <c r="H54" s="13">
        <v>7.1211096376205703</v>
      </c>
      <c r="I54" s="13">
        <v>0.54376340261262601</v>
      </c>
      <c r="J54" s="13">
        <v>7.2593668102643196</v>
      </c>
      <c r="K54">
        <v>0.31321900543304299</v>
      </c>
      <c r="L54">
        <v>5.8081255826083096</v>
      </c>
      <c r="M54" s="13">
        <v>0.42361236748120401</v>
      </c>
      <c r="N54">
        <v>4.75750732421875</v>
      </c>
      <c r="O54" s="13">
        <v>0.349641073896789</v>
      </c>
      <c r="P54" t="s">
        <v>152</v>
      </c>
    </row>
    <row r="55" spans="1:16" x14ac:dyDescent="0.6">
      <c r="A55">
        <v>30</v>
      </c>
      <c r="B55" t="s">
        <v>10</v>
      </c>
      <c r="C55" t="s">
        <v>9</v>
      </c>
      <c r="D55" t="str">
        <f>"2."&amp;C55</f>
        <v>2.Macro + Event</v>
      </c>
      <c r="E55">
        <v>1</v>
      </c>
      <c r="F55" t="s">
        <v>163</v>
      </c>
      <c r="G55" s="13">
        <v>8.9341371463538</v>
      </c>
      <c r="H55" s="13">
        <v>7.18222605430147</v>
      </c>
      <c r="I55" s="13">
        <v>0.54882554776852699</v>
      </c>
      <c r="J55" s="13">
        <v>7.6305046082067403</v>
      </c>
      <c r="K55">
        <v>0.27856673564490098</v>
      </c>
      <c r="L55" s="13">
        <v>5.5506528383725602</v>
      </c>
      <c r="M55" s="13">
        <v>0.40683450336588101</v>
      </c>
      <c r="N55">
        <v>4.5689697265625</v>
      </c>
      <c r="O55" s="13">
        <v>0.340649860177346</v>
      </c>
      <c r="P55" t="s">
        <v>95</v>
      </c>
    </row>
    <row r="56" spans="1:16" x14ac:dyDescent="0.6">
      <c r="A56">
        <v>30</v>
      </c>
      <c r="B56" t="s">
        <v>10</v>
      </c>
      <c r="C56" t="s">
        <v>93</v>
      </c>
      <c r="D56" t="str">
        <f>"3."&amp;C56</f>
        <v>3.Macro + Sentiment</v>
      </c>
      <c r="E56">
        <v>1</v>
      </c>
      <c r="F56" t="s">
        <v>155</v>
      </c>
      <c r="G56">
        <v>8.8962374999247107</v>
      </c>
      <c r="H56" s="13">
        <v>7.1862785268772296</v>
      </c>
      <c r="I56" s="13">
        <v>0.54889679437861105</v>
      </c>
      <c r="J56" s="13">
        <v>7.3052304439284397</v>
      </c>
      <c r="K56">
        <v>0.28858870310324397</v>
      </c>
      <c r="L56" s="13">
        <v>5.6495085415774797</v>
      </c>
      <c r="M56" s="13">
        <v>0.41088423851464601</v>
      </c>
      <c r="N56">
        <v>4.7451171875</v>
      </c>
      <c r="O56" s="13">
        <v>0.34456918415495102</v>
      </c>
      <c r="P56" t="s">
        <v>128</v>
      </c>
    </row>
    <row r="57" spans="1:16" x14ac:dyDescent="0.6">
      <c r="A57">
        <v>30</v>
      </c>
      <c r="B57" t="s">
        <v>10</v>
      </c>
      <c r="C57" t="s">
        <v>96</v>
      </c>
      <c r="D57" t="str">
        <f>"4."&amp;C57</f>
        <v>4.ALL</v>
      </c>
      <c r="E57">
        <v>1</v>
      </c>
      <c r="F57" t="s">
        <v>186</v>
      </c>
      <c r="G57" s="13">
        <v>8.93502389691856</v>
      </c>
      <c r="H57" s="13">
        <v>7.2152602802915</v>
      </c>
      <c r="I57" s="13">
        <v>0.55121006608379697</v>
      </c>
      <c r="J57" s="13">
        <v>7.7712941842448204</v>
      </c>
      <c r="K57">
        <v>0.26864105538190697</v>
      </c>
      <c r="L57" s="13">
        <v>5.39117490898058</v>
      </c>
      <c r="M57" s="13">
        <v>0.39437584931035502</v>
      </c>
      <c r="N57">
        <v>4.47637939453125</v>
      </c>
      <c r="O57" s="13">
        <v>0.31870420142372202</v>
      </c>
      <c r="P57" t="s">
        <v>101</v>
      </c>
    </row>
    <row r="58" spans="1:16" x14ac:dyDescent="0.6">
      <c r="A58">
        <v>30</v>
      </c>
      <c r="B58" t="s">
        <v>99</v>
      </c>
      <c r="C58" t="s">
        <v>8</v>
      </c>
      <c r="D58" t="str">
        <f>"1."&amp;C58</f>
        <v>1.Macro Only</v>
      </c>
      <c r="E58">
        <v>1</v>
      </c>
      <c r="F58" t="s">
        <v>120</v>
      </c>
      <c r="G58">
        <v>8.8445169999999997</v>
      </c>
      <c r="H58">
        <v>7.1684669999999997</v>
      </c>
      <c r="I58">
        <v>0.54779999999999995</v>
      </c>
      <c r="J58">
        <v>7.102481</v>
      </c>
      <c r="K58">
        <v>0.31240044621066199</v>
      </c>
      <c r="L58">
        <v>5.7508946248929798</v>
      </c>
      <c r="M58" s="13">
        <v>0.419060877069794</v>
      </c>
      <c r="N58">
        <v>4.26141357421875</v>
      </c>
      <c r="O58" s="13">
        <v>0.312370312256608</v>
      </c>
      <c r="P58" t="s">
        <v>128</v>
      </c>
    </row>
    <row r="59" spans="1:16" x14ac:dyDescent="0.6">
      <c r="A59">
        <v>30</v>
      </c>
      <c r="B59" t="s">
        <v>99</v>
      </c>
      <c r="C59" t="s">
        <v>9</v>
      </c>
      <c r="D59" t="str">
        <f>"2."&amp;C59</f>
        <v>2.Macro + Event</v>
      </c>
      <c r="E59">
        <v>1</v>
      </c>
      <c r="F59" t="s">
        <v>167</v>
      </c>
      <c r="G59">
        <v>8.8409189999999995</v>
      </c>
      <c r="H59">
        <v>7.1143619999999999</v>
      </c>
      <c r="I59">
        <v>0.54365799999999997</v>
      </c>
      <c r="J59">
        <v>7.3824569999999996</v>
      </c>
      <c r="K59">
        <v>0.27810000000000001</v>
      </c>
      <c r="L59">
        <v>5.4625450000000004</v>
      </c>
      <c r="M59">
        <v>0.39982099999999998</v>
      </c>
      <c r="N59">
        <v>4.546265</v>
      </c>
      <c r="O59">
        <v>0.327484</v>
      </c>
      <c r="P59" t="s">
        <v>101</v>
      </c>
    </row>
    <row r="60" spans="1:16" x14ac:dyDescent="0.6">
      <c r="A60">
        <v>30</v>
      </c>
      <c r="B60" t="s">
        <v>99</v>
      </c>
      <c r="C60" t="s">
        <v>93</v>
      </c>
      <c r="D60" t="str">
        <f>"3."&amp;C60</f>
        <v>3.Macro + Sentiment</v>
      </c>
      <c r="E60">
        <v>1</v>
      </c>
      <c r="F60" t="s">
        <v>118</v>
      </c>
      <c r="G60">
        <v>8.8698530000000009</v>
      </c>
      <c r="H60">
        <v>7.1660959999999996</v>
      </c>
      <c r="I60">
        <v>0.54752800000000001</v>
      </c>
      <c r="J60">
        <v>7.0879009999999996</v>
      </c>
      <c r="K60">
        <v>0.28809999999999997</v>
      </c>
      <c r="L60">
        <v>5.6173570000000002</v>
      </c>
      <c r="M60">
        <v>0.40954499999999999</v>
      </c>
      <c r="N60">
        <v>4.5057980000000004</v>
      </c>
      <c r="O60">
        <v>0.330175</v>
      </c>
      <c r="P60" t="s">
        <v>152</v>
      </c>
    </row>
    <row r="61" spans="1:16" x14ac:dyDescent="0.6">
      <c r="A61">
        <v>30</v>
      </c>
      <c r="B61" t="s">
        <v>99</v>
      </c>
      <c r="C61" t="s">
        <v>96</v>
      </c>
      <c r="D61" t="str">
        <f>"4."&amp;C61</f>
        <v>4.ALL</v>
      </c>
      <c r="E61">
        <v>1</v>
      </c>
      <c r="F61" t="s">
        <v>100</v>
      </c>
      <c r="G61">
        <v>8.9151129999999998</v>
      </c>
      <c r="H61">
        <v>7.1801870000000001</v>
      </c>
      <c r="I61">
        <v>0.54869800000000002</v>
      </c>
      <c r="J61">
        <v>6.9670030000000001</v>
      </c>
      <c r="K61">
        <v>0.26840000000000003</v>
      </c>
      <c r="L61">
        <v>5.4607749999999999</v>
      </c>
      <c r="M61">
        <v>0.39980300000000002</v>
      </c>
      <c r="N61">
        <v>4.8067019999999996</v>
      </c>
      <c r="O61">
        <v>0.34881099999999998</v>
      </c>
      <c r="P61" t="s">
        <v>95</v>
      </c>
    </row>
    <row r="62" spans="1:16" x14ac:dyDescent="0.6">
      <c r="A62">
        <v>30</v>
      </c>
      <c r="B62" t="s">
        <v>108</v>
      </c>
      <c r="C62" t="s">
        <v>8</v>
      </c>
      <c r="D62" t="str">
        <f>"1."&amp;C62</f>
        <v>1.Macro Only</v>
      </c>
      <c r="E62">
        <v>1</v>
      </c>
      <c r="F62" t="s">
        <v>149</v>
      </c>
      <c r="G62">
        <v>8.8176419999999993</v>
      </c>
      <c r="H62">
        <v>7.1333419999999998</v>
      </c>
      <c r="I62">
        <v>0.54507499999999998</v>
      </c>
      <c r="J62">
        <v>7.2696249999999996</v>
      </c>
      <c r="K62">
        <v>0.32168777640263996</v>
      </c>
      <c r="L62">
        <v>6.1267018734830101</v>
      </c>
      <c r="M62" s="13">
        <v>0.44711377205408898</v>
      </c>
      <c r="N62">
        <v>5.2047119140625</v>
      </c>
      <c r="O62">
        <v>0.37442910115878097</v>
      </c>
      <c r="P62" t="s">
        <v>101</v>
      </c>
    </row>
    <row r="63" spans="1:16" x14ac:dyDescent="0.6">
      <c r="A63">
        <v>30</v>
      </c>
      <c r="B63" t="s">
        <v>108</v>
      </c>
      <c r="C63" t="s">
        <v>9</v>
      </c>
      <c r="D63" t="str">
        <f>"2."&amp;C63</f>
        <v>2.Macro + Event</v>
      </c>
      <c r="E63">
        <v>1</v>
      </c>
      <c r="F63" t="s">
        <v>138</v>
      </c>
      <c r="G63">
        <v>8.9601459999999999</v>
      </c>
      <c r="H63">
        <v>7.140936</v>
      </c>
      <c r="I63">
        <v>0.545902</v>
      </c>
      <c r="J63">
        <v>7.1938149999999998</v>
      </c>
      <c r="K63">
        <v>0.27834729912177703</v>
      </c>
      <c r="L63" s="13">
        <v>5.4466844406802997</v>
      </c>
      <c r="M63" s="13">
        <v>0.39956306720509099</v>
      </c>
      <c r="N63">
        <v>4.5809326171875</v>
      </c>
      <c r="O63" s="13">
        <v>0.33484432489892202</v>
      </c>
      <c r="P63" t="s">
        <v>95</v>
      </c>
    </row>
    <row r="64" spans="1:16" x14ac:dyDescent="0.6">
      <c r="A64">
        <v>30</v>
      </c>
      <c r="B64" t="s">
        <v>108</v>
      </c>
      <c r="C64" t="s">
        <v>93</v>
      </c>
      <c r="D64" t="str">
        <f>"3."&amp;C64</f>
        <v>3.Macro + Sentiment</v>
      </c>
      <c r="E64">
        <v>1</v>
      </c>
      <c r="F64" t="s">
        <v>137</v>
      </c>
      <c r="G64">
        <v>8.9580760000000001</v>
      </c>
      <c r="H64">
        <v>7.1996510000000002</v>
      </c>
      <c r="I64">
        <v>0.55013800000000002</v>
      </c>
      <c r="J64">
        <v>7.1920529999999996</v>
      </c>
      <c r="K64">
        <v>0.28709999999999997</v>
      </c>
      <c r="L64">
        <v>5.7279540000000004</v>
      </c>
      <c r="M64">
        <v>0.41683500000000001</v>
      </c>
      <c r="N64">
        <v>4.6701050000000004</v>
      </c>
      <c r="O64">
        <v>0.34315699999999999</v>
      </c>
      <c r="P64" t="s">
        <v>152</v>
      </c>
    </row>
    <row r="65" spans="1:16" x14ac:dyDescent="0.6">
      <c r="A65">
        <v>30</v>
      </c>
      <c r="B65" t="s">
        <v>108</v>
      </c>
      <c r="C65" t="s">
        <v>96</v>
      </c>
      <c r="D65" t="str">
        <f>"4."&amp;C65</f>
        <v>4.ALL</v>
      </c>
      <c r="E65">
        <v>1</v>
      </c>
      <c r="F65" t="s">
        <v>124</v>
      </c>
      <c r="G65">
        <v>8.8981779999999997</v>
      </c>
      <c r="H65">
        <v>7.1759000000000004</v>
      </c>
      <c r="I65">
        <v>0.54813199999999995</v>
      </c>
      <c r="J65">
        <v>7.11876</v>
      </c>
      <c r="K65">
        <v>0.26840000000000003</v>
      </c>
      <c r="L65">
        <v>5.4878910000000003</v>
      </c>
      <c r="M65">
        <v>0.401694</v>
      </c>
      <c r="N65">
        <v>4.5192259999999997</v>
      </c>
      <c r="O65">
        <v>0.33579300000000001</v>
      </c>
      <c r="P65" t="s">
        <v>95</v>
      </c>
    </row>
    <row r="66" spans="1:16" x14ac:dyDescent="0.6">
      <c r="A66">
        <v>60</v>
      </c>
      <c r="B66" t="s">
        <v>7</v>
      </c>
      <c r="C66" t="s">
        <v>8</v>
      </c>
      <c r="D66" t="str">
        <f>"1."&amp;C66</f>
        <v>1.Macro Only</v>
      </c>
      <c r="E66">
        <v>1</v>
      </c>
      <c r="F66" t="s">
        <v>185</v>
      </c>
      <c r="G66" s="13">
        <v>8.4227743809161897</v>
      </c>
      <c r="H66" s="13">
        <v>6.7781490284007901</v>
      </c>
      <c r="I66" s="13">
        <v>0.52416896339033703</v>
      </c>
      <c r="J66" s="13">
        <v>7.64761302942697</v>
      </c>
      <c r="K66">
        <v>0.33479018714641401</v>
      </c>
      <c r="L66" s="13">
        <v>6.2645000110972999</v>
      </c>
      <c r="M66" s="13">
        <v>0.455952470003331</v>
      </c>
      <c r="N66">
        <v>5.20068359375</v>
      </c>
      <c r="O66" s="13">
        <v>0.37611949842550002</v>
      </c>
      <c r="P66" t="s">
        <v>152</v>
      </c>
    </row>
    <row r="67" spans="1:16" x14ac:dyDescent="0.6">
      <c r="A67">
        <v>60</v>
      </c>
      <c r="B67" t="s">
        <v>7</v>
      </c>
      <c r="C67" t="s">
        <v>9</v>
      </c>
      <c r="D67" t="str">
        <f>"2."&amp;C67</f>
        <v>2.Macro + Event</v>
      </c>
      <c r="E67">
        <v>1</v>
      </c>
      <c r="F67" t="s">
        <v>176</v>
      </c>
      <c r="G67" s="13">
        <v>8.4546367438248797</v>
      </c>
      <c r="H67" s="13">
        <v>6.7967955201536698</v>
      </c>
      <c r="I67" s="13">
        <v>0.52560094765660204</v>
      </c>
      <c r="J67" s="13">
        <v>7.5197311902796899</v>
      </c>
      <c r="K67">
        <v>0.28079999999999999</v>
      </c>
      <c r="L67">
        <v>5.4710340000000004</v>
      </c>
      <c r="M67">
        <v>0.40113599999999999</v>
      </c>
      <c r="N67">
        <v>4.3646240000000001</v>
      </c>
      <c r="O67">
        <v>0.32753700000000002</v>
      </c>
      <c r="P67" t="s">
        <v>95</v>
      </c>
    </row>
    <row r="68" spans="1:16" x14ac:dyDescent="0.6">
      <c r="A68">
        <v>60</v>
      </c>
      <c r="B68" t="s">
        <v>7</v>
      </c>
      <c r="C68" t="s">
        <v>93</v>
      </c>
      <c r="D68" t="str">
        <f>"3."&amp;C68</f>
        <v>3.Macro + Sentiment</v>
      </c>
      <c r="E68">
        <v>1</v>
      </c>
      <c r="F68" t="s">
        <v>178</v>
      </c>
      <c r="G68" s="13">
        <v>8.4624834686603005</v>
      </c>
      <c r="H68" s="13">
        <v>6.8987900450989397</v>
      </c>
      <c r="I68" s="13">
        <v>0.53339425898286497</v>
      </c>
      <c r="J68" s="13">
        <v>7.5239068287530602</v>
      </c>
      <c r="K68">
        <v>0.29289999999999999</v>
      </c>
      <c r="L68">
        <v>5.6595329999999997</v>
      </c>
      <c r="M68">
        <v>0.414576</v>
      </c>
      <c r="N68">
        <v>4.6522220000000001</v>
      </c>
      <c r="O68">
        <v>0.335337</v>
      </c>
      <c r="P68" t="s">
        <v>95</v>
      </c>
    </row>
    <row r="69" spans="1:16" x14ac:dyDescent="0.6">
      <c r="A69">
        <v>60</v>
      </c>
      <c r="B69" t="s">
        <v>7</v>
      </c>
      <c r="C69" t="s">
        <v>96</v>
      </c>
      <c r="D69" t="str">
        <f>"4."&amp;C69</f>
        <v>4.ALL</v>
      </c>
      <c r="E69">
        <v>1</v>
      </c>
      <c r="F69" t="s">
        <v>189</v>
      </c>
      <c r="G69" s="13">
        <v>8.55463022385503</v>
      </c>
      <c r="H69" s="13">
        <v>6.8661991999699499</v>
      </c>
      <c r="I69" s="13">
        <v>0.53076900355323298</v>
      </c>
      <c r="J69" s="13">
        <v>7.9337629726784096</v>
      </c>
      <c r="K69">
        <v>0.26869999999999999</v>
      </c>
      <c r="L69">
        <v>5.4787720000000002</v>
      </c>
      <c r="M69">
        <v>0.400393</v>
      </c>
      <c r="N69">
        <v>4.5903320000000001</v>
      </c>
      <c r="O69">
        <v>0.33632800000000002</v>
      </c>
      <c r="P69" t="s">
        <v>101</v>
      </c>
    </row>
    <row r="70" spans="1:16" x14ac:dyDescent="0.6">
      <c r="A70">
        <v>60</v>
      </c>
      <c r="B70" t="s">
        <v>10</v>
      </c>
      <c r="C70" t="s">
        <v>8</v>
      </c>
      <c r="D70" t="str">
        <f>"1."&amp;C70</f>
        <v>1.Macro Only</v>
      </c>
      <c r="E70">
        <v>1</v>
      </c>
      <c r="F70" t="s">
        <v>175</v>
      </c>
      <c r="G70" s="13">
        <v>8.4122978795674204</v>
      </c>
      <c r="H70" s="13">
        <v>6.7384807880108104</v>
      </c>
      <c r="I70" s="13">
        <v>0.52093204641101198</v>
      </c>
      <c r="J70" s="13">
        <v>7.4964709123166404</v>
      </c>
      <c r="K70">
        <v>0.33435530630523297</v>
      </c>
      <c r="L70">
        <v>6.2034996660240802</v>
      </c>
      <c r="M70" s="13">
        <v>0.45389565388400499</v>
      </c>
      <c r="N70">
        <v>4.714599609375</v>
      </c>
      <c r="O70" s="13">
        <v>0.34957932121485502</v>
      </c>
      <c r="P70" t="s">
        <v>95</v>
      </c>
    </row>
    <row r="71" spans="1:16" x14ac:dyDescent="0.6">
      <c r="A71">
        <v>60</v>
      </c>
      <c r="B71" t="s">
        <v>10</v>
      </c>
      <c r="C71" t="s">
        <v>9</v>
      </c>
      <c r="D71" t="str">
        <f>"2."&amp;C71</f>
        <v>2.Macro + Event</v>
      </c>
      <c r="E71">
        <v>1</v>
      </c>
      <c r="F71" t="s">
        <v>179</v>
      </c>
      <c r="G71" s="13">
        <v>8.2972098186660403</v>
      </c>
      <c r="H71" s="13">
        <v>6.7172210190322303</v>
      </c>
      <c r="I71" s="13">
        <v>0.51941760302013795</v>
      </c>
      <c r="J71" s="13">
        <v>7.5538931316901596</v>
      </c>
      <c r="K71">
        <v>0.27789999999999998</v>
      </c>
      <c r="L71">
        <v>5.5475659999999998</v>
      </c>
      <c r="M71">
        <v>0.40374199999999999</v>
      </c>
      <c r="N71">
        <v>4.4656370000000001</v>
      </c>
      <c r="O71">
        <v>0.32366</v>
      </c>
      <c r="P71" t="s">
        <v>128</v>
      </c>
    </row>
    <row r="72" spans="1:16" x14ac:dyDescent="0.6">
      <c r="A72">
        <v>60</v>
      </c>
      <c r="B72" t="s">
        <v>10</v>
      </c>
      <c r="C72" t="s">
        <v>93</v>
      </c>
      <c r="D72" t="str">
        <f>"3."&amp;C72</f>
        <v>3.Macro + Sentiment</v>
      </c>
      <c r="E72">
        <v>1</v>
      </c>
      <c r="F72" t="s">
        <v>191</v>
      </c>
      <c r="G72" s="13">
        <v>8.4964795513762503</v>
      </c>
      <c r="H72" s="13">
        <v>6.8499881618625498</v>
      </c>
      <c r="I72" s="13">
        <v>0.52963375338303997</v>
      </c>
      <c r="J72" s="13">
        <v>7.9697804515775603</v>
      </c>
      <c r="K72">
        <v>0.2903</v>
      </c>
      <c r="L72">
        <v>5.7939259999999999</v>
      </c>
      <c r="M72">
        <v>0.42299999999999999</v>
      </c>
      <c r="N72">
        <v>4.7860719999999999</v>
      </c>
      <c r="O72">
        <v>0.34620400000000001</v>
      </c>
      <c r="P72" t="s">
        <v>101</v>
      </c>
    </row>
    <row r="73" spans="1:16" x14ac:dyDescent="0.6">
      <c r="A73">
        <v>60</v>
      </c>
      <c r="B73" t="s">
        <v>10</v>
      </c>
      <c r="C73" t="s">
        <v>96</v>
      </c>
      <c r="D73" t="str">
        <f>"4."&amp;C73</f>
        <v>4.ALL</v>
      </c>
      <c r="E73">
        <v>1</v>
      </c>
      <c r="F73" t="s">
        <v>173</v>
      </c>
      <c r="G73" s="13">
        <v>8.5689327389553895</v>
      </c>
      <c r="H73">
        <v>6.8815357082492703</v>
      </c>
      <c r="I73">
        <v>0.53180865677393996</v>
      </c>
      <c r="J73" s="13">
        <v>7.4635255430508503</v>
      </c>
      <c r="K73">
        <v>0.2702</v>
      </c>
      <c r="L73">
        <v>5.4353389999999999</v>
      </c>
      <c r="M73">
        <v>0.398316</v>
      </c>
      <c r="N73">
        <v>4.7739260000000003</v>
      </c>
      <c r="O73">
        <v>0.35355300000000001</v>
      </c>
      <c r="P73" t="s">
        <v>95</v>
      </c>
    </row>
    <row r="74" spans="1:16" x14ac:dyDescent="0.6">
      <c r="A74">
        <v>60</v>
      </c>
      <c r="B74" t="s">
        <v>99</v>
      </c>
      <c r="C74" t="s">
        <v>8</v>
      </c>
      <c r="D74" t="str">
        <f>"1."&amp;C74</f>
        <v>1.Macro Only</v>
      </c>
      <c r="E74">
        <v>1</v>
      </c>
      <c r="F74" t="s">
        <v>151</v>
      </c>
      <c r="G74">
        <v>8.4138420000000007</v>
      </c>
      <c r="H74">
        <v>6.8743990000000004</v>
      </c>
      <c r="I74">
        <v>0.53144800000000003</v>
      </c>
      <c r="J74">
        <v>7.2754630000000002</v>
      </c>
      <c r="K74">
        <v>0.33429999999999999</v>
      </c>
      <c r="L74">
        <v>5.987158</v>
      </c>
      <c r="M74">
        <v>0.43723400000000001</v>
      </c>
      <c r="N74">
        <v>4.4137570000000004</v>
      </c>
      <c r="O74">
        <v>0.31723600000000002</v>
      </c>
      <c r="P74" t="s">
        <v>128</v>
      </c>
    </row>
    <row r="75" spans="1:16" x14ac:dyDescent="0.6">
      <c r="A75">
        <v>60</v>
      </c>
      <c r="B75" t="s">
        <v>99</v>
      </c>
      <c r="C75" t="s">
        <v>9</v>
      </c>
      <c r="D75" t="str">
        <f>"2."&amp;C75</f>
        <v>2.Macro + Event</v>
      </c>
      <c r="E75">
        <v>1</v>
      </c>
      <c r="F75" t="s">
        <v>161</v>
      </c>
      <c r="G75">
        <v>8.4649870000000007</v>
      </c>
      <c r="H75">
        <v>6.9158369999999998</v>
      </c>
      <c r="I75">
        <v>0.53463700000000003</v>
      </c>
      <c r="J75">
        <v>7.3410529999999996</v>
      </c>
      <c r="K75">
        <v>0.27989999999999998</v>
      </c>
      <c r="L75">
        <v>5.4656419999999999</v>
      </c>
      <c r="M75">
        <v>0.40090300000000001</v>
      </c>
      <c r="N75">
        <v>4.653931</v>
      </c>
      <c r="O75">
        <v>0.34745199999999998</v>
      </c>
      <c r="P75" t="s">
        <v>95</v>
      </c>
    </row>
    <row r="76" spans="1:16" x14ac:dyDescent="0.6">
      <c r="A76">
        <v>60</v>
      </c>
      <c r="B76" t="s">
        <v>99</v>
      </c>
      <c r="C76" t="s">
        <v>93</v>
      </c>
      <c r="D76" t="str">
        <f>"3."&amp;C76</f>
        <v>3.Macro + Sentiment</v>
      </c>
      <c r="E76">
        <v>1</v>
      </c>
      <c r="F76" t="s">
        <v>160</v>
      </c>
      <c r="G76">
        <v>8.4562080000000002</v>
      </c>
      <c r="H76">
        <v>6.8272550000000001</v>
      </c>
      <c r="I76">
        <v>0.52789200000000003</v>
      </c>
      <c r="J76">
        <v>7.3331540000000004</v>
      </c>
      <c r="K76">
        <v>0.28849999999999998</v>
      </c>
      <c r="L76">
        <v>5.6419259999999998</v>
      </c>
      <c r="M76">
        <v>0.41033900000000001</v>
      </c>
      <c r="N76">
        <v>4.6347659999999999</v>
      </c>
      <c r="O76">
        <v>0.33742</v>
      </c>
      <c r="P76" t="s">
        <v>128</v>
      </c>
    </row>
    <row r="77" spans="1:16" x14ac:dyDescent="0.6">
      <c r="A77">
        <v>60</v>
      </c>
      <c r="B77" t="s">
        <v>99</v>
      </c>
      <c r="C77" t="s">
        <v>96</v>
      </c>
      <c r="D77" t="str">
        <f>"4."&amp;C77</f>
        <v>4.ALL</v>
      </c>
      <c r="E77">
        <v>1</v>
      </c>
      <c r="F77" t="s">
        <v>162</v>
      </c>
      <c r="G77">
        <v>8.4616469999999993</v>
      </c>
      <c r="H77">
        <v>6.8616859999999997</v>
      </c>
      <c r="I77">
        <v>0.53054699999999999</v>
      </c>
      <c r="J77">
        <v>7.3495939999999997</v>
      </c>
      <c r="K77">
        <v>0.2697</v>
      </c>
      <c r="L77">
        <v>5.4448350000000003</v>
      </c>
      <c r="M77">
        <v>0.39889000000000002</v>
      </c>
      <c r="N77">
        <v>4.5971070000000003</v>
      </c>
      <c r="O77">
        <v>0.342026</v>
      </c>
      <c r="P77" t="s">
        <v>95</v>
      </c>
    </row>
    <row r="78" spans="1:16" x14ac:dyDescent="0.6">
      <c r="A78">
        <v>60</v>
      </c>
      <c r="B78" t="s">
        <v>108</v>
      </c>
      <c r="C78" t="s">
        <v>8</v>
      </c>
      <c r="D78" t="str">
        <f>"1."&amp;C78</f>
        <v>1.Macro Only</v>
      </c>
      <c r="E78">
        <v>1</v>
      </c>
      <c r="F78" t="s">
        <v>169</v>
      </c>
      <c r="G78">
        <v>8.5050179999999997</v>
      </c>
      <c r="H78">
        <v>6.8979920000000003</v>
      </c>
      <c r="I78">
        <v>0.53338200000000002</v>
      </c>
      <c r="J78">
        <v>7.4350009999999997</v>
      </c>
      <c r="K78">
        <v>0.334915149632106</v>
      </c>
      <c r="L78" s="13">
        <v>6.12739333431277</v>
      </c>
      <c r="M78" s="13">
        <v>0.44940648761558299</v>
      </c>
      <c r="N78">
        <v>4.92559814453125</v>
      </c>
      <c r="O78" s="13">
        <v>0.35994201494044797</v>
      </c>
      <c r="P78" t="s">
        <v>95</v>
      </c>
    </row>
    <row r="79" spans="1:16" x14ac:dyDescent="0.6">
      <c r="A79">
        <v>60</v>
      </c>
      <c r="B79" t="s">
        <v>108</v>
      </c>
      <c r="C79" t="s">
        <v>9</v>
      </c>
      <c r="D79" t="str">
        <f>"2."&amp;C79</f>
        <v>2.Macro + Event</v>
      </c>
      <c r="E79">
        <v>1</v>
      </c>
      <c r="F79" t="s">
        <v>170</v>
      </c>
      <c r="G79">
        <v>8.3207690000000003</v>
      </c>
      <c r="H79">
        <v>6.7146280000000003</v>
      </c>
      <c r="I79">
        <v>0.51918600000000004</v>
      </c>
      <c r="J79">
        <v>7.4376990000000003</v>
      </c>
      <c r="K79">
        <v>0.27969763887461402</v>
      </c>
      <c r="L79" s="13">
        <v>5.5325652944061101</v>
      </c>
      <c r="M79" s="13">
        <v>0.40542799991422601</v>
      </c>
      <c r="N79">
        <v>4.523193359375</v>
      </c>
      <c r="O79" s="13">
        <v>0.33638539514433902</v>
      </c>
      <c r="P79" t="s">
        <v>95</v>
      </c>
    </row>
    <row r="80" spans="1:16" x14ac:dyDescent="0.6">
      <c r="A80">
        <v>60</v>
      </c>
      <c r="B80" t="s">
        <v>108</v>
      </c>
      <c r="C80" t="s">
        <v>93</v>
      </c>
      <c r="D80" t="str">
        <f>"3."&amp;C80</f>
        <v>3.Macro + Sentiment</v>
      </c>
      <c r="E80">
        <v>1</v>
      </c>
      <c r="F80" t="s">
        <v>174</v>
      </c>
      <c r="G80">
        <v>8.3870319999999996</v>
      </c>
      <c r="H80">
        <v>6.8625210000000001</v>
      </c>
      <c r="I80">
        <v>0.53032900000000005</v>
      </c>
      <c r="J80">
        <v>7.4794070000000001</v>
      </c>
      <c r="K80">
        <v>0.28920000000000001</v>
      </c>
      <c r="L80">
        <v>5.6873170000000002</v>
      </c>
      <c r="M80">
        <v>0.41402600000000001</v>
      </c>
      <c r="N80">
        <v>4.9049680000000002</v>
      </c>
      <c r="O80">
        <v>0.35776799999999997</v>
      </c>
      <c r="P80" t="s">
        <v>152</v>
      </c>
    </row>
    <row r="81" spans="1:16" x14ac:dyDescent="0.6">
      <c r="A81">
        <v>60</v>
      </c>
      <c r="B81" t="s">
        <v>108</v>
      </c>
      <c r="C81" t="s">
        <v>96</v>
      </c>
      <c r="D81" t="str">
        <f>"4."&amp;C81</f>
        <v>4.ALL</v>
      </c>
      <c r="E81">
        <v>1</v>
      </c>
      <c r="F81" t="s">
        <v>165</v>
      </c>
      <c r="G81">
        <v>8.4572190000000003</v>
      </c>
      <c r="H81">
        <v>6.8813490000000002</v>
      </c>
      <c r="I81">
        <v>0.53214700000000004</v>
      </c>
      <c r="J81">
        <v>7.3721079999999999</v>
      </c>
      <c r="K81">
        <v>0.2681</v>
      </c>
      <c r="L81">
        <v>5.4940230000000003</v>
      </c>
      <c r="M81">
        <v>0.40163100000000002</v>
      </c>
      <c r="N81">
        <v>4.7504270000000002</v>
      </c>
      <c r="O81">
        <v>0.34342899999999998</v>
      </c>
      <c r="P81" t="s">
        <v>95</v>
      </c>
    </row>
    <row r="82" spans="1:16" x14ac:dyDescent="0.6">
      <c r="A82">
        <v>90</v>
      </c>
      <c r="B82" t="s">
        <v>7</v>
      </c>
      <c r="C82" t="s">
        <v>8</v>
      </c>
      <c r="D82" t="str">
        <f>"1."&amp;C82</f>
        <v>1.Macro Only</v>
      </c>
      <c r="E82">
        <v>1</v>
      </c>
      <c r="F82" t="s">
        <v>163</v>
      </c>
      <c r="G82" s="13">
        <v>7.1817983365045803</v>
      </c>
      <c r="H82" s="13">
        <v>5.6679317589962102</v>
      </c>
      <c r="I82" s="13">
        <v>0.44214617009805801</v>
      </c>
      <c r="J82" s="13">
        <v>7.3646177135076796</v>
      </c>
      <c r="K82">
        <v>0.33579147461077596</v>
      </c>
      <c r="L82" s="13">
        <v>6.2817639437588699</v>
      </c>
      <c r="M82" s="13">
        <v>0.45642186443342198</v>
      </c>
      <c r="N82">
        <v>4.86346435546875</v>
      </c>
      <c r="O82" s="13">
        <v>0.352021622832561</v>
      </c>
      <c r="P82" t="s">
        <v>152</v>
      </c>
    </row>
    <row r="83" spans="1:16" x14ac:dyDescent="0.6">
      <c r="A83">
        <v>90</v>
      </c>
      <c r="B83" t="s">
        <v>7</v>
      </c>
      <c r="C83" t="s">
        <v>9</v>
      </c>
      <c r="D83" t="str">
        <f>"2."&amp;C83</f>
        <v>2.Macro + Event</v>
      </c>
      <c r="E83">
        <v>1</v>
      </c>
      <c r="F83" t="s">
        <v>146</v>
      </c>
      <c r="G83" s="13">
        <v>7.1958020834312499</v>
      </c>
      <c r="H83" s="13">
        <v>5.6418420040246202</v>
      </c>
      <c r="I83" s="13">
        <v>0.43988792502686003</v>
      </c>
      <c r="J83" s="13">
        <v>7.2547915348356202</v>
      </c>
      <c r="K83">
        <v>0.27850000000000003</v>
      </c>
      <c r="L83">
        <v>5.5137689999999999</v>
      </c>
      <c r="M83">
        <v>0.40135700000000002</v>
      </c>
      <c r="N83">
        <v>4.4532470000000002</v>
      </c>
      <c r="O83">
        <v>0.32051600000000002</v>
      </c>
      <c r="P83" t="s">
        <v>128</v>
      </c>
    </row>
    <row r="84" spans="1:16" x14ac:dyDescent="0.6">
      <c r="A84">
        <v>90</v>
      </c>
      <c r="B84" t="s">
        <v>7</v>
      </c>
      <c r="C84" t="s">
        <v>93</v>
      </c>
      <c r="D84" t="str">
        <f>"3."&amp;C84</f>
        <v>3.Macro + Sentiment</v>
      </c>
      <c r="E84">
        <v>1</v>
      </c>
      <c r="F84" t="s">
        <v>183</v>
      </c>
      <c r="G84" s="13">
        <v>7.0132860566650796</v>
      </c>
      <c r="H84">
        <v>5.5050973603219697</v>
      </c>
      <c r="I84" s="13">
        <v>0.42918796578950502</v>
      </c>
      <c r="J84" s="13">
        <v>7.6388015764852497</v>
      </c>
      <c r="K84">
        <v>0.29450000000000004</v>
      </c>
      <c r="L84">
        <v>5.6944710000000001</v>
      </c>
      <c r="M84">
        <v>0.41458800000000001</v>
      </c>
      <c r="N84">
        <v>4.959778</v>
      </c>
      <c r="O84">
        <v>0.34940700000000002</v>
      </c>
      <c r="P84" t="s">
        <v>152</v>
      </c>
    </row>
    <row r="85" spans="1:16" x14ac:dyDescent="0.6">
      <c r="A85">
        <v>90</v>
      </c>
      <c r="B85" t="s">
        <v>7</v>
      </c>
      <c r="C85" t="s">
        <v>96</v>
      </c>
      <c r="D85" t="str">
        <f>"4."&amp;C85</f>
        <v>4.ALL</v>
      </c>
      <c r="E85">
        <v>1</v>
      </c>
      <c r="F85" t="s">
        <v>150</v>
      </c>
      <c r="G85" s="13">
        <v>6.9765846041725101</v>
      </c>
      <c r="H85" s="13">
        <v>5.5259528882575699</v>
      </c>
      <c r="I85" s="13">
        <v>0.43113195886723998</v>
      </c>
      <c r="J85" s="13">
        <v>7.2697324668168699</v>
      </c>
      <c r="K85">
        <v>0.27039999999999997</v>
      </c>
      <c r="L85">
        <v>5.4254749999999996</v>
      </c>
      <c r="M85">
        <v>0.39750799999999997</v>
      </c>
      <c r="N85">
        <v>4.3987429999999996</v>
      </c>
      <c r="O85">
        <v>0.32528800000000002</v>
      </c>
      <c r="P85" t="s">
        <v>95</v>
      </c>
    </row>
    <row r="86" spans="1:16" x14ac:dyDescent="0.6">
      <c r="A86">
        <v>90</v>
      </c>
      <c r="B86" t="s">
        <v>10</v>
      </c>
      <c r="C86" t="s">
        <v>8</v>
      </c>
      <c r="D86" t="str">
        <f>"1."&amp;C86</f>
        <v>1.Macro Only</v>
      </c>
      <c r="E86">
        <v>1</v>
      </c>
      <c r="F86" t="s">
        <v>182</v>
      </c>
      <c r="G86" s="13">
        <v>6.8653947856092001</v>
      </c>
      <c r="H86" s="13">
        <v>5.4196222478693103</v>
      </c>
      <c r="I86" s="13">
        <v>0.422612175926948</v>
      </c>
      <c r="J86" s="13">
        <v>7.6237277753961603</v>
      </c>
      <c r="K86">
        <v>0.38922951899318703</v>
      </c>
      <c r="L86" s="13">
        <v>6.9376265914351798</v>
      </c>
      <c r="M86" s="13">
        <v>0.50555735523604595</v>
      </c>
      <c r="N86">
        <v>6.6702880859375</v>
      </c>
      <c r="O86" s="13">
        <v>0.48616309933490998</v>
      </c>
      <c r="P86" t="s">
        <v>95</v>
      </c>
    </row>
    <row r="87" spans="1:16" x14ac:dyDescent="0.6">
      <c r="A87">
        <v>90</v>
      </c>
      <c r="B87" t="s">
        <v>10</v>
      </c>
      <c r="C87" t="s">
        <v>9</v>
      </c>
      <c r="D87" t="str">
        <f>"2."&amp;C87</f>
        <v>2.Macro + Event</v>
      </c>
      <c r="E87">
        <v>1</v>
      </c>
      <c r="F87" t="s">
        <v>159</v>
      </c>
      <c r="G87" s="13">
        <v>6.96366010782336</v>
      </c>
      <c r="H87" s="13">
        <v>5.5858117305871202</v>
      </c>
      <c r="I87" s="13">
        <v>0.436744165825657</v>
      </c>
      <c r="J87" s="13">
        <v>7.3328223195886002</v>
      </c>
      <c r="K87">
        <v>0.27998303400910501</v>
      </c>
      <c r="L87" s="13">
        <v>5.5785319010416599</v>
      </c>
      <c r="M87" s="13">
        <v>0.40792258672520099</v>
      </c>
      <c r="N87">
        <v>4.66253662109375</v>
      </c>
      <c r="O87" s="13">
        <v>0.34455413704927101</v>
      </c>
      <c r="P87" t="s">
        <v>95</v>
      </c>
    </row>
    <row r="88" spans="1:16" x14ac:dyDescent="0.6">
      <c r="A88">
        <v>90</v>
      </c>
      <c r="B88" t="s">
        <v>10</v>
      </c>
      <c r="C88" t="s">
        <v>93</v>
      </c>
      <c r="D88" t="str">
        <f>"3."&amp;C88</f>
        <v>3.Macro + Sentiment</v>
      </c>
      <c r="E88">
        <v>1</v>
      </c>
      <c r="F88" t="s">
        <v>181</v>
      </c>
      <c r="G88">
        <v>6.6759537159477</v>
      </c>
      <c r="H88" s="13">
        <v>5.4448131214488598</v>
      </c>
      <c r="I88" s="13">
        <v>0.42489933078599401</v>
      </c>
      <c r="J88" s="13">
        <v>7.5994227765418696</v>
      </c>
      <c r="K88">
        <v>0.29480000000000001</v>
      </c>
      <c r="L88">
        <v>5.7304399999999998</v>
      </c>
      <c r="M88">
        <v>0.41740500000000003</v>
      </c>
      <c r="N88">
        <v>4.920471</v>
      </c>
      <c r="O88">
        <v>0.36538900000000002</v>
      </c>
      <c r="P88" t="s">
        <v>152</v>
      </c>
    </row>
    <row r="89" spans="1:16" x14ac:dyDescent="0.6">
      <c r="A89">
        <v>90</v>
      </c>
      <c r="B89" t="s">
        <v>10</v>
      </c>
      <c r="C89" t="s">
        <v>96</v>
      </c>
      <c r="D89" t="str">
        <f>"4."&amp;C89</f>
        <v>4.ALL</v>
      </c>
      <c r="E89">
        <v>1</v>
      </c>
      <c r="F89" t="s">
        <v>184</v>
      </c>
      <c r="G89" s="13">
        <v>7.5993251011002902</v>
      </c>
      <c r="H89" s="13">
        <v>6.0605616714015103</v>
      </c>
      <c r="I89" s="13">
        <v>0.47315778526525898</v>
      </c>
      <c r="J89" s="13">
        <v>7.6412420393954799</v>
      </c>
      <c r="K89">
        <v>0.27282936708517097</v>
      </c>
      <c r="L89">
        <v>5.4471646924039501</v>
      </c>
      <c r="M89" s="13">
        <v>0.39951339398770702</v>
      </c>
      <c r="N89">
        <v>4.6483154296875</v>
      </c>
      <c r="O89">
        <v>0.34642043943666301</v>
      </c>
      <c r="P89" t="s">
        <v>95</v>
      </c>
    </row>
    <row r="90" spans="1:16" x14ac:dyDescent="0.6">
      <c r="A90">
        <v>90</v>
      </c>
      <c r="B90" t="s">
        <v>99</v>
      </c>
      <c r="C90" t="s">
        <v>8</v>
      </c>
      <c r="D90" t="str">
        <f>"1."&amp;C90</f>
        <v>1.Macro Only</v>
      </c>
      <c r="E90">
        <v>1</v>
      </c>
      <c r="F90" t="s">
        <v>127</v>
      </c>
      <c r="G90">
        <v>6.9550789999999996</v>
      </c>
      <c r="H90">
        <v>5.5282980000000004</v>
      </c>
      <c r="I90">
        <v>0.43144399999999999</v>
      </c>
      <c r="J90">
        <v>7.1349489999999998</v>
      </c>
      <c r="K90">
        <v>0.3372</v>
      </c>
      <c r="L90">
        <v>6.1162039999999998</v>
      </c>
      <c r="M90">
        <v>0.44723200000000002</v>
      </c>
      <c r="N90">
        <v>5.09314</v>
      </c>
      <c r="O90">
        <v>0.36770399999999998</v>
      </c>
      <c r="P90" t="s">
        <v>95</v>
      </c>
    </row>
    <row r="91" spans="1:16" x14ac:dyDescent="0.6">
      <c r="A91">
        <v>90</v>
      </c>
      <c r="B91" t="s">
        <v>99</v>
      </c>
      <c r="C91" t="s">
        <v>9</v>
      </c>
      <c r="D91" t="str">
        <f>"2."&amp;C91</f>
        <v>2.Macro + Event</v>
      </c>
      <c r="E91">
        <v>1</v>
      </c>
      <c r="F91" t="s">
        <v>187</v>
      </c>
      <c r="G91">
        <v>6.9823729999999999</v>
      </c>
      <c r="H91">
        <v>5.4585850000000002</v>
      </c>
      <c r="I91">
        <v>0.42615500000000001</v>
      </c>
      <c r="J91">
        <v>7.8758290000000004</v>
      </c>
      <c r="K91">
        <v>0.28035698350448901</v>
      </c>
      <c r="L91" s="13">
        <v>5.5410415440389498</v>
      </c>
      <c r="M91" s="13">
        <v>0.40317481381355702</v>
      </c>
      <c r="N91">
        <v>4.28924560546875</v>
      </c>
      <c r="O91" s="13">
        <v>0.31656264755650998</v>
      </c>
      <c r="P91" t="s">
        <v>128</v>
      </c>
    </row>
    <row r="92" spans="1:16" x14ac:dyDescent="0.6">
      <c r="A92">
        <v>90</v>
      </c>
      <c r="B92" t="s">
        <v>99</v>
      </c>
      <c r="C92" t="s">
        <v>93</v>
      </c>
      <c r="D92" t="str">
        <f>"3."&amp;C92</f>
        <v>3.Macro + Sentiment</v>
      </c>
      <c r="E92">
        <v>1</v>
      </c>
      <c r="F92" t="s">
        <v>144</v>
      </c>
      <c r="G92">
        <v>7.0145809999999997</v>
      </c>
      <c r="H92">
        <v>5.5760540000000001</v>
      </c>
      <c r="I92">
        <v>0.435255</v>
      </c>
      <c r="J92">
        <v>7.2275549999999997</v>
      </c>
      <c r="K92">
        <v>0.292942639058209</v>
      </c>
      <c r="L92" s="13">
        <v>5.7942923086660798</v>
      </c>
      <c r="M92" s="13">
        <v>0.42361425655239898</v>
      </c>
      <c r="N92">
        <v>4.92608642578125</v>
      </c>
      <c r="O92" s="13">
        <v>0.35692120059707</v>
      </c>
      <c r="P92" t="s">
        <v>95</v>
      </c>
    </row>
    <row r="93" spans="1:16" x14ac:dyDescent="0.6">
      <c r="A93">
        <v>90</v>
      </c>
      <c r="B93" t="s">
        <v>99</v>
      </c>
      <c r="C93" t="s">
        <v>96</v>
      </c>
      <c r="D93" t="str">
        <f>"4."&amp;C93</f>
        <v>4.ALL</v>
      </c>
      <c r="E93">
        <v>1</v>
      </c>
      <c r="F93" t="s">
        <v>156</v>
      </c>
      <c r="G93">
        <v>6.9670399999999999</v>
      </c>
      <c r="H93">
        <v>5.5330130000000004</v>
      </c>
      <c r="I93">
        <v>0.43177900000000002</v>
      </c>
      <c r="J93">
        <v>7.3186289999999996</v>
      </c>
      <c r="K93">
        <v>0.26960000000000001</v>
      </c>
      <c r="L93">
        <v>5.5047560000000004</v>
      </c>
      <c r="M93">
        <v>0.402221</v>
      </c>
      <c r="N93">
        <v>4.533569</v>
      </c>
      <c r="O93">
        <v>0.33159</v>
      </c>
      <c r="P93" t="s">
        <v>101</v>
      </c>
    </row>
    <row r="94" spans="1:16" x14ac:dyDescent="0.6">
      <c r="A94">
        <v>90</v>
      </c>
      <c r="B94" t="s">
        <v>108</v>
      </c>
      <c r="C94" t="s">
        <v>8</v>
      </c>
      <c r="D94" t="str">
        <f>"1."&amp;C94</f>
        <v>1.Macro Only</v>
      </c>
      <c r="E94">
        <v>1</v>
      </c>
      <c r="F94" t="s">
        <v>164</v>
      </c>
      <c r="G94">
        <v>6.9688939999999997</v>
      </c>
      <c r="H94">
        <v>5.5165740000000003</v>
      </c>
      <c r="I94">
        <v>0.43058000000000002</v>
      </c>
      <c r="J94">
        <v>7.3648809999999996</v>
      </c>
      <c r="K94">
        <v>0.34099999999999997</v>
      </c>
      <c r="L94">
        <v>6.2709910000000004</v>
      </c>
      <c r="M94">
        <v>0.454932</v>
      </c>
      <c r="N94">
        <v>4.9745480000000004</v>
      </c>
      <c r="O94">
        <v>0.35916199999999998</v>
      </c>
      <c r="P94" t="s">
        <v>128</v>
      </c>
    </row>
    <row r="95" spans="1:16" x14ac:dyDescent="0.6">
      <c r="A95">
        <v>90</v>
      </c>
      <c r="B95" t="s">
        <v>108</v>
      </c>
      <c r="C95" t="s">
        <v>9</v>
      </c>
      <c r="D95" t="str">
        <f>"2."&amp;C95</f>
        <v>2.Macro + Event</v>
      </c>
      <c r="E95">
        <v>1</v>
      </c>
      <c r="F95" t="s">
        <v>142</v>
      </c>
      <c r="G95">
        <v>6.9404859999999999</v>
      </c>
      <c r="H95">
        <v>5.3550909999999998</v>
      </c>
      <c r="I95">
        <v>0.417993</v>
      </c>
      <c r="J95">
        <v>7.2208379999999996</v>
      </c>
      <c r="K95">
        <v>0.27929999999999999</v>
      </c>
      <c r="L95">
        <v>5.581995</v>
      </c>
      <c r="M95">
        <v>0.40810000000000002</v>
      </c>
      <c r="N95">
        <v>4.4867549999999996</v>
      </c>
      <c r="O95">
        <v>0.32525700000000002</v>
      </c>
      <c r="P95" t="s">
        <v>95</v>
      </c>
    </row>
    <row r="96" spans="1:16" x14ac:dyDescent="0.6">
      <c r="A96">
        <v>90</v>
      </c>
      <c r="B96" t="s">
        <v>108</v>
      </c>
      <c r="C96" t="s">
        <v>93</v>
      </c>
      <c r="D96" t="str">
        <f>"3."&amp;C96</f>
        <v>3.Macro + Sentiment</v>
      </c>
      <c r="E96">
        <v>1</v>
      </c>
      <c r="F96" t="s">
        <v>192</v>
      </c>
      <c r="G96">
        <v>6.8807119999999999</v>
      </c>
      <c r="H96">
        <v>5.5028059999999996</v>
      </c>
      <c r="I96">
        <v>0.42892799999999998</v>
      </c>
      <c r="J96">
        <v>8.0426500000000001</v>
      </c>
      <c r="K96">
        <v>0.297923999794178</v>
      </c>
      <c r="L96" s="13">
        <v>5.6844968332827603</v>
      </c>
      <c r="M96" s="13">
        <v>0.41555569837169198</v>
      </c>
      <c r="N96">
        <v>4.8734130859375</v>
      </c>
      <c r="O96">
        <v>0.35191326993736</v>
      </c>
      <c r="P96" t="s">
        <v>101</v>
      </c>
    </row>
    <row r="97" spans="1:16" x14ac:dyDescent="0.6">
      <c r="A97">
        <v>90</v>
      </c>
      <c r="B97" t="s">
        <v>108</v>
      </c>
      <c r="C97" t="s">
        <v>96</v>
      </c>
      <c r="D97" t="str">
        <f>"4."&amp;C97</f>
        <v>4.ALL</v>
      </c>
      <c r="E97">
        <v>1</v>
      </c>
      <c r="F97" t="s">
        <v>177</v>
      </c>
      <c r="G97">
        <v>7.1718039999999998</v>
      </c>
      <c r="H97">
        <v>5.7255950000000002</v>
      </c>
      <c r="I97">
        <v>0.44732499999999997</v>
      </c>
      <c r="J97">
        <v>7.5216200000000004</v>
      </c>
      <c r="K97">
        <v>0.2722</v>
      </c>
      <c r="L97">
        <v>5.431991</v>
      </c>
      <c r="M97">
        <v>0.39815299999999998</v>
      </c>
      <c r="N97">
        <v>4.627014</v>
      </c>
      <c r="O97">
        <v>0.34491699999999997</v>
      </c>
      <c r="P97" t="s">
        <v>95</v>
      </c>
    </row>
  </sheetData>
  <autoFilter ref="A1:J97" xr:uid="{B481732D-18EF-48B1-A897-DA0D69DD0AAE}">
    <sortState xmlns:xlrd2="http://schemas.microsoft.com/office/spreadsheetml/2017/richdata2" ref="A2:J97">
      <sortCondition ref="C1:C9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I17"/>
  <sheetViews>
    <sheetView workbookViewId="0">
      <selection activeCell="I25" sqref="I2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5</v>
      </c>
      <c r="B2" t="s">
        <v>7</v>
      </c>
      <c r="C2" t="s">
        <v>8</v>
      </c>
      <c r="D2">
        <v>7.2118313209826104</v>
      </c>
      <c r="E2">
        <v>0.29788420786338898</v>
      </c>
      <c r="F2" s="13">
        <v>5.6901945634321702</v>
      </c>
      <c r="G2" s="13">
        <v>0.41487732666673899</v>
      </c>
      <c r="H2">
        <v>4.31427001953125</v>
      </c>
      <c r="I2" s="13">
        <v>0.30903714593416998</v>
      </c>
    </row>
    <row r="3" spans="1:9" x14ac:dyDescent="0.6">
      <c r="A3">
        <v>5</v>
      </c>
      <c r="B3" t="s">
        <v>7</v>
      </c>
      <c r="C3" t="s">
        <v>9</v>
      </c>
      <c r="D3" s="13">
        <v>7.1444564286316004</v>
      </c>
      <c r="E3">
        <v>0.27200000000000002</v>
      </c>
      <c r="F3">
        <v>5.4687929999999998</v>
      </c>
      <c r="G3">
        <v>0.40054499999999998</v>
      </c>
      <c r="H3">
        <v>4.6674189999999998</v>
      </c>
      <c r="I3">
        <v>0.34352199999999999</v>
      </c>
    </row>
    <row r="4" spans="1:9" x14ac:dyDescent="0.6">
      <c r="A4">
        <v>5</v>
      </c>
      <c r="B4" t="s">
        <v>7</v>
      </c>
      <c r="C4" t="s">
        <v>93</v>
      </c>
      <c r="D4" s="13">
        <v>7.1959661176296699</v>
      </c>
      <c r="E4">
        <v>0.28290686131512799</v>
      </c>
      <c r="F4" s="13">
        <v>5.6067413060011004</v>
      </c>
      <c r="G4" s="13">
        <v>0.41041722261715402</v>
      </c>
      <c r="H4">
        <v>4.60052490234375</v>
      </c>
      <c r="I4" s="13">
        <v>0.34298178101701499</v>
      </c>
    </row>
    <row r="5" spans="1:9" x14ac:dyDescent="0.6">
      <c r="A5">
        <v>5</v>
      </c>
      <c r="B5" t="s">
        <v>7</v>
      </c>
      <c r="C5" t="s">
        <v>96</v>
      </c>
      <c r="D5" s="13">
        <v>7.1139842906178696</v>
      </c>
      <c r="E5">
        <v>0.254372860049494</v>
      </c>
      <c r="F5" s="13">
        <v>5.3294564706307801</v>
      </c>
      <c r="G5" s="13">
        <v>0.39007840166920299</v>
      </c>
      <c r="H5">
        <v>4.6673583984375</v>
      </c>
      <c r="I5" s="13">
        <v>0.342286514697697</v>
      </c>
    </row>
    <row r="6" spans="1:9" x14ac:dyDescent="0.6">
      <c r="A6">
        <v>5</v>
      </c>
      <c r="B6" t="s">
        <v>10</v>
      </c>
      <c r="C6" t="s">
        <v>8</v>
      </c>
      <c r="D6" s="13">
        <v>7.9057553230941702</v>
      </c>
      <c r="E6">
        <v>0.2994</v>
      </c>
      <c r="F6">
        <v>5.6867190000000001</v>
      </c>
      <c r="G6">
        <v>0.41473599999999999</v>
      </c>
      <c r="H6">
        <v>4.4887079999999999</v>
      </c>
      <c r="I6">
        <v>0.33013799999999999</v>
      </c>
    </row>
    <row r="7" spans="1:9" x14ac:dyDescent="0.6">
      <c r="A7">
        <v>5</v>
      </c>
      <c r="B7" t="s">
        <v>10</v>
      </c>
      <c r="C7" t="s">
        <v>9</v>
      </c>
      <c r="D7" s="13">
        <v>7.4566945306430696</v>
      </c>
      <c r="E7">
        <v>0.27490000000000003</v>
      </c>
      <c r="F7">
        <v>5.4028590000000003</v>
      </c>
      <c r="G7">
        <v>0.39662399999999998</v>
      </c>
      <c r="H7">
        <v>4.5946040000000004</v>
      </c>
      <c r="I7">
        <v>0.33372499999999999</v>
      </c>
    </row>
    <row r="8" spans="1:9" x14ac:dyDescent="0.6">
      <c r="A8">
        <v>5</v>
      </c>
      <c r="B8" t="s">
        <v>10</v>
      </c>
      <c r="C8" t="s">
        <v>93</v>
      </c>
      <c r="D8" s="13">
        <v>7.3325710918834899</v>
      </c>
      <c r="E8">
        <v>0.28449999999999998</v>
      </c>
      <c r="F8">
        <v>5.5980309999999998</v>
      </c>
      <c r="G8">
        <v>0.40990300000000002</v>
      </c>
      <c r="H8">
        <v>4.5358890000000001</v>
      </c>
      <c r="I8">
        <v>0.332318</v>
      </c>
    </row>
    <row r="9" spans="1:9" x14ac:dyDescent="0.6">
      <c r="A9">
        <v>5</v>
      </c>
      <c r="B9" t="s">
        <v>10</v>
      </c>
      <c r="C9" t="s">
        <v>96</v>
      </c>
      <c r="D9" s="13">
        <v>7.3298170573686798</v>
      </c>
      <c r="E9">
        <v>0.25990000000000002</v>
      </c>
      <c r="F9">
        <v>5.3962750000000002</v>
      </c>
      <c r="G9">
        <v>0.39446300000000001</v>
      </c>
      <c r="H9">
        <v>4.6044309999999999</v>
      </c>
      <c r="I9">
        <v>0.33909299999999998</v>
      </c>
    </row>
    <row r="10" spans="1:9" x14ac:dyDescent="0.6">
      <c r="A10">
        <v>5</v>
      </c>
      <c r="B10" t="s">
        <v>99</v>
      </c>
      <c r="C10" t="s">
        <v>8</v>
      </c>
      <c r="D10">
        <v>7.942977</v>
      </c>
      <c r="E10">
        <v>0.29857578610777497</v>
      </c>
      <c r="F10" s="13">
        <v>5.80583121559836</v>
      </c>
      <c r="G10" s="13">
        <v>0.42238218251780701</v>
      </c>
      <c r="H10">
        <v>5.040283203125</v>
      </c>
      <c r="I10" s="13">
        <v>0.36676610353741701</v>
      </c>
    </row>
    <row r="11" spans="1:9" x14ac:dyDescent="0.6">
      <c r="A11">
        <v>5</v>
      </c>
      <c r="B11" t="s">
        <v>99</v>
      </c>
      <c r="C11" t="s">
        <v>9</v>
      </c>
      <c r="D11">
        <v>7.1516469999999996</v>
      </c>
      <c r="E11">
        <v>0.27110000000000001</v>
      </c>
      <c r="F11">
        <v>5.4960550000000001</v>
      </c>
      <c r="G11">
        <v>0.40162900000000001</v>
      </c>
      <c r="H11">
        <v>4.5627440000000004</v>
      </c>
      <c r="I11">
        <v>0.33720600000000001</v>
      </c>
    </row>
    <row r="12" spans="1:9" x14ac:dyDescent="0.6">
      <c r="A12">
        <v>5</v>
      </c>
      <c r="B12" t="s">
        <v>99</v>
      </c>
      <c r="C12" t="s">
        <v>93</v>
      </c>
      <c r="D12">
        <v>7.1286649999999998</v>
      </c>
      <c r="E12">
        <v>0.281065693167936</v>
      </c>
      <c r="F12" s="13">
        <v>5.6277566557948999</v>
      </c>
      <c r="G12" s="13">
        <v>0.41086201470158601</v>
      </c>
      <c r="H12">
        <v>4.9595947265625</v>
      </c>
      <c r="I12" s="13">
        <v>0.35968189239605097</v>
      </c>
    </row>
    <row r="13" spans="1:9" x14ac:dyDescent="0.6">
      <c r="A13">
        <v>5</v>
      </c>
      <c r="B13" t="s">
        <v>99</v>
      </c>
      <c r="C13" t="s">
        <v>96</v>
      </c>
      <c r="D13">
        <v>7.1667379999999996</v>
      </c>
      <c r="E13">
        <v>0.25519712707174297</v>
      </c>
      <c r="F13" s="13">
        <v>5.3747569896556699</v>
      </c>
      <c r="G13" s="13">
        <v>0.39338314687199699</v>
      </c>
      <c r="H13">
        <v>4.52496337890625</v>
      </c>
      <c r="I13">
        <v>0.32217329668037997</v>
      </c>
    </row>
    <row r="14" spans="1:9" x14ac:dyDescent="0.6">
      <c r="A14">
        <v>5</v>
      </c>
      <c r="B14" t="s">
        <v>108</v>
      </c>
      <c r="C14" t="s">
        <v>8</v>
      </c>
      <c r="D14">
        <v>7.1601179999999998</v>
      </c>
      <c r="E14">
        <v>0.29974140145656802</v>
      </c>
      <c r="F14" s="13">
        <v>5.6596484163622804</v>
      </c>
      <c r="G14" s="13">
        <v>0.41482800306756601</v>
      </c>
      <c r="H14">
        <v>4.5623779296875</v>
      </c>
      <c r="I14" s="13">
        <v>0.33639218466642101</v>
      </c>
    </row>
    <row r="15" spans="1:9" x14ac:dyDescent="0.6">
      <c r="A15">
        <v>5</v>
      </c>
      <c r="B15" t="s">
        <v>108</v>
      </c>
      <c r="C15" t="s">
        <v>9</v>
      </c>
      <c r="D15">
        <v>7.2173910000000001</v>
      </c>
      <c r="E15">
        <v>0.27202697693296696</v>
      </c>
      <c r="F15" s="13">
        <v>5.5489361518252203</v>
      </c>
      <c r="G15" s="13">
        <v>0.40615376344681398</v>
      </c>
      <c r="H15">
        <v>4.69781494140625</v>
      </c>
      <c r="I15" s="13">
        <v>0.34369776764759602</v>
      </c>
    </row>
    <row r="16" spans="1:9" x14ac:dyDescent="0.6">
      <c r="A16">
        <v>5</v>
      </c>
      <c r="B16" t="s">
        <v>108</v>
      </c>
      <c r="C16" t="s">
        <v>93</v>
      </c>
      <c r="D16">
        <v>7.3812639999999998</v>
      </c>
      <c r="E16">
        <v>0.28222178417118104</v>
      </c>
      <c r="F16" s="13">
        <v>5.5637089977525598</v>
      </c>
      <c r="G16" s="13">
        <v>0.40512325639341601</v>
      </c>
      <c r="H16">
        <v>4.3341064453125</v>
      </c>
      <c r="I16" s="13">
        <v>0.31378042266703698</v>
      </c>
    </row>
    <row r="17" spans="1:9" x14ac:dyDescent="0.6">
      <c r="A17">
        <v>5</v>
      </c>
      <c r="B17" t="s">
        <v>108</v>
      </c>
      <c r="C17" t="s">
        <v>96</v>
      </c>
      <c r="D17">
        <v>7.2023380000000001</v>
      </c>
      <c r="E17">
        <v>0.25781232054696102</v>
      </c>
      <c r="F17" s="13">
        <v>5.3343183729383599</v>
      </c>
      <c r="G17" s="13">
        <v>0.390580985948002</v>
      </c>
      <c r="H17">
        <v>4.38385009765625</v>
      </c>
      <c r="I17">
        <v>0.31687311333132101</v>
      </c>
    </row>
  </sheetData>
  <phoneticPr fontId="1" type="noConversion"/>
  <conditionalFormatting sqref="D1:D1048576">
    <cfRule type="top10" dxfId="47" priority="6" percent="1" bottom="1" rank="5"/>
  </conditionalFormatting>
  <conditionalFormatting sqref="D1:I1">
    <cfRule type="top10" dxfId="46" priority="7" percent="1" bottom="1" rank="10"/>
  </conditionalFormatting>
  <conditionalFormatting sqref="E1:E1048576">
    <cfRule type="top10" dxfId="45" priority="5" percent="1" bottom="1" rank="5"/>
  </conditionalFormatting>
  <conditionalFormatting sqref="F1:F1048576">
    <cfRule type="top10" dxfId="44" priority="4" percent="1" bottom="1" rank="5"/>
  </conditionalFormatting>
  <conditionalFormatting sqref="G1:G1048576">
    <cfRule type="top10" dxfId="43" priority="3" percent="1" bottom="1" rank="5"/>
  </conditionalFormatting>
  <conditionalFormatting sqref="H1:H1048576">
    <cfRule type="top10" dxfId="42" priority="2" percent="1" bottom="1" rank="5"/>
  </conditionalFormatting>
  <conditionalFormatting sqref="I1:I1048576">
    <cfRule type="top10" dxfId="41" priority="1" percent="1" bottom="1" rank="5"/>
  </conditionalFormatting>
  <conditionalFormatting sqref="K15:K17">
    <cfRule type="top10" dxfId="40" priority="40" percent="1" bottom="1" rank="1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10</v>
      </c>
      <c r="B2" t="s">
        <v>7</v>
      </c>
      <c r="C2" t="s">
        <v>8</v>
      </c>
      <c r="D2" s="13">
        <v>7.2635887135389696</v>
      </c>
      <c r="E2">
        <v>0.30341223214458801</v>
      </c>
      <c r="F2" s="13">
        <v>5.7743017023259897</v>
      </c>
      <c r="G2">
        <v>0.421312826030042</v>
      </c>
      <c r="H2">
        <v>4.69329833984375</v>
      </c>
      <c r="I2" s="13">
        <v>0.342182534395848</v>
      </c>
    </row>
    <row r="3" spans="1:9" x14ac:dyDescent="0.6">
      <c r="A3">
        <v>10</v>
      </c>
      <c r="B3" t="s">
        <v>7</v>
      </c>
      <c r="C3" t="s">
        <v>9</v>
      </c>
      <c r="D3" s="13">
        <v>7.1650203889964903</v>
      </c>
      <c r="E3">
        <v>0.2742</v>
      </c>
      <c r="F3">
        <v>5.4943720000000003</v>
      </c>
      <c r="G3">
        <v>0.402252</v>
      </c>
      <c r="H3">
        <v>4.7616579999999997</v>
      </c>
      <c r="I3">
        <v>0.35395199999999999</v>
      </c>
    </row>
    <row r="4" spans="1:9" x14ac:dyDescent="0.6">
      <c r="A4">
        <v>10</v>
      </c>
      <c r="B4" t="s">
        <v>7</v>
      </c>
      <c r="C4" t="s">
        <v>93</v>
      </c>
      <c r="D4">
        <v>7.12726758717778</v>
      </c>
      <c r="E4">
        <v>0.28720000000000001</v>
      </c>
      <c r="F4">
        <v>5.5767559999999996</v>
      </c>
      <c r="G4">
        <v>0.40916400000000003</v>
      </c>
      <c r="H4">
        <v>4.4080810000000001</v>
      </c>
      <c r="I4">
        <v>0.32418999999999998</v>
      </c>
    </row>
    <row r="5" spans="1:9" x14ac:dyDescent="0.6">
      <c r="A5">
        <v>10</v>
      </c>
      <c r="B5" t="s">
        <v>7</v>
      </c>
      <c r="C5" t="s">
        <v>96</v>
      </c>
      <c r="D5">
        <v>7.2876127684860004</v>
      </c>
      <c r="E5">
        <v>0.26189999999999997</v>
      </c>
      <c r="F5">
        <v>5.434768</v>
      </c>
      <c r="G5">
        <v>0.39750799999999997</v>
      </c>
      <c r="H5">
        <v>4.5741579999999997</v>
      </c>
      <c r="I5">
        <v>0.33750200000000002</v>
      </c>
    </row>
    <row r="6" spans="1:9" x14ac:dyDescent="0.6">
      <c r="A6">
        <v>10</v>
      </c>
      <c r="B6" t="s">
        <v>10</v>
      </c>
      <c r="C6" t="s">
        <v>8</v>
      </c>
      <c r="D6" s="13">
        <v>7.1804869378807403</v>
      </c>
      <c r="E6">
        <v>0.2999</v>
      </c>
      <c r="F6">
        <v>5.7498740000000002</v>
      </c>
      <c r="G6">
        <v>0.41781299999999999</v>
      </c>
      <c r="H6">
        <v>4.9365839999999999</v>
      </c>
      <c r="I6">
        <v>0.35901300000000003</v>
      </c>
    </row>
    <row r="7" spans="1:9" x14ac:dyDescent="0.6">
      <c r="A7">
        <v>10</v>
      </c>
      <c r="B7" t="s">
        <v>10</v>
      </c>
      <c r="C7" t="s">
        <v>9</v>
      </c>
      <c r="D7" s="13">
        <v>7.5700876998084103</v>
      </c>
      <c r="E7">
        <v>0.27659999999999996</v>
      </c>
      <c r="F7">
        <v>5.4203900000000003</v>
      </c>
      <c r="G7">
        <v>0.397868</v>
      </c>
      <c r="H7">
        <v>4.642944</v>
      </c>
      <c r="I7">
        <v>0.33465699999999998</v>
      </c>
    </row>
    <row r="8" spans="1:9" x14ac:dyDescent="0.6">
      <c r="A8">
        <v>10</v>
      </c>
      <c r="B8" t="s">
        <v>10</v>
      </c>
      <c r="C8" t="s">
        <v>93</v>
      </c>
      <c r="D8" s="13">
        <v>7.0142449105703699</v>
      </c>
      <c r="E8">
        <v>0.28189999999999998</v>
      </c>
      <c r="F8">
        <v>5.5962430000000003</v>
      </c>
      <c r="G8">
        <v>0.40754000000000001</v>
      </c>
      <c r="H8">
        <v>4.4950559999999999</v>
      </c>
      <c r="I8">
        <v>0.33418700000000001</v>
      </c>
    </row>
    <row r="9" spans="1:9" x14ac:dyDescent="0.6">
      <c r="A9">
        <v>10</v>
      </c>
      <c r="B9" t="s">
        <v>10</v>
      </c>
      <c r="C9" t="s">
        <v>96</v>
      </c>
      <c r="D9" s="13">
        <v>7.8786325896825096</v>
      </c>
      <c r="E9">
        <v>0.26266763540183202</v>
      </c>
      <c r="F9" s="13">
        <v>5.3779223406756298</v>
      </c>
      <c r="G9" s="13">
        <v>0.39357667406389801</v>
      </c>
      <c r="H9">
        <v>4.82080078125</v>
      </c>
      <c r="I9" s="13">
        <v>0.35856878623634098</v>
      </c>
    </row>
    <row r="10" spans="1:9" x14ac:dyDescent="0.6">
      <c r="A10">
        <v>10</v>
      </c>
      <c r="B10" t="s">
        <v>99</v>
      </c>
      <c r="C10" t="s">
        <v>8</v>
      </c>
      <c r="D10">
        <v>7.1164800000000001</v>
      </c>
      <c r="E10">
        <v>0.30258052650601697</v>
      </c>
      <c r="F10" s="13">
        <v>5.7225223888050403</v>
      </c>
      <c r="G10" s="13">
        <v>0.417181750445344</v>
      </c>
      <c r="H10">
        <v>4.81048583984375</v>
      </c>
      <c r="I10" s="13">
        <v>0.34794145670430998</v>
      </c>
    </row>
    <row r="11" spans="1:9" x14ac:dyDescent="0.6">
      <c r="A11">
        <v>10</v>
      </c>
      <c r="B11" t="s">
        <v>99</v>
      </c>
      <c r="C11" t="s">
        <v>9</v>
      </c>
      <c r="D11">
        <v>7.0868869999999999</v>
      </c>
      <c r="E11">
        <v>0.27160000000000001</v>
      </c>
      <c r="F11">
        <v>5.4568960000000004</v>
      </c>
      <c r="G11">
        <v>0.397374</v>
      </c>
      <c r="H11">
        <v>4.4688720000000002</v>
      </c>
      <c r="I11">
        <v>0.32714700000000002</v>
      </c>
    </row>
    <row r="12" spans="1:9" x14ac:dyDescent="0.6">
      <c r="A12">
        <v>10</v>
      </c>
      <c r="B12" t="s">
        <v>99</v>
      </c>
      <c r="C12" t="s">
        <v>93</v>
      </c>
      <c r="D12">
        <v>7.1488699999999996</v>
      </c>
      <c r="E12">
        <v>0.28401633670786602</v>
      </c>
      <c r="F12" s="13">
        <v>5.6872961544296103</v>
      </c>
      <c r="G12">
        <v>0.41507311278542303</v>
      </c>
      <c r="H12">
        <v>4.5816650390625</v>
      </c>
      <c r="I12" s="13">
        <v>0.33531632982638598</v>
      </c>
    </row>
    <row r="13" spans="1:9" x14ac:dyDescent="0.6">
      <c r="A13">
        <v>10</v>
      </c>
      <c r="B13" t="s">
        <v>99</v>
      </c>
      <c r="C13" t="s">
        <v>96</v>
      </c>
      <c r="D13">
        <v>7.0831780000000002</v>
      </c>
      <c r="E13">
        <v>0.26180000000000003</v>
      </c>
      <c r="F13">
        <v>5.4186059999999996</v>
      </c>
      <c r="G13">
        <v>0.39645900000000001</v>
      </c>
      <c r="H13">
        <v>4.3173830000000004</v>
      </c>
      <c r="I13">
        <v>0.32121499999999997</v>
      </c>
    </row>
    <row r="14" spans="1:9" x14ac:dyDescent="0.6">
      <c r="A14">
        <v>10</v>
      </c>
      <c r="B14" t="s">
        <v>108</v>
      </c>
      <c r="C14" t="s">
        <v>8</v>
      </c>
      <c r="D14">
        <v>7.2915239999999999</v>
      </c>
      <c r="E14">
        <v>0.30560981843080198</v>
      </c>
      <c r="F14" s="13">
        <v>5.7484637173739301</v>
      </c>
      <c r="G14" s="13">
        <v>0.41920186875356302</v>
      </c>
      <c r="H14">
        <v>4.50982666015625</v>
      </c>
      <c r="I14">
        <v>0.32744125759083598</v>
      </c>
    </row>
    <row r="15" spans="1:9" x14ac:dyDescent="0.6">
      <c r="A15">
        <v>10</v>
      </c>
      <c r="B15" t="s">
        <v>108</v>
      </c>
      <c r="C15" t="s">
        <v>9</v>
      </c>
      <c r="D15">
        <v>7.1114889999999997</v>
      </c>
      <c r="E15">
        <v>0.27593425972084501</v>
      </c>
      <c r="F15" s="13">
        <v>5.3940382127637898</v>
      </c>
      <c r="G15" s="13">
        <v>0.39588277358062901</v>
      </c>
      <c r="H15">
        <v>4.6175537109375</v>
      </c>
      <c r="I15" s="13">
        <v>0.338844693192139</v>
      </c>
    </row>
    <row r="16" spans="1:9" x14ac:dyDescent="0.6">
      <c r="A16">
        <v>10</v>
      </c>
      <c r="B16" t="s">
        <v>108</v>
      </c>
      <c r="C16" t="s">
        <v>93</v>
      </c>
      <c r="D16">
        <v>7.0888549999999997</v>
      </c>
      <c r="E16">
        <v>0.28487297967471198</v>
      </c>
      <c r="F16" s="13">
        <v>5.6469062197524797</v>
      </c>
      <c r="G16" s="13">
        <v>0.41345179830305501</v>
      </c>
      <c r="H16">
        <v>4.73565673828125</v>
      </c>
      <c r="I16" s="13">
        <v>0.34955737827894601</v>
      </c>
    </row>
    <row r="17" spans="1:9" x14ac:dyDescent="0.6">
      <c r="A17">
        <v>10</v>
      </c>
      <c r="B17" t="s">
        <v>108</v>
      </c>
      <c r="C17" t="s">
        <v>96</v>
      </c>
      <c r="D17">
        <v>7.0696479999999999</v>
      </c>
      <c r="E17">
        <v>0.26048837702643801</v>
      </c>
      <c r="F17" s="13">
        <v>5.3544643365063704</v>
      </c>
      <c r="G17" s="13">
        <v>0.39158716586970299</v>
      </c>
      <c r="H17">
        <v>4.52813720703125</v>
      </c>
      <c r="I17" s="13">
        <v>0.33064387364049003</v>
      </c>
    </row>
  </sheetData>
  <phoneticPr fontId="1" type="noConversion"/>
  <conditionalFormatting sqref="D1:D1048576">
    <cfRule type="top10" dxfId="39" priority="6" percent="1" bottom="1" rank="5"/>
  </conditionalFormatting>
  <conditionalFormatting sqref="D1:I1">
    <cfRule type="top10" dxfId="38" priority="7" percent="1" bottom="1" rank="10"/>
  </conditionalFormatting>
  <conditionalFormatting sqref="E1:E1048576">
    <cfRule type="top10" dxfId="37" priority="5" percent="1" bottom="1" rank="5"/>
  </conditionalFormatting>
  <conditionalFormatting sqref="F1:F1048576">
    <cfRule type="top10" dxfId="36" priority="4" percent="1" bottom="1" rank="5"/>
  </conditionalFormatting>
  <conditionalFormatting sqref="G1:G1048576">
    <cfRule type="top10" dxfId="35" priority="3" percent="1" bottom="1" rank="5"/>
  </conditionalFormatting>
  <conditionalFormatting sqref="H1:H1048576">
    <cfRule type="top10" dxfId="34" priority="2" percent="1" bottom="1" rank="5"/>
  </conditionalFormatting>
  <conditionalFormatting sqref="I1:I1048576">
    <cfRule type="top10" dxfId="33" priority="1" percent="1" bottom="1" rank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20</v>
      </c>
      <c r="B2" t="s">
        <v>7</v>
      </c>
      <c r="C2" t="s">
        <v>8</v>
      </c>
      <c r="D2" s="13">
        <v>6.9281274884322803</v>
      </c>
      <c r="E2">
        <v>0.30700049499795001</v>
      </c>
      <c r="F2" s="13">
        <v>5.8563513291620497</v>
      </c>
      <c r="G2" s="13">
        <v>0.42847433538913698</v>
      </c>
      <c r="H2">
        <v>4.71337890625</v>
      </c>
      <c r="I2" s="13">
        <v>0.34797289463790698</v>
      </c>
    </row>
    <row r="3" spans="1:9" x14ac:dyDescent="0.6">
      <c r="A3">
        <v>20</v>
      </c>
      <c r="B3" t="s">
        <v>7</v>
      </c>
      <c r="C3" t="s">
        <v>9</v>
      </c>
      <c r="D3">
        <v>7.1777958405386597</v>
      </c>
      <c r="E3">
        <v>0.27739999999999998</v>
      </c>
      <c r="F3">
        <v>5.4543119999999998</v>
      </c>
      <c r="G3">
        <v>0.400171</v>
      </c>
      <c r="H3">
        <v>4.3620609999999997</v>
      </c>
      <c r="I3">
        <v>0.32153599999999999</v>
      </c>
    </row>
    <row r="4" spans="1:9" x14ac:dyDescent="0.6">
      <c r="A4">
        <v>20</v>
      </c>
      <c r="B4" t="s">
        <v>7</v>
      </c>
      <c r="C4" t="s">
        <v>93</v>
      </c>
      <c r="D4" s="13">
        <v>6.8881908498624496</v>
      </c>
      <c r="E4">
        <v>0.2848</v>
      </c>
      <c r="F4">
        <v>5.629149</v>
      </c>
      <c r="G4">
        <v>0.40935500000000002</v>
      </c>
      <c r="H4">
        <v>4.5522460000000002</v>
      </c>
      <c r="I4">
        <v>0.33660400000000001</v>
      </c>
    </row>
    <row r="5" spans="1:9" x14ac:dyDescent="0.6">
      <c r="A5">
        <v>20</v>
      </c>
      <c r="B5" t="s">
        <v>7</v>
      </c>
      <c r="C5" t="s">
        <v>96</v>
      </c>
      <c r="D5" s="13">
        <v>6.9015758180726801</v>
      </c>
      <c r="E5">
        <v>0.26525875391023002</v>
      </c>
      <c r="F5" s="13">
        <v>5.3826164313122202</v>
      </c>
      <c r="G5" s="13">
        <v>0.394732501653973</v>
      </c>
      <c r="H5">
        <v>4.49322509765625</v>
      </c>
      <c r="I5" s="13">
        <v>0.33505722785023201</v>
      </c>
    </row>
    <row r="6" spans="1:9" x14ac:dyDescent="0.6">
      <c r="A6">
        <v>20</v>
      </c>
      <c r="B6" t="s">
        <v>10</v>
      </c>
      <c r="C6" t="s">
        <v>8</v>
      </c>
      <c r="D6">
        <v>7.2321264129907004</v>
      </c>
      <c r="E6">
        <v>0.30891904762220601</v>
      </c>
      <c r="F6" s="13">
        <v>5.89081877180673</v>
      </c>
      <c r="G6" s="13">
        <v>0.429472085769944</v>
      </c>
      <c r="H6">
        <v>4.89654541015625</v>
      </c>
      <c r="I6" s="13">
        <v>0.36789645511561497</v>
      </c>
    </row>
    <row r="7" spans="1:9" x14ac:dyDescent="0.6">
      <c r="A7">
        <v>20</v>
      </c>
      <c r="B7" t="s">
        <v>10</v>
      </c>
      <c r="C7" t="s">
        <v>9</v>
      </c>
      <c r="D7" s="13">
        <v>6.9988769277651004</v>
      </c>
      <c r="E7">
        <v>0.27673687531393298</v>
      </c>
      <c r="F7" s="13">
        <v>5.4374060166620497</v>
      </c>
      <c r="G7" s="13">
        <v>0.39856606711291298</v>
      </c>
      <c r="H7">
        <v>4.5518798828125</v>
      </c>
      <c r="I7" s="13">
        <v>0.340928896822143</v>
      </c>
    </row>
    <row r="8" spans="1:9" x14ac:dyDescent="0.6">
      <c r="A8">
        <v>20</v>
      </c>
      <c r="B8" t="s">
        <v>10</v>
      </c>
      <c r="C8" t="s">
        <v>93</v>
      </c>
      <c r="D8" s="13">
        <v>8.5862845011260003</v>
      </c>
      <c r="E8">
        <v>0.28613758622900298</v>
      </c>
      <c r="F8" s="13">
        <v>5.6326327389233697</v>
      </c>
      <c r="G8" s="13">
        <v>0.40964829381471402</v>
      </c>
      <c r="H8">
        <v>4.36944580078125</v>
      </c>
      <c r="I8" s="13">
        <v>0.31713756380722002</v>
      </c>
    </row>
    <row r="9" spans="1:9" x14ac:dyDescent="0.6">
      <c r="A9">
        <v>20</v>
      </c>
      <c r="B9" t="s">
        <v>10</v>
      </c>
      <c r="C9" t="s">
        <v>96</v>
      </c>
      <c r="D9">
        <v>7.4022666783059101</v>
      </c>
      <c r="E9">
        <v>0.26607777874826699</v>
      </c>
      <c r="F9" s="13">
        <v>5.5268981341019403</v>
      </c>
      <c r="G9" s="13">
        <v>0.40375467204619397</v>
      </c>
      <c r="H9">
        <v>4.767333984375</v>
      </c>
      <c r="I9">
        <v>0.34972680165453801</v>
      </c>
    </row>
    <row r="10" spans="1:9" x14ac:dyDescent="0.6">
      <c r="A10">
        <v>20</v>
      </c>
      <c r="B10" t="s">
        <v>99</v>
      </c>
      <c r="C10" t="s">
        <v>8</v>
      </c>
      <c r="D10">
        <v>6.9952860000000001</v>
      </c>
      <c r="E10">
        <v>0.30849102457509403</v>
      </c>
      <c r="F10" s="13">
        <v>5.7968616224314999</v>
      </c>
      <c r="G10" s="13">
        <v>0.42226395848126103</v>
      </c>
      <c r="H10">
        <v>4.65606689453125</v>
      </c>
      <c r="I10">
        <v>0.34097527650461101</v>
      </c>
    </row>
    <row r="11" spans="1:9" x14ac:dyDescent="0.6">
      <c r="A11">
        <v>20</v>
      </c>
      <c r="B11" t="s">
        <v>99</v>
      </c>
      <c r="C11" t="s">
        <v>9</v>
      </c>
      <c r="D11">
        <v>6.9888719999999998</v>
      </c>
      <c r="E11">
        <v>0.2772</v>
      </c>
      <c r="F11">
        <v>5.4565830000000002</v>
      </c>
      <c r="G11">
        <v>0.40040500000000001</v>
      </c>
      <c r="H11">
        <v>4.5373539999999997</v>
      </c>
      <c r="I11">
        <v>0.32225999999999999</v>
      </c>
    </row>
    <row r="12" spans="1:9" x14ac:dyDescent="0.6">
      <c r="A12">
        <v>20</v>
      </c>
      <c r="B12" t="s">
        <v>99</v>
      </c>
      <c r="C12" t="s">
        <v>93</v>
      </c>
      <c r="D12">
        <v>7.0836389999999998</v>
      </c>
      <c r="E12">
        <v>0.29046865405218203</v>
      </c>
      <c r="F12" s="13">
        <v>5.6081220618574097</v>
      </c>
      <c r="G12">
        <v>0.411520670803107</v>
      </c>
      <c r="H12">
        <v>4.8148193359375</v>
      </c>
      <c r="I12" s="13">
        <v>0.35828804138801001</v>
      </c>
    </row>
    <row r="13" spans="1:9" x14ac:dyDescent="0.6">
      <c r="A13">
        <v>20</v>
      </c>
      <c r="B13" t="s">
        <v>99</v>
      </c>
      <c r="C13" t="s">
        <v>96</v>
      </c>
      <c r="D13">
        <v>7.0427470000000003</v>
      </c>
      <c r="E13">
        <v>0.26519999999999999</v>
      </c>
      <c r="F13">
        <v>5.4657520000000002</v>
      </c>
      <c r="G13">
        <v>0.39968100000000001</v>
      </c>
      <c r="H13">
        <v>4.5834960000000002</v>
      </c>
      <c r="I13">
        <v>0.338308</v>
      </c>
    </row>
    <row r="14" spans="1:9" x14ac:dyDescent="0.6">
      <c r="A14">
        <v>20</v>
      </c>
      <c r="B14" t="s">
        <v>108</v>
      </c>
      <c r="C14" t="s">
        <v>8</v>
      </c>
      <c r="D14">
        <v>7.0688050000000002</v>
      </c>
      <c r="E14">
        <v>0.30664734052742898</v>
      </c>
      <c r="F14" s="13">
        <v>5.9513658497431496</v>
      </c>
      <c r="G14">
        <v>0.43191930452456301</v>
      </c>
      <c r="H14">
        <v>4.63812255859375</v>
      </c>
      <c r="I14" s="13">
        <v>0.33464390093780699</v>
      </c>
    </row>
    <row r="15" spans="1:9" x14ac:dyDescent="0.6">
      <c r="A15">
        <v>20</v>
      </c>
      <c r="B15" t="s">
        <v>108</v>
      </c>
      <c r="C15" t="s">
        <v>9</v>
      </c>
      <c r="D15">
        <v>7.224634</v>
      </c>
      <c r="E15">
        <v>0.27791071598327999</v>
      </c>
      <c r="F15" s="13">
        <v>5.4973658808955399</v>
      </c>
      <c r="G15" s="13">
        <v>0.402926704755806</v>
      </c>
      <c r="H15">
        <v>4.43603515625</v>
      </c>
      <c r="I15" s="13">
        <v>0.32673135791585201</v>
      </c>
    </row>
    <row r="16" spans="1:9" x14ac:dyDescent="0.6">
      <c r="A16">
        <v>20</v>
      </c>
      <c r="B16" t="s">
        <v>108</v>
      </c>
      <c r="C16" t="s">
        <v>93</v>
      </c>
      <c r="D16">
        <v>7.072762</v>
      </c>
      <c r="E16">
        <v>0.29100392754160498</v>
      </c>
      <c r="F16" s="13">
        <v>5.5375347715435597</v>
      </c>
      <c r="G16" s="13">
        <v>0.40675142695829603</v>
      </c>
      <c r="H16">
        <v>4.356201171875</v>
      </c>
      <c r="I16" s="13">
        <v>0.32653469062791601</v>
      </c>
    </row>
    <row r="17" spans="1:9" x14ac:dyDescent="0.6">
      <c r="A17">
        <v>20</v>
      </c>
      <c r="B17" t="s">
        <v>108</v>
      </c>
      <c r="C17" t="s">
        <v>96</v>
      </c>
      <c r="D17">
        <v>7.0516189999999996</v>
      </c>
      <c r="E17">
        <v>0.26629999999999998</v>
      </c>
      <c r="F17">
        <v>5.4507180000000002</v>
      </c>
      <c r="G17">
        <v>0.39877899999999999</v>
      </c>
      <c r="H17">
        <v>4.5579219999999996</v>
      </c>
      <c r="I17">
        <v>0.33674999999999999</v>
      </c>
    </row>
  </sheetData>
  <phoneticPr fontId="1" type="noConversion"/>
  <conditionalFormatting sqref="D1:D1048576">
    <cfRule type="top10" dxfId="32" priority="6" percent="1" bottom="1" rank="5"/>
  </conditionalFormatting>
  <conditionalFormatting sqref="D1:I1">
    <cfRule type="top10" dxfId="31" priority="7" percent="1" bottom="1" rank="10"/>
  </conditionalFormatting>
  <conditionalFormatting sqref="E1:E1048576">
    <cfRule type="top10" dxfId="30" priority="5" percent="1" bottom="1" rank="5"/>
  </conditionalFormatting>
  <conditionalFormatting sqref="F1:F1048576">
    <cfRule type="top10" dxfId="29" priority="4" percent="1" bottom="1" rank="5"/>
  </conditionalFormatting>
  <conditionalFormatting sqref="G1:G1048576">
    <cfRule type="top10" dxfId="28" priority="3" percent="1" bottom="1" rank="5"/>
  </conditionalFormatting>
  <conditionalFormatting sqref="H1:H1048576">
    <cfRule type="top10" dxfId="27" priority="2" percent="1" bottom="1" rank="5"/>
  </conditionalFormatting>
  <conditionalFormatting sqref="I1:I1048576">
    <cfRule type="top10" dxfId="26" priority="1" percent="1" bottom="1" rank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30</v>
      </c>
      <c r="B2" t="s">
        <v>7</v>
      </c>
      <c r="C2" t="s">
        <v>8</v>
      </c>
      <c r="D2" s="13">
        <v>7.0741044869479301</v>
      </c>
      <c r="E2">
        <v>0.30990582236091596</v>
      </c>
      <c r="F2" s="13">
        <v>5.8700829074807297</v>
      </c>
      <c r="G2" s="13">
        <v>0.42678540174651503</v>
      </c>
      <c r="H2">
        <v>4.2069091796875</v>
      </c>
      <c r="I2" s="13">
        <v>0.30388860369993198</v>
      </c>
    </row>
    <row r="3" spans="1:9" x14ac:dyDescent="0.6">
      <c r="A3">
        <v>30</v>
      </c>
      <c r="B3" t="s">
        <v>7</v>
      </c>
      <c r="C3" t="s">
        <v>9</v>
      </c>
      <c r="D3" s="13">
        <v>7.4534726521353596</v>
      </c>
      <c r="E3">
        <v>0.27739999999999998</v>
      </c>
      <c r="F3">
        <v>5.5053179999999999</v>
      </c>
      <c r="G3">
        <v>0.40247699999999997</v>
      </c>
      <c r="H3">
        <v>5.0181269999999998</v>
      </c>
      <c r="I3">
        <v>0.36741200000000002</v>
      </c>
    </row>
    <row r="4" spans="1:9" x14ac:dyDescent="0.6">
      <c r="A4">
        <v>30</v>
      </c>
      <c r="B4" t="s">
        <v>7</v>
      </c>
      <c r="C4" t="s">
        <v>93</v>
      </c>
      <c r="D4" s="13">
        <v>6.9718347171281696</v>
      </c>
      <c r="E4">
        <v>0.2863</v>
      </c>
      <c r="F4">
        <v>5.657025</v>
      </c>
      <c r="G4">
        <v>0.411939</v>
      </c>
      <c r="H4">
        <v>4.9416500000000001</v>
      </c>
      <c r="I4">
        <v>0.35875200000000002</v>
      </c>
    </row>
    <row r="5" spans="1:9" x14ac:dyDescent="0.6">
      <c r="A5">
        <v>30</v>
      </c>
      <c r="B5" t="s">
        <v>7</v>
      </c>
      <c r="C5" t="s">
        <v>96</v>
      </c>
      <c r="D5" s="13">
        <v>7.0593916444464098</v>
      </c>
      <c r="E5">
        <v>0.26900000000000002</v>
      </c>
      <c r="F5">
        <v>5.412121</v>
      </c>
      <c r="G5">
        <v>0.39660400000000001</v>
      </c>
      <c r="H5">
        <v>4.6882929999999998</v>
      </c>
      <c r="I5">
        <v>0.34257300000000002</v>
      </c>
    </row>
    <row r="6" spans="1:9" x14ac:dyDescent="0.6">
      <c r="A6">
        <v>30</v>
      </c>
      <c r="B6" t="s">
        <v>10</v>
      </c>
      <c r="C6" t="s">
        <v>8</v>
      </c>
      <c r="D6" s="13">
        <v>7.2593668102643196</v>
      </c>
      <c r="E6">
        <v>0.31321900543304299</v>
      </c>
      <c r="F6">
        <v>5.8081255826083096</v>
      </c>
      <c r="G6" s="13">
        <v>0.42361236748120401</v>
      </c>
      <c r="H6">
        <v>4.75750732421875</v>
      </c>
      <c r="I6" s="13">
        <v>0.349641073896789</v>
      </c>
    </row>
    <row r="7" spans="1:9" x14ac:dyDescent="0.6">
      <c r="A7">
        <v>30</v>
      </c>
      <c r="B7" t="s">
        <v>10</v>
      </c>
      <c r="C7" t="s">
        <v>9</v>
      </c>
      <c r="D7" s="13">
        <v>7.6305046082067403</v>
      </c>
      <c r="E7">
        <v>0.27856673564490098</v>
      </c>
      <c r="F7" s="13">
        <v>5.5506528383725602</v>
      </c>
      <c r="G7" s="13">
        <v>0.40683450336588101</v>
      </c>
      <c r="H7">
        <v>4.5689697265625</v>
      </c>
      <c r="I7" s="13">
        <v>0.340649860177346</v>
      </c>
    </row>
    <row r="8" spans="1:9" x14ac:dyDescent="0.6">
      <c r="A8">
        <v>30</v>
      </c>
      <c r="B8" t="s">
        <v>10</v>
      </c>
      <c r="C8" t="s">
        <v>93</v>
      </c>
      <c r="D8" s="13">
        <v>7.3052304439284397</v>
      </c>
      <c r="E8">
        <v>0.28858870310324397</v>
      </c>
      <c r="F8" s="13">
        <v>5.6495085415774797</v>
      </c>
      <c r="G8" s="13">
        <v>0.41088423851464601</v>
      </c>
      <c r="H8">
        <v>4.7451171875</v>
      </c>
      <c r="I8" s="13">
        <v>0.34456918415495102</v>
      </c>
    </row>
    <row r="9" spans="1:9" x14ac:dyDescent="0.6">
      <c r="A9">
        <v>30</v>
      </c>
      <c r="B9" t="s">
        <v>10</v>
      </c>
      <c r="C9" t="s">
        <v>96</v>
      </c>
      <c r="D9" s="13">
        <v>7.7712941842448204</v>
      </c>
      <c r="E9">
        <v>0.26864105538190697</v>
      </c>
      <c r="F9" s="13">
        <v>5.39117490898058</v>
      </c>
      <c r="G9" s="13">
        <v>0.39437584931035502</v>
      </c>
      <c r="H9">
        <v>4.47637939453125</v>
      </c>
      <c r="I9" s="13">
        <v>0.31870420142372202</v>
      </c>
    </row>
    <row r="10" spans="1:9" x14ac:dyDescent="0.6">
      <c r="A10">
        <v>30</v>
      </c>
      <c r="B10" t="s">
        <v>99</v>
      </c>
      <c r="C10" t="s">
        <v>8</v>
      </c>
      <c r="D10">
        <v>7.102481</v>
      </c>
      <c r="E10">
        <v>0.31240044621066199</v>
      </c>
      <c r="F10">
        <v>5.7508946248929798</v>
      </c>
      <c r="G10" s="13">
        <v>0.419060877069794</v>
      </c>
      <c r="H10">
        <v>4.26141357421875</v>
      </c>
      <c r="I10" s="13">
        <v>0.312370312256608</v>
      </c>
    </row>
    <row r="11" spans="1:9" x14ac:dyDescent="0.6">
      <c r="A11">
        <v>30</v>
      </c>
      <c r="B11" t="s">
        <v>99</v>
      </c>
      <c r="C11" t="s">
        <v>9</v>
      </c>
      <c r="D11">
        <v>7.3824569999999996</v>
      </c>
      <c r="E11">
        <v>0.27810000000000001</v>
      </c>
      <c r="F11">
        <v>5.4625450000000004</v>
      </c>
      <c r="G11">
        <v>0.39982099999999998</v>
      </c>
      <c r="H11">
        <v>4.546265</v>
      </c>
      <c r="I11">
        <v>0.327484</v>
      </c>
    </row>
    <row r="12" spans="1:9" x14ac:dyDescent="0.6">
      <c r="A12">
        <v>30</v>
      </c>
      <c r="B12" t="s">
        <v>99</v>
      </c>
      <c r="C12" t="s">
        <v>93</v>
      </c>
      <c r="D12">
        <v>7.0879009999999996</v>
      </c>
      <c r="E12">
        <v>0.28809999999999997</v>
      </c>
      <c r="F12">
        <v>5.6173570000000002</v>
      </c>
      <c r="G12">
        <v>0.40954499999999999</v>
      </c>
      <c r="H12">
        <v>4.5057980000000004</v>
      </c>
      <c r="I12">
        <v>0.330175</v>
      </c>
    </row>
    <row r="13" spans="1:9" x14ac:dyDescent="0.6">
      <c r="A13">
        <v>30</v>
      </c>
      <c r="B13" t="s">
        <v>99</v>
      </c>
      <c r="C13" t="s">
        <v>96</v>
      </c>
      <c r="D13">
        <v>6.9670030000000001</v>
      </c>
      <c r="E13">
        <v>0.26840000000000003</v>
      </c>
      <c r="F13">
        <v>5.4607749999999999</v>
      </c>
      <c r="G13">
        <v>0.39980300000000002</v>
      </c>
      <c r="H13">
        <v>4.8067019999999996</v>
      </c>
      <c r="I13">
        <v>0.34881099999999998</v>
      </c>
    </row>
    <row r="14" spans="1:9" x14ac:dyDescent="0.6">
      <c r="A14">
        <v>30</v>
      </c>
      <c r="B14" t="s">
        <v>108</v>
      </c>
      <c r="C14" t="s">
        <v>8</v>
      </c>
      <c r="D14">
        <v>7.2696249999999996</v>
      </c>
      <c r="E14">
        <v>0.32168777640263996</v>
      </c>
      <c r="F14">
        <v>6.1267018734830101</v>
      </c>
      <c r="G14" s="13">
        <v>0.44711377205408898</v>
      </c>
      <c r="H14">
        <v>5.2047119140625</v>
      </c>
      <c r="I14">
        <v>0.37442910115878097</v>
      </c>
    </row>
    <row r="15" spans="1:9" x14ac:dyDescent="0.6">
      <c r="A15">
        <v>30</v>
      </c>
      <c r="B15" t="s">
        <v>108</v>
      </c>
      <c r="C15" t="s">
        <v>9</v>
      </c>
      <c r="D15">
        <v>7.1938149999999998</v>
      </c>
      <c r="E15">
        <v>0.27834729912177703</v>
      </c>
      <c r="F15" s="13">
        <v>5.4466844406802997</v>
      </c>
      <c r="G15" s="13">
        <v>0.39956306720509099</v>
      </c>
      <c r="H15">
        <v>4.5809326171875</v>
      </c>
      <c r="I15" s="13">
        <v>0.33484432489892202</v>
      </c>
    </row>
    <row r="16" spans="1:9" x14ac:dyDescent="0.6">
      <c r="A16">
        <v>30</v>
      </c>
      <c r="B16" t="s">
        <v>108</v>
      </c>
      <c r="C16" t="s">
        <v>93</v>
      </c>
      <c r="D16">
        <v>7.1920529999999996</v>
      </c>
      <c r="E16">
        <v>0.28709999999999997</v>
      </c>
      <c r="F16">
        <v>5.7279540000000004</v>
      </c>
      <c r="G16">
        <v>0.41683500000000001</v>
      </c>
      <c r="H16">
        <v>4.6701050000000004</v>
      </c>
      <c r="I16">
        <v>0.34315699999999999</v>
      </c>
    </row>
    <row r="17" spans="1:9" x14ac:dyDescent="0.6">
      <c r="A17">
        <v>30</v>
      </c>
      <c r="B17" t="s">
        <v>108</v>
      </c>
      <c r="C17" t="s">
        <v>96</v>
      </c>
      <c r="D17">
        <v>7.11876</v>
      </c>
      <c r="E17">
        <v>0.26840000000000003</v>
      </c>
      <c r="F17">
        <v>5.4878910000000003</v>
      </c>
      <c r="G17">
        <v>0.401694</v>
      </c>
      <c r="H17">
        <v>4.5192259999999997</v>
      </c>
      <c r="I17">
        <v>0.33579300000000001</v>
      </c>
    </row>
  </sheetData>
  <phoneticPr fontId="1" type="noConversion"/>
  <conditionalFormatting sqref="D1:D1048576">
    <cfRule type="top10" dxfId="25" priority="6" percent="1" bottom="1" rank="5"/>
  </conditionalFormatting>
  <conditionalFormatting sqref="D1:I1">
    <cfRule type="top10" dxfId="24" priority="7" percent="1" bottom="1" rank="10"/>
  </conditionalFormatting>
  <conditionalFormatting sqref="E1:E1048576">
    <cfRule type="top10" dxfId="23" priority="5" percent="1" bottom="1" rank="5"/>
  </conditionalFormatting>
  <conditionalFormatting sqref="F1:F1048576">
    <cfRule type="top10" dxfId="22" priority="4" percent="1" bottom="1" rank="5"/>
  </conditionalFormatting>
  <conditionalFormatting sqref="G1:G1048576">
    <cfRule type="top10" dxfId="21" priority="3" percent="1" bottom="1" rank="5"/>
  </conditionalFormatting>
  <conditionalFormatting sqref="H1:H1048576">
    <cfRule type="top10" dxfId="20" priority="2" percent="1" bottom="1" rank="5"/>
  </conditionalFormatting>
  <conditionalFormatting sqref="I1:I1048576">
    <cfRule type="top10" dxfId="19" priority="1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60</v>
      </c>
      <c r="B2" t="s">
        <v>7</v>
      </c>
      <c r="C2" t="s">
        <v>8</v>
      </c>
      <c r="D2" s="13">
        <v>7.64761302942697</v>
      </c>
      <c r="E2">
        <v>0.33479018714641401</v>
      </c>
      <c r="F2" s="13">
        <v>6.2645000110972999</v>
      </c>
      <c r="G2" s="13">
        <v>0.455952470003331</v>
      </c>
      <c r="H2">
        <v>5.20068359375</v>
      </c>
      <c r="I2" s="13">
        <v>0.37611949842550002</v>
      </c>
    </row>
    <row r="3" spans="1:9" x14ac:dyDescent="0.6">
      <c r="A3">
        <v>60</v>
      </c>
      <c r="B3" t="s">
        <v>7</v>
      </c>
      <c r="C3" t="s">
        <v>9</v>
      </c>
      <c r="D3" s="13">
        <v>7.5197311902796899</v>
      </c>
      <c r="E3">
        <v>0.28079999999999999</v>
      </c>
      <c r="F3">
        <v>5.4710340000000004</v>
      </c>
      <c r="G3">
        <v>0.40113599999999999</v>
      </c>
      <c r="H3">
        <v>4.3646240000000001</v>
      </c>
      <c r="I3">
        <v>0.32753700000000002</v>
      </c>
    </row>
    <row r="4" spans="1:9" x14ac:dyDescent="0.6">
      <c r="A4">
        <v>60</v>
      </c>
      <c r="B4" t="s">
        <v>7</v>
      </c>
      <c r="C4" t="s">
        <v>93</v>
      </c>
      <c r="D4" s="13">
        <v>7.5239068287530602</v>
      </c>
      <c r="E4">
        <v>0.29289999999999999</v>
      </c>
      <c r="F4">
        <v>5.6595329999999997</v>
      </c>
      <c r="G4">
        <v>0.414576</v>
      </c>
      <c r="H4">
        <v>4.6522220000000001</v>
      </c>
      <c r="I4">
        <v>0.335337</v>
      </c>
    </row>
    <row r="5" spans="1:9" x14ac:dyDescent="0.6">
      <c r="A5">
        <v>60</v>
      </c>
      <c r="B5" t="s">
        <v>7</v>
      </c>
      <c r="C5" t="s">
        <v>96</v>
      </c>
      <c r="D5" s="13">
        <v>7.9337629726784096</v>
      </c>
      <c r="E5">
        <v>0.26869999999999999</v>
      </c>
      <c r="F5">
        <v>5.4787720000000002</v>
      </c>
      <c r="G5">
        <v>0.400393</v>
      </c>
      <c r="H5">
        <v>4.5903320000000001</v>
      </c>
      <c r="I5">
        <v>0.33632800000000002</v>
      </c>
    </row>
    <row r="6" spans="1:9" x14ac:dyDescent="0.6">
      <c r="A6">
        <v>60</v>
      </c>
      <c r="B6" t="s">
        <v>10</v>
      </c>
      <c r="C6" t="s">
        <v>8</v>
      </c>
      <c r="D6" s="13">
        <v>7.4964709123166404</v>
      </c>
      <c r="E6">
        <v>0.33435530630523297</v>
      </c>
      <c r="F6">
        <v>6.2034996660240802</v>
      </c>
      <c r="G6" s="13">
        <v>0.45389565388400499</v>
      </c>
      <c r="H6">
        <v>4.714599609375</v>
      </c>
      <c r="I6" s="13">
        <v>0.34957932121485502</v>
      </c>
    </row>
    <row r="7" spans="1:9" x14ac:dyDescent="0.6">
      <c r="A7">
        <v>60</v>
      </c>
      <c r="B7" t="s">
        <v>10</v>
      </c>
      <c r="C7" t="s">
        <v>9</v>
      </c>
      <c r="D7" s="13">
        <v>7.5538931316901596</v>
      </c>
      <c r="E7">
        <v>0.27789999999999998</v>
      </c>
      <c r="F7">
        <v>5.5475659999999998</v>
      </c>
      <c r="G7">
        <v>0.40374199999999999</v>
      </c>
      <c r="H7">
        <v>4.4656370000000001</v>
      </c>
      <c r="I7">
        <v>0.32366</v>
      </c>
    </row>
    <row r="8" spans="1:9" x14ac:dyDescent="0.6">
      <c r="A8">
        <v>60</v>
      </c>
      <c r="B8" t="s">
        <v>10</v>
      </c>
      <c r="C8" t="s">
        <v>93</v>
      </c>
      <c r="D8" s="13">
        <v>7.9697804515775603</v>
      </c>
      <c r="E8">
        <v>0.2903</v>
      </c>
      <c r="F8">
        <v>5.7939259999999999</v>
      </c>
      <c r="G8">
        <v>0.42299999999999999</v>
      </c>
      <c r="H8">
        <v>4.7860719999999999</v>
      </c>
      <c r="I8">
        <v>0.34620400000000001</v>
      </c>
    </row>
    <row r="9" spans="1:9" x14ac:dyDescent="0.6">
      <c r="A9">
        <v>60</v>
      </c>
      <c r="B9" t="s">
        <v>10</v>
      </c>
      <c r="C9" t="s">
        <v>96</v>
      </c>
      <c r="D9" s="13">
        <v>7.4635255430508503</v>
      </c>
      <c r="E9">
        <v>0.2702</v>
      </c>
      <c r="F9">
        <v>5.4353389999999999</v>
      </c>
      <c r="G9">
        <v>0.398316</v>
      </c>
      <c r="H9">
        <v>4.7739260000000003</v>
      </c>
      <c r="I9">
        <v>0.35355300000000001</v>
      </c>
    </row>
    <row r="10" spans="1:9" x14ac:dyDescent="0.6">
      <c r="A10">
        <v>60</v>
      </c>
      <c r="B10" t="s">
        <v>99</v>
      </c>
      <c r="C10" t="s">
        <v>8</v>
      </c>
      <c r="D10">
        <v>7.2754630000000002</v>
      </c>
      <c r="E10">
        <v>0.33429999999999999</v>
      </c>
      <c r="F10">
        <v>5.987158</v>
      </c>
      <c r="G10">
        <v>0.43723400000000001</v>
      </c>
      <c r="H10">
        <v>4.4137570000000004</v>
      </c>
      <c r="I10">
        <v>0.31723600000000002</v>
      </c>
    </row>
    <row r="11" spans="1:9" x14ac:dyDescent="0.6">
      <c r="A11">
        <v>60</v>
      </c>
      <c r="B11" t="s">
        <v>99</v>
      </c>
      <c r="C11" t="s">
        <v>9</v>
      </c>
      <c r="D11">
        <v>7.3410529999999996</v>
      </c>
      <c r="E11">
        <v>0.27989999999999998</v>
      </c>
      <c r="F11">
        <v>5.4656419999999999</v>
      </c>
      <c r="G11">
        <v>0.40090300000000001</v>
      </c>
      <c r="H11">
        <v>4.653931</v>
      </c>
      <c r="I11">
        <v>0.34745199999999998</v>
      </c>
    </row>
    <row r="12" spans="1:9" x14ac:dyDescent="0.6">
      <c r="A12">
        <v>60</v>
      </c>
      <c r="B12" t="s">
        <v>99</v>
      </c>
      <c r="C12" t="s">
        <v>93</v>
      </c>
      <c r="D12">
        <v>7.3331540000000004</v>
      </c>
      <c r="E12">
        <v>0.28849999999999998</v>
      </c>
      <c r="F12">
        <v>5.6419259999999998</v>
      </c>
      <c r="G12">
        <v>0.41033900000000001</v>
      </c>
      <c r="H12">
        <v>4.6347659999999999</v>
      </c>
      <c r="I12">
        <v>0.33742</v>
      </c>
    </row>
    <row r="13" spans="1:9" x14ac:dyDescent="0.6">
      <c r="A13">
        <v>60</v>
      </c>
      <c r="B13" t="s">
        <v>99</v>
      </c>
      <c r="C13" t="s">
        <v>96</v>
      </c>
      <c r="D13">
        <v>7.3495939999999997</v>
      </c>
      <c r="E13">
        <v>0.2697</v>
      </c>
      <c r="F13">
        <v>5.4448350000000003</v>
      </c>
      <c r="G13">
        <v>0.39889000000000002</v>
      </c>
      <c r="H13">
        <v>4.5971070000000003</v>
      </c>
      <c r="I13">
        <v>0.342026</v>
      </c>
    </row>
    <row r="14" spans="1:9" x14ac:dyDescent="0.6">
      <c r="A14">
        <v>60</v>
      </c>
      <c r="B14" t="s">
        <v>108</v>
      </c>
      <c r="C14" t="s">
        <v>8</v>
      </c>
      <c r="D14">
        <v>7.4350009999999997</v>
      </c>
      <c r="E14">
        <v>0.334915149632106</v>
      </c>
      <c r="F14" s="13">
        <v>6.12739333431277</v>
      </c>
      <c r="G14" s="13">
        <v>0.44940648761558299</v>
      </c>
      <c r="H14">
        <v>4.92559814453125</v>
      </c>
      <c r="I14" s="13">
        <v>0.35994201494044797</v>
      </c>
    </row>
    <row r="15" spans="1:9" x14ac:dyDescent="0.6">
      <c r="A15">
        <v>60</v>
      </c>
      <c r="B15" t="s">
        <v>108</v>
      </c>
      <c r="C15" t="s">
        <v>9</v>
      </c>
      <c r="D15">
        <v>7.4376990000000003</v>
      </c>
      <c r="E15">
        <v>0.27969763887461402</v>
      </c>
      <c r="F15" s="13">
        <v>5.5325652944061101</v>
      </c>
      <c r="G15" s="13">
        <v>0.40542799991422601</v>
      </c>
      <c r="H15">
        <v>4.523193359375</v>
      </c>
      <c r="I15" s="13">
        <v>0.33638539514433902</v>
      </c>
    </row>
    <row r="16" spans="1:9" x14ac:dyDescent="0.6">
      <c r="A16">
        <v>60</v>
      </c>
      <c r="B16" t="s">
        <v>108</v>
      </c>
      <c r="C16" t="s">
        <v>93</v>
      </c>
      <c r="D16">
        <v>7.4794070000000001</v>
      </c>
      <c r="E16">
        <v>0.28920000000000001</v>
      </c>
      <c r="F16">
        <v>5.6873170000000002</v>
      </c>
      <c r="G16">
        <v>0.41402600000000001</v>
      </c>
      <c r="H16">
        <v>4.9049680000000002</v>
      </c>
      <c r="I16">
        <v>0.35776799999999997</v>
      </c>
    </row>
    <row r="17" spans="1:9" x14ac:dyDescent="0.6">
      <c r="A17">
        <v>60</v>
      </c>
      <c r="B17" t="s">
        <v>108</v>
      </c>
      <c r="C17" t="s">
        <v>96</v>
      </c>
      <c r="D17">
        <v>7.3721079999999999</v>
      </c>
      <c r="E17">
        <v>0.2681</v>
      </c>
      <c r="F17">
        <v>5.4940230000000003</v>
      </c>
      <c r="G17">
        <v>0.40163100000000002</v>
      </c>
      <c r="H17">
        <v>4.7504270000000002</v>
      </c>
      <c r="I17">
        <v>0.34342899999999998</v>
      </c>
    </row>
  </sheetData>
  <phoneticPr fontId="1" type="noConversion"/>
  <conditionalFormatting sqref="D1:D1048576">
    <cfRule type="top10" dxfId="18" priority="6" percent="1" bottom="1" rank="5"/>
  </conditionalFormatting>
  <conditionalFormatting sqref="D1:I1">
    <cfRule type="top10" dxfId="17" priority="7" percent="1" bottom="1" rank="10"/>
  </conditionalFormatting>
  <conditionalFormatting sqref="E1:E1048576">
    <cfRule type="top10" dxfId="16" priority="5" percent="1" bottom="1" rank="5"/>
  </conditionalFormatting>
  <conditionalFormatting sqref="F1:F1048576">
    <cfRule type="top10" dxfId="15" priority="4" percent="1" bottom="1" rank="5"/>
  </conditionalFormatting>
  <conditionalFormatting sqref="G1:G1048576">
    <cfRule type="top10" dxfId="14" priority="3" percent="1" bottom="1" rank="5"/>
  </conditionalFormatting>
  <conditionalFormatting sqref="H1:H1048576">
    <cfRule type="top10" dxfId="13" priority="2" percent="1" bottom="1" rank="5"/>
  </conditionalFormatting>
  <conditionalFormatting sqref="I1:I1048576">
    <cfRule type="top10" dxfId="12" priority="1" percent="1" bottom="1" rank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I17"/>
  <sheetViews>
    <sheetView tabSelected="1" workbookViewId="0">
      <selection activeCell="N23" sqref="N2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90</v>
      </c>
      <c r="B2" t="s">
        <v>7</v>
      </c>
      <c r="C2" t="s">
        <v>8</v>
      </c>
      <c r="D2" s="13">
        <v>7.3646177135076796</v>
      </c>
      <c r="E2">
        <v>0.33579147461077596</v>
      </c>
      <c r="F2" s="13">
        <v>6.2817639437588699</v>
      </c>
      <c r="G2" s="13">
        <v>0.45642186443342198</v>
      </c>
      <c r="H2">
        <v>4.86346435546875</v>
      </c>
      <c r="I2" s="13">
        <v>0.352021622832561</v>
      </c>
    </row>
    <row r="3" spans="1:9" x14ac:dyDescent="0.6">
      <c r="A3">
        <v>90</v>
      </c>
      <c r="B3" t="s">
        <v>7</v>
      </c>
      <c r="C3" t="s">
        <v>9</v>
      </c>
      <c r="D3" s="13">
        <v>7.2547915348356202</v>
      </c>
      <c r="E3">
        <v>0.27850000000000003</v>
      </c>
      <c r="F3">
        <v>5.5137689999999999</v>
      </c>
      <c r="G3">
        <v>0.40135700000000002</v>
      </c>
      <c r="H3">
        <v>4.4532470000000002</v>
      </c>
      <c r="I3">
        <v>0.32051600000000002</v>
      </c>
    </row>
    <row r="4" spans="1:9" x14ac:dyDescent="0.6">
      <c r="A4">
        <v>90</v>
      </c>
      <c r="B4" t="s">
        <v>7</v>
      </c>
      <c r="C4" t="s">
        <v>93</v>
      </c>
      <c r="D4" s="13">
        <v>7.6388015764852497</v>
      </c>
      <c r="E4">
        <v>0.29450000000000004</v>
      </c>
      <c r="F4">
        <v>5.6944710000000001</v>
      </c>
      <c r="G4">
        <v>0.41458800000000001</v>
      </c>
      <c r="H4">
        <v>4.959778</v>
      </c>
      <c r="I4">
        <v>0.34940700000000002</v>
      </c>
    </row>
    <row r="5" spans="1:9" x14ac:dyDescent="0.6">
      <c r="A5">
        <v>90</v>
      </c>
      <c r="B5" t="s">
        <v>7</v>
      </c>
      <c r="C5" t="s">
        <v>96</v>
      </c>
      <c r="D5" s="13">
        <v>7.2697324668168699</v>
      </c>
      <c r="E5">
        <v>0.27039999999999997</v>
      </c>
      <c r="F5">
        <v>5.4254749999999996</v>
      </c>
      <c r="G5">
        <v>0.39750799999999997</v>
      </c>
      <c r="H5">
        <v>4.3987429999999996</v>
      </c>
      <c r="I5">
        <v>0.32528800000000002</v>
      </c>
    </row>
    <row r="6" spans="1:9" x14ac:dyDescent="0.6">
      <c r="A6">
        <v>90</v>
      </c>
      <c r="B6" t="s">
        <v>10</v>
      </c>
      <c r="C6" t="s">
        <v>8</v>
      </c>
      <c r="D6" s="13">
        <v>7.6237277753961603</v>
      </c>
      <c r="E6">
        <v>0.38922951899318703</v>
      </c>
      <c r="F6" s="13">
        <v>6.9376265914351798</v>
      </c>
      <c r="G6" s="13">
        <v>0.50555735523604595</v>
      </c>
      <c r="H6">
        <v>6.6702880859375</v>
      </c>
      <c r="I6" s="13">
        <v>0.48616309933490998</v>
      </c>
    </row>
    <row r="7" spans="1:9" x14ac:dyDescent="0.6">
      <c r="A7">
        <v>90</v>
      </c>
      <c r="B7" t="s">
        <v>10</v>
      </c>
      <c r="C7" t="s">
        <v>9</v>
      </c>
      <c r="D7" s="13">
        <v>7.3328223195886002</v>
      </c>
      <c r="E7">
        <v>0.27998303400910501</v>
      </c>
      <c r="F7" s="13">
        <v>5.5785319010416599</v>
      </c>
      <c r="G7" s="13">
        <v>0.40792258672520099</v>
      </c>
      <c r="H7">
        <v>4.66253662109375</v>
      </c>
      <c r="I7" s="13">
        <v>0.34455413704927101</v>
      </c>
    </row>
    <row r="8" spans="1:9" x14ac:dyDescent="0.6">
      <c r="A8">
        <v>90</v>
      </c>
      <c r="B8" t="s">
        <v>10</v>
      </c>
      <c r="C8" t="s">
        <v>93</v>
      </c>
      <c r="D8" s="13">
        <v>7.5994227765418696</v>
      </c>
      <c r="E8">
        <v>0.29480000000000001</v>
      </c>
      <c r="F8">
        <v>5.7304399999999998</v>
      </c>
      <c r="G8">
        <v>0.41740500000000003</v>
      </c>
      <c r="H8">
        <v>4.920471</v>
      </c>
      <c r="I8">
        <v>0.36538900000000002</v>
      </c>
    </row>
    <row r="9" spans="1:9" x14ac:dyDescent="0.6">
      <c r="A9">
        <v>90</v>
      </c>
      <c r="B9" t="s">
        <v>10</v>
      </c>
      <c r="C9" t="s">
        <v>96</v>
      </c>
      <c r="D9" s="13">
        <v>7.6412420393954799</v>
      </c>
      <c r="E9">
        <v>0.27282936708517097</v>
      </c>
      <c r="F9">
        <v>5.4471646924039501</v>
      </c>
      <c r="G9" s="13">
        <v>0.39951339398770702</v>
      </c>
      <c r="H9">
        <v>4.6483154296875</v>
      </c>
      <c r="I9">
        <v>0.34642043943666301</v>
      </c>
    </row>
    <row r="10" spans="1:9" x14ac:dyDescent="0.6">
      <c r="A10">
        <v>90</v>
      </c>
      <c r="B10" t="s">
        <v>99</v>
      </c>
      <c r="C10" t="s">
        <v>8</v>
      </c>
      <c r="D10">
        <v>7.1349489999999998</v>
      </c>
      <c r="E10">
        <v>0.3372</v>
      </c>
      <c r="F10">
        <v>6.1162039999999998</v>
      </c>
      <c r="G10">
        <v>0.44723200000000002</v>
      </c>
      <c r="H10">
        <v>5.09314</v>
      </c>
      <c r="I10">
        <v>0.36770399999999998</v>
      </c>
    </row>
    <row r="11" spans="1:9" x14ac:dyDescent="0.6">
      <c r="A11">
        <v>90</v>
      </c>
      <c r="B11" t="s">
        <v>99</v>
      </c>
      <c r="C11" t="s">
        <v>9</v>
      </c>
      <c r="D11">
        <v>7.8758290000000004</v>
      </c>
      <c r="E11">
        <v>0.28035698350448901</v>
      </c>
      <c r="F11" s="13">
        <v>5.5410415440389498</v>
      </c>
      <c r="G11" s="13">
        <v>0.40317481381355702</v>
      </c>
      <c r="H11">
        <v>4.28924560546875</v>
      </c>
      <c r="I11" s="13">
        <v>0.31656264755650998</v>
      </c>
    </row>
    <row r="12" spans="1:9" x14ac:dyDescent="0.6">
      <c r="A12">
        <v>90</v>
      </c>
      <c r="B12" t="s">
        <v>99</v>
      </c>
      <c r="C12" t="s">
        <v>93</v>
      </c>
      <c r="D12">
        <v>7.2275549999999997</v>
      </c>
      <c r="E12">
        <v>0.292942639058209</v>
      </c>
      <c r="F12" s="13">
        <v>5.7942923086660798</v>
      </c>
      <c r="G12" s="13">
        <v>0.42361425655239898</v>
      </c>
      <c r="H12">
        <v>4.92608642578125</v>
      </c>
      <c r="I12" s="13">
        <v>0.35692120059707</v>
      </c>
    </row>
    <row r="13" spans="1:9" x14ac:dyDescent="0.6">
      <c r="A13">
        <v>90</v>
      </c>
      <c r="B13" t="s">
        <v>99</v>
      </c>
      <c r="C13" t="s">
        <v>96</v>
      </c>
      <c r="D13">
        <v>7.3186289999999996</v>
      </c>
      <c r="E13">
        <v>0.26960000000000001</v>
      </c>
      <c r="F13">
        <v>5.5047560000000004</v>
      </c>
      <c r="G13">
        <v>0.402221</v>
      </c>
      <c r="H13">
        <v>4.533569</v>
      </c>
      <c r="I13">
        <v>0.33159</v>
      </c>
    </row>
    <row r="14" spans="1:9" x14ac:dyDescent="0.6">
      <c r="A14">
        <v>90</v>
      </c>
      <c r="B14" t="s">
        <v>108</v>
      </c>
      <c r="C14" t="s">
        <v>8</v>
      </c>
      <c r="D14">
        <v>7.3648809999999996</v>
      </c>
      <c r="E14">
        <v>0.34099999999999997</v>
      </c>
      <c r="F14">
        <v>6.2709910000000004</v>
      </c>
      <c r="G14">
        <v>0.454932</v>
      </c>
      <c r="H14">
        <v>4.9745480000000004</v>
      </c>
      <c r="I14">
        <v>0.35916199999999998</v>
      </c>
    </row>
    <row r="15" spans="1:9" x14ac:dyDescent="0.6">
      <c r="A15">
        <v>90</v>
      </c>
      <c r="B15" t="s">
        <v>108</v>
      </c>
      <c r="C15" t="s">
        <v>9</v>
      </c>
      <c r="D15">
        <v>7.2208379999999996</v>
      </c>
      <c r="E15">
        <v>0.27929999999999999</v>
      </c>
      <c r="F15">
        <v>5.581995</v>
      </c>
      <c r="G15">
        <v>0.40810000000000002</v>
      </c>
      <c r="H15">
        <v>4.4867549999999996</v>
      </c>
      <c r="I15">
        <v>0.32525700000000002</v>
      </c>
    </row>
    <row r="16" spans="1:9" x14ac:dyDescent="0.6">
      <c r="A16">
        <v>90</v>
      </c>
      <c r="B16" t="s">
        <v>108</v>
      </c>
      <c r="C16" t="s">
        <v>93</v>
      </c>
      <c r="D16">
        <v>8.0426500000000001</v>
      </c>
      <c r="E16">
        <v>0.297923999794178</v>
      </c>
      <c r="F16" s="13">
        <v>5.6844968332827603</v>
      </c>
      <c r="G16" s="13">
        <v>0.41555569837169198</v>
      </c>
      <c r="H16">
        <v>4.8734130859375</v>
      </c>
      <c r="I16">
        <v>0.35191326993736</v>
      </c>
    </row>
    <row r="17" spans="1:9" x14ac:dyDescent="0.6">
      <c r="A17">
        <v>90</v>
      </c>
      <c r="B17" t="s">
        <v>108</v>
      </c>
      <c r="C17" t="s">
        <v>96</v>
      </c>
      <c r="D17">
        <v>7.5216200000000004</v>
      </c>
      <c r="E17">
        <v>0.2722</v>
      </c>
      <c r="F17">
        <v>5.431991</v>
      </c>
      <c r="G17">
        <v>0.39815299999999998</v>
      </c>
      <c r="H17">
        <v>4.627014</v>
      </c>
      <c r="I17">
        <v>0.34491699999999997</v>
      </c>
    </row>
  </sheetData>
  <phoneticPr fontId="1" type="noConversion"/>
  <conditionalFormatting sqref="D1:D1048576">
    <cfRule type="top10" dxfId="11" priority="6" percent="1" bottom="1" rank="5"/>
  </conditionalFormatting>
  <conditionalFormatting sqref="D1:I1">
    <cfRule type="top10" dxfId="10" priority="11" percent="1" bottom="1" rank="10"/>
  </conditionalFormatting>
  <conditionalFormatting sqref="E1:E1048576">
    <cfRule type="top10" dxfId="9" priority="5" percent="1" bottom="1" rank="5"/>
  </conditionalFormatting>
  <conditionalFormatting sqref="F1:F1048576">
    <cfRule type="top10" dxfId="8" priority="4" percent="1" bottom="1" rank="5"/>
  </conditionalFormatting>
  <conditionalFormatting sqref="G1:G1048576">
    <cfRule type="top10" dxfId="7" priority="3" percent="1" bottom="1" rank="5"/>
  </conditionalFormatting>
  <conditionalFormatting sqref="H1:H1048576">
    <cfRule type="top10" dxfId="6" priority="2" percent="1" bottom="1" rank="5"/>
  </conditionalFormatting>
  <conditionalFormatting sqref="I1:I1048576">
    <cfRule type="top10" dxfId="5" priority="1" percent="1" bottom="1" rank="5"/>
  </conditionalFormatting>
  <conditionalFormatting sqref="K13:K17">
    <cfRule type="top10" dxfId="4" priority="59" percent="1" bottom="1" rank="10"/>
  </conditionalFormatting>
  <conditionalFormatting sqref="L13:L17">
    <cfRule type="top10" dxfId="3" priority="60" percent="1" bottom="1" rank="10"/>
  </conditionalFormatting>
  <conditionalFormatting sqref="M13:M17">
    <cfRule type="top10" dxfId="2" priority="61" percent="1" bottom="1" rank="10"/>
  </conditionalFormatting>
  <conditionalFormatting sqref="N13:N17">
    <cfRule type="top10" dxfId="1" priority="62" percent="1" bottom="1" rank="10"/>
  </conditionalFormatting>
  <conditionalFormatting sqref="O13:O17">
    <cfRule type="top10" dxfId="0" priority="63" percent="1" bottom="1" rank="1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E20" sqref="E20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6" width="9.6875" bestFit="1" customWidth="1"/>
  </cols>
  <sheetData>
    <row r="1" spans="1:5" ht="33.75" x14ac:dyDescent="0.6">
      <c r="A1" s="2" t="s">
        <v>13</v>
      </c>
      <c r="B1" s="2" t="s">
        <v>24</v>
      </c>
      <c r="C1" s="2" t="s">
        <v>29</v>
      </c>
      <c r="D1" s="2" t="s">
        <v>30</v>
      </c>
      <c r="E1" s="8" t="s">
        <v>26</v>
      </c>
    </row>
    <row r="2" spans="1:5" x14ac:dyDescent="0.6">
      <c r="A2" s="15" t="s">
        <v>25</v>
      </c>
      <c r="B2" s="7" t="s">
        <v>2</v>
      </c>
      <c r="C2" s="6" t="s">
        <v>9</v>
      </c>
      <c r="D2" s="4">
        <v>6.9459999999999997</v>
      </c>
      <c r="E2" s="1">
        <v>20</v>
      </c>
    </row>
    <row r="3" spans="1:5" x14ac:dyDescent="0.6">
      <c r="A3" s="16"/>
      <c r="B3" s="7" t="s">
        <v>3</v>
      </c>
      <c r="C3" s="6" t="s">
        <v>9</v>
      </c>
      <c r="D3" s="5">
        <v>5.3630000000000004</v>
      </c>
      <c r="E3" s="1">
        <v>30</v>
      </c>
    </row>
    <row r="4" spans="1:5" x14ac:dyDescent="0.6">
      <c r="A4" s="17"/>
      <c r="B4" s="7" t="s">
        <v>5</v>
      </c>
      <c r="C4" s="6" t="s">
        <v>18</v>
      </c>
      <c r="D4" s="4">
        <v>4.3170000000000002</v>
      </c>
      <c r="E4" s="1">
        <v>30</v>
      </c>
    </row>
    <row r="5" spans="1:5" x14ac:dyDescent="0.6">
      <c r="A5" s="15" t="s">
        <v>10</v>
      </c>
      <c r="B5" s="7" t="s">
        <v>2</v>
      </c>
      <c r="C5" s="6" t="s">
        <v>8</v>
      </c>
      <c r="D5" s="5">
        <v>7</v>
      </c>
      <c r="E5" s="1">
        <v>20</v>
      </c>
    </row>
    <row r="6" spans="1:5" x14ac:dyDescent="0.6">
      <c r="A6" s="16"/>
      <c r="B6" s="7" t="s">
        <v>3</v>
      </c>
      <c r="C6" s="6" t="s">
        <v>8</v>
      </c>
      <c r="D6" s="5">
        <v>5.4240000000000004</v>
      </c>
      <c r="E6" s="1">
        <v>20</v>
      </c>
    </row>
    <row r="7" spans="1:5" x14ac:dyDescent="0.6">
      <c r="A7" s="17"/>
      <c r="B7" s="7" t="s">
        <v>5</v>
      </c>
      <c r="C7" s="6" t="s">
        <v>8</v>
      </c>
      <c r="D7" s="5">
        <v>4.58</v>
      </c>
      <c r="E7" s="1">
        <v>5</v>
      </c>
    </row>
    <row r="8" spans="1:5" x14ac:dyDescent="0.6">
      <c r="A8" s="15" t="s">
        <v>11</v>
      </c>
      <c r="B8" s="7" t="s">
        <v>2</v>
      </c>
      <c r="C8" s="6" t="s">
        <v>17</v>
      </c>
      <c r="D8" s="5">
        <v>6.976</v>
      </c>
      <c r="E8" s="1">
        <v>20</v>
      </c>
    </row>
    <row r="9" spans="1:5" x14ac:dyDescent="0.6">
      <c r="A9" s="16"/>
      <c r="B9" s="7" t="s">
        <v>3</v>
      </c>
      <c r="C9" s="6" t="s">
        <v>18</v>
      </c>
      <c r="D9" s="5">
        <v>5.3840000000000003</v>
      </c>
      <c r="E9" s="1">
        <v>20</v>
      </c>
    </row>
    <row r="10" spans="1:5" x14ac:dyDescent="0.6">
      <c r="A10" s="17"/>
      <c r="B10" s="7" t="s">
        <v>5</v>
      </c>
      <c r="C10" s="6" t="s">
        <v>9</v>
      </c>
      <c r="D10" s="5">
        <v>4.3659999999999997</v>
      </c>
      <c r="E10" s="1">
        <v>30</v>
      </c>
    </row>
    <row r="11" spans="1:5" x14ac:dyDescent="0.6">
      <c r="A11" s="15" t="s">
        <v>12</v>
      </c>
      <c r="B11" s="7" t="s">
        <v>2</v>
      </c>
      <c r="C11" s="6" t="s">
        <v>9</v>
      </c>
      <c r="D11" s="5">
        <v>6.9960000000000004</v>
      </c>
      <c r="E11" s="1">
        <v>20</v>
      </c>
    </row>
    <row r="12" spans="1:5" x14ac:dyDescent="0.6">
      <c r="A12" s="16"/>
      <c r="B12" s="7" t="s">
        <v>3</v>
      </c>
      <c r="C12" s="6" t="s">
        <v>18</v>
      </c>
      <c r="D12" s="4">
        <v>5.3570000000000002</v>
      </c>
      <c r="E12" s="1">
        <v>20</v>
      </c>
    </row>
    <row r="13" spans="1:5" x14ac:dyDescent="0.6">
      <c r="A13" s="17"/>
      <c r="B13" s="7" t="s">
        <v>5</v>
      </c>
      <c r="C13" s="6" t="s">
        <v>18</v>
      </c>
      <c r="D13" s="5">
        <v>4.3959999999999999</v>
      </c>
      <c r="E13" s="1">
        <v>30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E11" sqref="A1:F16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28</v>
      </c>
      <c r="B1" s="2" t="s">
        <v>14</v>
      </c>
      <c r="C1" s="2" t="s">
        <v>15</v>
      </c>
      <c r="D1" s="8" t="s">
        <v>31</v>
      </c>
      <c r="E1" s="2" t="s">
        <v>27</v>
      </c>
      <c r="F1" s="8" t="s">
        <v>26</v>
      </c>
    </row>
    <row r="2" spans="1:6" x14ac:dyDescent="0.6">
      <c r="A2" s="18" t="s">
        <v>23</v>
      </c>
      <c r="B2" s="4">
        <v>6.9459999999999997</v>
      </c>
      <c r="C2" s="4">
        <v>0.25900000000000001</v>
      </c>
      <c r="D2" s="3" t="s">
        <v>7</v>
      </c>
      <c r="E2" s="3" t="s">
        <v>9</v>
      </c>
      <c r="F2" s="3">
        <v>20</v>
      </c>
    </row>
    <row r="3" spans="1:6" x14ac:dyDescent="0.6">
      <c r="A3" s="19"/>
      <c r="B3" s="5">
        <v>6.976</v>
      </c>
      <c r="C3" s="5">
        <v>0.26100000000000001</v>
      </c>
      <c r="D3" s="1" t="s">
        <v>11</v>
      </c>
      <c r="E3" s="1" t="s">
        <v>17</v>
      </c>
      <c r="F3" s="1">
        <v>20</v>
      </c>
    </row>
    <row r="4" spans="1:6" x14ac:dyDescent="0.6">
      <c r="A4" s="19"/>
      <c r="B4" s="5">
        <v>6.9950000000000001</v>
      </c>
      <c r="C4" s="5">
        <v>0.26200000000000001</v>
      </c>
      <c r="D4" s="1" t="s">
        <v>7</v>
      </c>
      <c r="E4" s="1" t="s">
        <v>18</v>
      </c>
      <c r="F4" s="1">
        <v>20</v>
      </c>
    </row>
    <row r="5" spans="1:6" x14ac:dyDescent="0.6">
      <c r="A5" s="19"/>
      <c r="B5" s="5">
        <v>6.9960000000000004</v>
      </c>
      <c r="C5" s="5">
        <v>0.26300000000000001</v>
      </c>
      <c r="D5" s="1" t="s">
        <v>12</v>
      </c>
      <c r="E5" s="1" t="s">
        <v>9</v>
      </c>
      <c r="F5" s="1">
        <v>20</v>
      </c>
    </row>
    <row r="6" spans="1:6" x14ac:dyDescent="0.6">
      <c r="A6" s="20"/>
      <c r="B6" s="5">
        <v>7</v>
      </c>
      <c r="C6" s="5">
        <v>0.26200000000000001</v>
      </c>
      <c r="D6" s="1" t="s">
        <v>10</v>
      </c>
      <c r="E6" s="1" t="s">
        <v>8</v>
      </c>
      <c r="F6" s="1">
        <v>20</v>
      </c>
    </row>
    <row r="7" spans="1:6" x14ac:dyDescent="0.6">
      <c r="A7" s="18" t="s">
        <v>21</v>
      </c>
      <c r="B7" s="4">
        <v>5.3570000000000002</v>
      </c>
      <c r="C7" s="4">
        <v>0.39200000000000002</v>
      </c>
      <c r="D7" s="3" t="s">
        <v>12</v>
      </c>
      <c r="E7" s="3" t="s">
        <v>18</v>
      </c>
      <c r="F7" s="3">
        <v>20</v>
      </c>
    </row>
    <row r="8" spans="1:6" x14ac:dyDescent="0.6">
      <c r="A8" s="19"/>
      <c r="B8" s="5">
        <v>5.3630000000000004</v>
      </c>
      <c r="C8" s="4">
        <v>0.39200000000000002</v>
      </c>
      <c r="D8" s="3" t="s">
        <v>7</v>
      </c>
      <c r="E8" s="3" t="s">
        <v>9</v>
      </c>
      <c r="F8" s="3">
        <v>30</v>
      </c>
    </row>
    <row r="9" spans="1:6" x14ac:dyDescent="0.6">
      <c r="A9" s="19"/>
      <c r="B9" s="5">
        <v>5.3639999999999999</v>
      </c>
      <c r="C9" s="5">
        <v>0.39300000000000002</v>
      </c>
      <c r="D9" s="1" t="s">
        <v>12</v>
      </c>
      <c r="E9" s="1" t="s">
        <v>18</v>
      </c>
      <c r="F9" s="1">
        <v>10</v>
      </c>
    </row>
    <row r="10" spans="1:6" x14ac:dyDescent="0.6">
      <c r="A10" s="19"/>
      <c r="B10" s="5">
        <v>5.3780000000000001</v>
      </c>
      <c r="C10" s="5">
        <v>0.39300000000000002</v>
      </c>
      <c r="D10" s="1" t="s">
        <v>12</v>
      </c>
      <c r="E10" s="1" t="s">
        <v>18</v>
      </c>
      <c r="F10" s="1">
        <v>30</v>
      </c>
    </row>
    <row r="11" spans="1:6" x14ac:dyDescent="0.6">
      <c r="A11" s="20"/>
      <c r="B11" s="5">
        <v>5.383</v>
      </c>
      <c r="C11" s="5">
        <v>0.39400000000000002</v>
      </c>
      <c r="D11" s="1" t="s">
        <v>12</v>
      </c>
      <c r="E11" s="1" t="s">
        <v>9</v>
      </c>
      <c r="F11" s="1">
        <v>20</v>
      </c>
    </row>
    <row r="12" spans="1:6" x14ac:dyDescent="0.6">
      <c r="A12" s="18" t="s">
        <v>22</v>
      </c>
      <c r="B12" s="4">
        <v>4.3170000000000002</v>
      </c>
      <c r="C12" s="9">
        <v>0.317</v>
      </c>
      <c r="D12" s="3" t="s">
        <v>7</v>
      </c>
      <c r="E12" s="3" t="s">
        <v>18</v>
      </c>
      <c r="F12" s="3">
        <v>30</v>
      </c>
    </row>
    <row r="13" spans="1:6" x14ac:dyDescent="0.6">
      <c r="A13" s="19"/>
      <c r="B13" s="5">
        <v>4.3579999999999997</v>
      </c>
      <c r="C13" s="4">
        <v>0.316</v>
      </c>
      <c r="D13" s="3" t="s">
        <v>7</v>
      </c>
      <c r="E13" s="3" t="s">
        <v>9</v>
      </c>
      <c r="F13" s="3">
        <v>90</v>
      </c>
    </row>
    <row r="14" spans="1:6" x14ac:dyDescent="0.6">
      <c r="A14" s="19"/>
      <c r="B14" s="5">
        <v>4.3659999999999997</v>
      </c>
      <c r="C14" s="5">
        <v>0.317</v>
      </c>
      <c r="D14" s="1" t="s">
        <v>11</v>
      </c>
      <c r="E14" s="1" t="s">
        <v>9</v>
      </c>
      <c r="F14" s="1">
        <v>30</v>
      </c>
    </row>
    <row r="15" spans="1:6" x14ac:dyDescent="0.6">
      <c r="A15" s="19"/>
      <c r="B15" s="5">
        <v>4.3959999999999999</v>
      </c>
      <c r="C15" s="5">
        <v>0.32100000000000001</v>
      </c>
      <c r="D15" s="1" t="s">
        <v>12</v>
      </c>
      <c r="E15" s="1" t="s">
        <v>18</v>
      </c>
      <c r="F15" s="1">
        <v>30</v>
      </c>
    </row>
    <row r="16" spans="1:6" x14ac:dyDescent="0.6">
      <c r="A16" s="20"/>
      <c r="B16" s="5">
        <v>4.4000000000000004</v>
      </c>
      <c r="C16" s="5">
        <v>0.32300000000000001</v>
      </c>
      <c r="D16" s="1" t="s">
        <v>11</v>
      </c>
      <c r="E16" s="1" t="s">
        <v>19</v>
      </c>
      <c r="F16" s="1">
        <v>60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Sheet1</vt:lpstr>
      <vt:lpstr>Sheet2</vt:lpstr>
      <vt:lpstr>Raw (2026Y)</vt:lpstr>
      <vt:lpstr>Raw (2026Y) Copy</vt:lpstr>
      <vt:lpstr>5</vt:lpstr>
      <vt:lpstr>10</vt:lpstr>
      <vt:lpstr>20</vt:lpstr>
      <vt:lpstr>30</vt:lpstr>
      <vt:lpstr>60</vt:lpstr>
      <vt:lpstr>90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2026-01-29T01:40:58Z</dcterms:modified>
</cp:coreProperties>
</file>